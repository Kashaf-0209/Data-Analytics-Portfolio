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firstSheet="7" activeTab="8"/>
  </bookViews>
  <sheets>
    <sheet name="Q1&amp;Q2" sheetId="4" r:id="rId1"/>
    <sheet name="Q3" sheetId="5" r:id="rId2"/>
    <sheet name="Q4)Product_lookup_report" sheetId="6" r:id="rId3"/>
    <sheet name="Q5)Sales_summary_report" sheetId="7" r:id="rId4"/>
    <sheet name="Q6)Sales Statistics Report" sheetId="8" r:id="rId5"/>
    <sheet name="Q7) Product Performace Report" sheetId="9" r:id="rId6"/>
    <sheet name="Q8)Financial Analysis Report" sheetId="10" r:id="rId7"/>
    <sheet name="Q9)Cleaned_Data" sheetId="11" r:id="rId8"/>
    <sheet name="Q10)Sales Dashboard" sheetId="12" r:id="rId9"/>
    <sheet name="Sales_data" sheetId="1" r:id="rId10"/>
    <sheet name="Product_master" sheetId="2" r:id="rId11"/>
    <sheet name="Customer_master" sheetId="3" r:id="rId12"/>
  </sheets>
  <definedNames>
    <definedName name="_xlnm._FilterDatabase" localSheetId="7" hidden="1">'Q9)Cleaned_Data'!$S$1:$S$501</definedName>
    <definedName name="Slicer_Category">#N/A</definedName>
    <definedName name="Slicer_DATE_BIN_MONTHS">#N/A</definedName>
    <definedName name="Slicer_Region">#N/A</definedName>
  </definedNames>
  <calcPr calcId="144525"/>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3" i="11" l="1"/>
  <c r="W4" i="11"/>
  <c r="W5" i="11"/>
  <c r="W6"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340" i="11"/>
  <c r="W341" i="11"/>
  <c r="W342" i="11"/>
  <c r="W343" i="11"/>
  <c r="W344" i="11"/>
  <c r="W345" i="11"/>
  <c r="W346" i="11"/>
  <c r="W347" i="11"/>
  <c r="W348" i="11"/>
  <c r="W349" i="11"/>
  <c r="W350" i="11"/>
  <c r="W351" i="11"/>
  <c r="W352" i="11"/>
  <c r="W353" i="11"/>
  <c r="W354" i="11"/>
  <c r="W355" i="11"/>
  <c r="W356" i="11"/>
  <c r="W357" i="11"/>
  <c r="W358" i="11"/>
  <c r="W359" i="11"/>
  <c r="W360" i="11"/>
  <c r="W361" i="11"/>
  <c r="W362" i="11"/>
  <c r="W363" i="11"/>
  <c r="W364" i="11"/>
  <c r="W365" i="11"/>
  <c r="W366" i="11"/>
  <c r="W367" i="11"/>
  <c r="W368" i="11"/>
  <c r="W369" i="11"/>
  <c r="W370" i="11"/>
  <c r="W371" i="11"/>
  <c r="W372" i="11"/>
  <c r="W373" i="11"/>
  <c r="W374" i="11"/>
  <c r="W375" i="11"/>
  <c r="W376" i="11"/>
  <c r="W377" i="11"/>
  <c r="W378" i="11"/>
  <c r="W379" i="11"/>
  <c r="W380" i="11"/>
  <c r="W381" i="11"/>
  <c r="W382" i="11"/>
  <c r="W383" i="11"/>
  <c r="W384" i="11"/>
  <c r="W385" i="11"/>
  <c r="W386" i="11"/>
  <c r="W387" i="11"/>
  <c r="W388" i="11"/>
  <c r="W389" i="11"/>
  <c r="W390" i="11"/>
  <c r="W391" i="11"/>
  <c r="W392" i="11"/>
  <c r="W393" i="11"/>
  <c r="W394" i="11"/>
  <c r="W395" i="11"/>
  <c r="W396" i="11"/>
  <c r="W397" i="11"/>
  <c r="W398" i="11"/>
  <c r="W399" i="11"/>
  <c r="W400" i="11"/>
  <c r="W401" i="11"/>
  <c r="W402" i="11"/>
  <c r="W403" i="11"/>
  <c r="W404" i="11"/>
  <c r="W405" i="11"/>
  <c r="W406" i="11"/>
  <c r="W407" i="11"/>
  <c r="W408" i="11"/>
  <c r="W409" i="11"/>
  <c r="W410" i="11"/>
  <c r="W411" i="11"/>
  <c r="W412" i="11"/>
  <c r="W413" i="11"/>
  <c r="W414" i="11"/>
  <c r="W415" i="11"/>
  <c r="W416" i="11"/>
  <c r="W417" i="11"/>
  <c r="W418" i="11"/>
  <c r="W419" i="11"/>
  <c r="W420" i="11"/>
  <c r="W421" i="11"/>
  <c r="W422" i="11"/>
  <c r="W423" i="11"/>
  <c r="W424" i="11"/>
  <c r="W425" i="11"/>
  <c r="W426" i="11"/>
  <c r="W427" i="11"/>
  <c r="W428" i="11"/>
  <c r="W429" i="11"/>
  <c r="W430" i="11"/>
  <c r="W431" i="11"/>
  <c r="W432" i="11"/>
  <c r="W433" i="11"/>
  <c r="W434" i="11"/>
  <c r="W435" i="11"/>
  <c r="W436" i="11"/>
  <c r="W437" i="11"/>
  <c r="W438" i="11"/>
  <c r="W439" i="11"/>
  <c r="W440" i="11"/>
  <c r="W441" i="11"/>
  <c r="W442" i="11"/>
  <c r="W443" i="11"/>
  <c r="W444" i="11"/>
  <c r="W445" i="11"/>
  <c r="W446" i="11"/>
  <c r="W447" i="11"/>
  <c r="W448" i="11"/>
  <c r="W449" i="11"/>
  <c r="W450" i="11"/>
  <c r="W451" i="11"/>
  <c r="W452" i="11"/>
  <c r="W453" i="11"/>
  <c r="W454" i="11"/>
  <c r="W455" i="11"/>
  <c r="W456" i="11"/>
  <c r="W457" i="11"/>
  <c r="W458" i="11"/>
  <c r="W459" i="11"/>
  <c r="W460" i="11"/>
  <c r="W461" i="11"/>
  <c r="W462" i="11"/>
  <c r="W463" i="11"/>
  <c r="W464" i="11"/>
  <c r="W465" i="11"/>
  <c r="W466" i="11"/>
  <c r="W467" i="11"/>
  <c r="W468" i="11"/>
  <c r="W469" i="11"/>
  <c r="W470" i="11"/>
  <c r="W471" i="11"/>
  <c r="W472" i="11"/>
  <c r="W473" i="11"/>
  <c r="W474" i="11"/>
  <c r="W475" i="11"/>
  <c r="W476" i="11"/>
  <c r="W477" i="11"/>
  <c r="W478" i="11"/>
  <c r="W479" i="11"/>
  <c r="W480" i="11"/>
  <c r="W481" i="11"/>
  <c r="W482" i="11"/>
  <c r="W483" i="11"/>
  <c r="W484" i="11"/>
  <c r="W485" i="11"/>
  <c r="W486" i="11"/>
  <c r="W487" i="11"/>
  <c r="W488" i="11"/>
  <c r="W489" i="11"/>
  <c r="W490" i="11"/>
  <c r="W491" i="11"/>
  <c r="W492" i="11"/>
  <c r="W493" i="11"/>
  <c r="W494" i="11"/>
  <c r="W495" i="11"/>
  <c r="W496" i="11"/>
  <c r="W497" i="11"/>
  <c r="W498" i="11"/>
  <c r="W499" i="11"/>
  <c r="W2" i="11"/>
  <c r="L7" i="11" l="1"/>
  <c r="D5" i="12"/>
  <c r="Z16" i="7"/>
  <c r="D2" i="12"/>
  <c r="D8" i="12" s="1"/>
  <c r="K499" i="11"/>
  <c r="K498" i="11"/>
  <c r="K497" i="11"/>
  <c r="K496" i="11"/>
  <c r="K495" i="11"/>
  <c r="K494" i="11"/>
  <c r="K493" i="11"/>
  <c r="K492" i="11"/>
  <c r="K491" i="11"/>
  <c r="K490" i="11"/>
  <c r="K489" i="11"/>
  <c r="K488" i="11"/>
  <c r="K487" i="11"/>
  <c r="K486" i="11"/>
  <c r="K485" i="11"/>
  <c r="K484" i="11"/>
  <c r="K483" i="11"/>
  <c r="K482" i="11"/>
  <c r="K481" i="11"/>
  <c r="K480" i="11"/>
  <c r="K479" i="11"/>
  <c r="K478" i="11"/>
  <c r="K477" i="11"/>
  <c r="K476" i="11"/>
  <c r="K475" i="11"/>
  <c r="K474" i="11"/>
  <c r="K473" i="11"/>
  <c r="K472" i="11"/>
  <c r="K471" i="11"/>
  <c r="K470" i="11"/>
  <c r="K469" i="11"/>
  <c r="K468" i="11"/>
  <c r="K467" i="11"/>
  <c r="K466" i="11"/>
  <c r="K465" i="11"/>
  <c r="K464" i="11"/>
  <c r="K463" i="11"/>
  <c r="K462" i="11"/>
  <c r="K461" i="11"/>
  <c r="K460" i="11"/>
  <c r="K459" i="11"/>
  <c r="K458" i="11"/>
  <c r="K457" i="11"/>
  <c r="K456" i="11"/>
  <c r="K455" i="11"/>
  <c r="K454" i="11"/>
  <c r="K453" i="11"/>
  <c r="K452" i="11"/>
  <c r="K451" i="11"/>
  <c r="K450" i="11"/>
  <c r="K449" i="11"/>
  <c r="K448" i="11"/>
  <c r="K447" i="11"/>
  <c r="K446" i="11"/>
  <c r="K445" i="11"/>
  <c r="K444" i="11"/>
  <c r="K443" i="11"/>
  <c r="K442" i="11"/>
  <c r="K441" i="11"/>
  <c r="K440" i="11"/>
  <c r="K439" i="11"/>
  <c r="K438" i="11"/>
  <c r="K437" i="11"/>
  <c r="K436" i="11"/>
  <c r="K435" i="11"/>
  <c r="K434" i="11"/>
  <c r="K433" i="11"/>
  <c r="K432" i="11"/>
  <c r="K431" i="11"/>
  <c r="K430" i="11"/>
  <c r="K429" i="11"/>
  <c r="K428" i="11"/>
  <c r="K427" i="11"/>
  <c r="K426" i="11"/>
  <c r="K425" i="11"/>
  <c r="K424" i="11"/>
  <c r="K423" i="11"/>
  <c r="K422" i="11"/>
  <c r="K421" i="11"/>
  <c r="K420" i="11"/>
  <c r="K419" i="11"/>
  <c r="K418" i="11"/>
  <c r="K417" i="11"/>
  <c r="K416" i="11"/>
  <c r="K415" i="11"/>
  <c r="K414" i="11"/>
  <c r="K413" i="11"/>
  <c r="K412" i="11"/>
  <c r="K411" i="11"/>
  <c r="K410" i="11"/>
  <c r="K409" i="11"/>
  <c r="K408" i="11"/>
  <c r="K407" i="11"/>
  <c r="K406" i="11"/>
  <c r="K405" i="11"/>
  <c r="K404" i="11"/>
  <c r="K403" i="11"/>
  <c r="K402" i="11"/>
  <c r="K401" i="11"/>
  <c r="K400" i="11"/>
  <c r="K399" i="11"/>
  <c r="K398" i="11"/>
  <c r="K397" i="11"/>
  <c r="K396" i="11"/>
  <c r="K395" i="11"/>
  <c r="K394" i="11"/>
  <c r="K393" i="11"/>
  <c r="K392" i="11"/>
  <c r="K391" i="11"/>
  <c r="K390" i="11"/>
  <c r="K389" i="11"/>
  <c r="K388" i="11"/>
  <c r="K387" i="11"/>
  <c r="K386" i="11"/>
  <c r="K385" i="11"/>
  <c r="K384" i="11"/>
  <c r="K383" i="11"/>
  <c r="K382" i="11"/>
  <c r="K381" i="11"/>
  <c r="K380" i="11"/>
  <c r="K379" i="11"/>
  <c r="K378" i="11"/>
  <c r="K377" i="11"/>
  <c r="K376" i="11"/>
  <c r="K375" i="11"/>
  <c r="K374" i="11"/>
  <c r="K373" i="11"/>
  <c r="K372" i="11"/>
  <c r="K371" i="11"/>
  <c r="K370" i="11"/>
  <c r="K369" i="11"/>
  <c r="K368" i="11"/>
  <c r="K367" i="11"/>
  <c r="K366" i="11"/>
  <c r="K365" i="11"/>
  <c r="K364" i="11"/>
  <c r="K363" i="11"/>
  <c r="K362" i="11"/>
  <c r="K361" i="11"/>
  <c r="K360" i="11"/>
  <c r="K359" i="11"/>
  <c r="K358" i="11"/>
  <c r="K357" i="11"/>
  <c r="K356" i="11"/>
  <c r="K355" i="11"/>
  <c r="K354" i="11"/>
  <c r="K353" i="11"/>
  <c r="K352" i="11"/>
  <c r="K351" i="11"/>
  <c r="K350" i="11"/>
  <c r="K349" i="11"/>
  <c r="K348" i="11"/>
  <c r="K347" i="11"/>
  <c r="K346" i="11"/>
  <c r="K345" i="11"/>
  <c r="K344" i="11"/>
  <c r="K343" i="11"/>
  <c r="K342" i="11"/>
  <c r="K341" i="11"/>
  <c r="K340" i="11"/>
  <c r="K339" i="11"/>
  <c r="K338" i="11"/>
  <c r="K337" i="11"/>
  <c r="K336" i="11"/>
  <c r="K335" i="11"/>
  <c r="K334" i="11"/>
  <c r="K333" i="11"/>
  <c r="K332" i="11"/>
  <c r="K331" i="11"/>
  <c r="K330" i="11"/>
  <c r="K329" i="11"/>
  <c r="K328" i="11"/>
  <c r="K327" i="11"/>
  <c r="K326" i="11"/>
  <c r="K325" i="11"/>
  <c r="K324" i="11"/>
  <c r="K323" i="11"/>
  <c r="K322" i="11"/>
  <c r="K321" i="11"/>
  <c r="K320" i="11"/>
  <c r="K319" i="11"/>
  <c r="K318" i="11"/>
  <c r="K317" i="11"/>
  <c r="K316" i="11"/>
  <c r="K315" i="11"/>
  <c r="K314" i="11"/>
  <c r="K313" i="11"/>
  <c r="K312" i="11"/>
  <c r="K311" i="11"/>
  <c r="K310" i="11"/>
  <c r="K309" i="11"/>
  <c r="K308" i="11"/>
  <c r="K307" i="11"/>
  <c r="K306" i="11"/>
  <c r="K305" i="11"/>
  <c r="K304" i="11"/>
  <c r="K303" i="11"/>
  <c r="K302" i="11"/>
  <c r="K301" i="11"/>
  <c r="K300" i="11"/>
  <c r="K299" i="11"/>
  <c r="K298" i="11"/>
  <c r="K297" i="11"/>
  <c r="K296" i="11"/>
  <c r="K295" i="11"/>
  <c r="K294" i="11"/>
  <c r="K293" i="11"/>
  <c r="K292" i="11"/>
  <c r="K291" i="11"/>
  <c r="K290" i="11"/>
  <c r="K289" i="11"/>
  <c r="K288" i="11"/>
  <c r="K287" i="11"/>
  <c r="K286" i="11"/>
  <c r="K285" i="11"/>
  <c r="K284" i="11"/>
  <c r="K283" i="11"/>
  <c r="K282" i="11"/>
  <c r="K281" i="11"/>
  <c r="K280" i="11"/>
  <c r="K279" i="11"/>
  <c r="K278" i="11"/>
  <c r="K277" i="11"/>
  <c r="K276" i="11"/>
  <c r="K275" i="11"/>
  <c r="K274" i="11"/>
  <c r="K273" i="11"/>
  <c r="K272" i="11"/>
  <c r="K271" i="11"/>
  <c r="K270" i="11"/>
  <c r="K269" i="11"/>
  <c r="K268" i="11"/>
  <c r="K267" i="11"/>
  <c r="K266" i="11"/>
  <c r="K265" i="11"/>
  <c r="K264" i="11"/>
  <c r="K263" i="11"/>
  <c r="K262" i="11"/>
  <c r="K261" i="11"/>
  <c r="K260" i="11"/>
  <c r="K259" i="11"/>
  <c r="K258" i="11"/>
  <c r="K257" i="11"/>
  <c r="K256" i="11"/>
  <c r="K255" i="11"/>
  <c r="K254" i="11"/>
  <c r="K253" i="11"/>
  <c r="K252" i="11"/>
  <c r="K251" i="11"/>
  <c r="K250" i="11"/>
  <c r="K249" i="11"/>
  <c r="K248" i="11"/>
  <c r="K247" i="11"/>
  <c r="K246" i="11"/>
  <c r="K245" i="11"/>
  <c r="K244" i="11"/>
  <c r="K243" i="11"/>
  <c r="K242" i="11"/>
  <c r="K241" i="11"/>
  <c r="K240" i="11"/>
  <c r="K239" i="11"/>
  <c r="K238" i="11"/>
  <c r="K237" i="11"/>
  <c r="K236" i="11"/>
  <c r="K235" i="11"/>
  <c r="K234" i="11"/>
  <c r="K233" i="11"/>
  <c r="K232" i="11"/>
  <c r="K231" i="11"/>
  <c r="K230" i="11"/>
  <c r="K229" i="11"/>
  <c r="K228" i="11"/>
  <c r="K227" i="11"/>
  <c r="K226" i="11"/>
  <c r="K225" i="11"/>
  <c r="K224" i="11"/>
  <c r="K223" i="11"/>
  <c r="K222" i="11"/>
  <c r="K221" i="11"/>
  <c r="K220" i="11"/>
  <c r="K219" i="11"/>
  <c r="K218" i="11"/>
  <c r="K217" i="11"/>
  <c r="K216" i="11"/>
  <c r="K215" i="11"/>
  <c r="K214" i="11"/>
  <c r="K213" i="11"/>
  <c r="K212" i="11"/>
  <c r="K211" i="11"/>
  <c r="K210" i="11"/>
  <c r="K209" i="11"/>
  <c r="K208" i="11"/>
  <c r="K207" i="11"/>
  <c r="K206" i="11"/>
  <c r="K205" i="11"/>
  <c r="K204" i="11"/>
  <c r="K203" i="11"/>
  <c r="K202" i="11"/>
  <c r="K201" i="11"/>
  <c r="K200" i="11"/>
  <c r="K199" i="11"/>
  <c r="K198" i="11"/>
  <c r="K197" i="11"/>
  <c r="K196" i="11"/>
  <c r="K195" i="11"/>
  <c r="K194" i="11"/>
  <c r="K193" i="11"/>
  <c r="K192" i="11"/>
  <c r="K191" i="11"/>
  <c r="K190" i="11"/>
  <c r="K189" i="11"/>
  <c r="K188" i="11"/>
  <c r="K187" i="11"/>
  <c r="K186" i="11"/>
  <c r="K185" i="11"/>
  <c r="K184" i="11"/>
  <c r="K183" i="11"/>
  <c r="K182" i="11"/>
  <c r="K181" i="11"/>
  <c r="K180" i="11"/>
  <c r="K179" i="11"/>
  <c r="K178" i="11"/>
  <c r="K177" i="11"/>
  <c r="K176" i="11"/>
  <c r="K175" i="11"/>
  <c r="K174" i="11"/>
  <c r="K173" i="11"/>
  <c r="K172" i="11"/>
  <c r="K171" i="11"/>
  <c r="K170" i="11"/>
  <c r="K169" i="11"/>
  <c r="K168" i="11"/>
  <c r="K167" i="11"/>
  <c r="K166" i="11"/>
  <c r="K165" i="11"/>
  <c r="K164" i="11"/>
  <c r="K163" i="11"/>
  <c r="K162" i="11"/>
  <c r="K161" i="11"/>
  <c r="K160" i="11"/>
  <c r="K159" i="11"/>
  <c r="K158" i="11"/>
  <c r="K157" i="11"/>
  <c r="K156" i="11"/>
  <c r="K155"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2" i="11"/>
  <c r="Z3" i="10"/>
  <c r="Z6" i="10"/>
  <c r="Z9" i="10"/>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2" i="9"/>
  <c r="AB6" i="9"/>
  <c r="AB3" i="9"/>
  <c r="X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X2" i="9"/>
  <c r="AA2" i="8"/>
  <c r="AA13" i="8"/>
  <c r="AA10" i="8"/>
  <c r="AA8" i="8"/>
  <c r="AA6" i="8"/>
  <c r="AA4" i="8"/>
  <c r="Z20" i="7"/>
  <c r="Z12" i="7"/>
  <c r="Z8" i="7"/>
  <c r="Z4" i="7"/>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2" i="6"/>
  <c r="Y7" i="5"/>
  <c r="Y3" i="5"/>
  <c r="Y4" i="5"/>
  <c r="Y5" i="5"/>
  <c r="Y6"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2" i="5"/>
  <c r="W501" i="5"/>
  <c r="W500" i="5"/>
  <c r="W499" i="5"/>
  <c r="W498" i="5"/>
  <c r="W497" i="5"/>
  <c r="W496" i="5"/>
  <c r="W495" i="5"/>
  <c r="W494" i="5"/>
  <c r="W493" i="5"/>
  <c r="W492" i="5"/>
  <c r="W491" i="5"/>
  <c r="W490" i="5"/>
  <c r="W489" i="5"/>
  <c r="W488" i="5"/>
  <c r="W487" i="5"/>
  <c r="W486" i="5"/>
  <c r="W485" i="5"/>
  <c r="W484" i="5"/>
  <c r="W483" i="5"/>
  <c r="W482" i="5"/>
  <c r="W481" i="5"/>
  <c r="W480" i="5"/>
  <c r="W479" i="5"/>
  <c r="W478" i="5"/>
  <c r="W477" i="5"/>
  <c r="W476" i="5"/>
  <c r="W475" i="5"/>
  <c r="W474" i="5"/>
  <c r="W473" i="5"/>
  <c r="W472" i="5"/>
  <c r="W471" i="5"/>
  <c r="W470" i="5"/>
  <c r="W469" i="5"/>
  <c r="W468" i="5"/>
  <c r="W467" i="5"/>
  <c r="W466" i="5"/>
  <c r="W465" i="5"/>
  <c r="W464" i="5"/>
  <c r="W463" i="5"/>
  <c r="W462" i="5"/>
  <c r="W461" i="5"/>
  <c r="W460" i="5"/>
  <c r="W459" i="5"/>
  <c r="W458" i="5"/>
  <c r="W457" i="5"/>
  <c r="W456" i="5"/>
  <c r="W455" i="5"/>
  <c r="W454" i="5"/>
  <c r="W453" i="5"/>
  <c r="W452" i="5"/>
  <c r="W451" i="5"/>
  <c r="W450" i="5"/>
  <c r="W449" i="5"/>
  <c r="W448" i="5"/>
  <c r="W447" i="5"/>
  <c r="W446" i="5"/>
  <c r="W445" i="5"/>
  <c r="W444" i="5"/>
  <c r="W443" i="5"/>
  <c r="W442" i="5"/>
  <c r="W441" i="5"/>
  <c r="W440" i="5"/>
  <c r="W439" i="5"/>
  <c r="W438" i="5"/>
  <c r="W437" i="5"/>
  <c r="W436" i="5"/>
  <c r="W435" i="5"/>
  <c r="W434" i="5"/>
  <c r="W433" i="5"/>
  <c r="W432" i="5"/>
  <c r="W431" i="5"/>
  <c r="W430" i="5"/>
  <c r="W429" i="5"/>
  <c r="W428" i="5"/>
  <c r="W427" i="5"/>
  <c r="W426" i="5"/>
  <c r="W425" i="5"/>
  <c r="W424" i="5"/>
  <c r="W423" i="5"/>
  <c r="W422" i="5"/>
  <c r="W421" i="5"/>
  <c r="W420" i="5"/>
  <c r="W419" i="5"/>
  <c r="W418" i="5"/>
  <c r="W417" i="5"/>
  <c r="W416" i="5"/>
  <c r="W415" i="5"/>
  <c r="W414" i="5"/>
  <c r="W413" i="5"/>
  <c r="W412" i="5"/>
  <c r="W411" i="5"/>
  <c r="W410" i="5"/>
  <c r="W409" i="5"/>
  <c r="W408" i="5"/>
  <c r="W407" i="5"/>
  <c r="W406" i="5"/>
  <c r="W405" i="5"/>
  <c r="W404" i="5"/>
  <c r="W403" i="5"/>
  <c r="W402" i="5"/>
  <c r="W401" i="5"/>
  <c r="W400" i="5"/>
  <c r="W399" i="5"/>
  <c r="W398" i="5"/>
  <c r="W397" i="5"/>
  <c r="W396" i="5"/>
  <c r="W395" i="5"/>
  <c r="W394" i="5"/>
  <c r="W393" i="5"/>
  <c r="W392" i="5"/>
  <c r="W391" i="5"/>
  <c r="W390" i="5"/>
  <c r="W389" i="5"/>
  <c r="W388" i="5"/>
  <c r="W387" i="5"/>
  <c r="W386" i="5"/>
  <c r="W385" i="5"/>
  <c r="W384" i="5"/>
  <c r="W383" i="5"/>
  <c r="W382" i="5"/>
  <c r="W381" i="5"/>
  <c r="W380" i="5"/>
  <c r="W379" i="5"/>
  <c r="W378" i="5"/>
  <c r="W377" i="5"/>
  <c r="W376" i="5"/>
  <c r="W375" i="5"/>
  <c r="W374" i="5"/>
  <c r="W373" i="5"/>
  <c r="W372" i="5"/>
  <c r="W371" i="5"/>
  <c r="W370" i="5"/>
  <c r="W369" i="5"/>
  <c r="W368" i="5"/>
  <c r="W367" i="5"/>
  <c r="W366" i="5"/>
  <c r="W365" i="5"/>
  <c r="W364" i="5"/>
  <c r="W363" i="5"/>
  <c r="W362" i="5"/>
  <c r="W361" i="5"/>
  <c r="W360" i="5"/>
  <c r="W359" i="5"/>
  <c r="W358" i="5"/>
  <c r="W357" i="5"/>
  <c r="W356" i="5"/>
  <c r="W355" i="5"/>
  <c r="W354" i="5"/>
  <c r="W353" i="5"/>
  <c r="W352" i="5"/>
  <c r="W351" i="5"/>
  <c r="W350" i="5"/>
  <c r="W349" i="5"/>
  <c r="W348" i="5"/>
  <c r="W347" i="5"/>
  <c r="W346" i="5"/>
  <c r="W345" i="5"/>
  <c r="W344" i="5"/>
  <c r="W343" i="5"/>
  <c r="W342" i="5"/>
  <c r="W341" i="5"/>
  <c r="W340" i="5"/>
  <c r="W339" i="5"/>
  <c r="W338" i="5"/>
  <c r="W337" i="5"/>
  <c r="W336" i="5"/>
  <c r="W335" i="5"/>
  <c r="W334" i="5"/>
  <c r="W333" i="5"/>
  <c r="W332" i="5"/>
  <c r="W331" i="5"/>
  <c r="W330" i="5"/>
  <c r="W329" i="5"/>
  <c r="W328" i="5"/>
  <c r="W327" i="5"/>
  <c r="W326" i="5"/>
  <c r="W325" i="5"/>
  <c r="W324" i="5"/>
  <c r="W323" i="5"/>
  <c r="W322" i="5"/>
  <c r="W321" i="5"/>
  <c r="W320" i="5"/>
  <c r="W319" i="5"/>
  <c r="W318" i="5"/>
  <c r="W317" i="5"/>
  <c r="W316" i="5"/>
  <c r="W315" i="5"/>
  <c r="W314" i="5"/>
  <c r="W313" i="5"/>
  <c r="W312" i="5"/>
  <c r="W311" i="5"/>
  <c r="W310" i="5"/>
  <c r="W309" i="5"/>
  <c r="W308" i="5"/>
  <c r="W307" i="5"/>
  <c r="W306" i="5"/>
  <c r="W305" i="5"/>
  <c r="W304" i="5"/>
  <c r="W303" i="5"/>
  <c r="W302" i="5"/>
  <c r="W301" i="5"/>
  <c r="W300" i="5"/>
  <c r="W299" i="5"/>
  <c r="W298" i="5"/>
  <c r="W297" i="5"/>
  <c r="W296" i="5"/>
  <c r="W295" i="5"/>
  <c r="W294" i="5"/>
  <c r="W293" i="5"/>
  <c r="W292" i="5"/>
  <c r="W291" i="5"/>
  <c r="W290" i="5"/>
  <c r="W289" i="5"/>
  <c r="W288" i="5"/>
  <c r="W287" i="5"/>
  <c r="W286" i="5"/>
  <c r="W285" i="5"/>
  <c r="W284" i="5"/>
  <c r="W283" i="5"/>
  <c r="W282" i="5"/>
  <c r="W281" i="5"/>
  <c r="W280" i="5"/>
  <c r="W279" i="5"/>
  <c r="W278" i="5"/>
  <c r="W277" i="5"/>
  <c r="W276" i="5"/>
  <c r="W275" i="5"/>
  <c r="W274" i="5"/>
  <c r="W273" i="5"/>
  <c r="W272" i="5"/>
  <c r="W271" i="5"/>
  <c r="W270" i="5"/>
  <c r="W269" i="5"/>
  <c r="W268" i="5"/>
  <c r="W267" i="5"/>
  <c r="W266" i="5"/>
  <c r="W265" i="5"/>
  <c r="W264" i="5"/>
  <c r="W263" i="5"/>
  <c r="W262" i="5"/>
  <c r="W261" i="5"/>
  <c r="W260" i="5"/>
  <c r="W259" i="5"/>
  <c r="W258" i="5"/>
  <c r="W257" i="5"/>
  <c r="W256" i="5"/>
  <c r="W255" i="5"/>
  <c r="W254" i="5"/>
  <c r="W253" i="5"/>
  <c r="W252" i="5"/>
  <c r="W251" i="5"/>
  <c r="W250" i="5"/>
  <c r="W249" i="5"/>
  <c r="W248" i="5"/>
  <c r="W247" i="5"/>
  <c r="W246" i="5"/>
  <c r="W245" i="5"/>
  <c r="W244" i="5"/>
  <c r="W243" i="5"/>
  <c r="W242" i="5"/>
  <c r="W241" i="5"/>
  <c r="W240" i="5"/>
  <c r="W239" i="5"/>
  <c r="W238" i="5"/>
  <c r="W237" i="5"/>
  <c r="W236" i="5"/>
  <c r="W235" i="5"/>
  <c r="W234" i="5"/>
  <c r="W233" i="5"/>
  <c r="W232" i="5"/>
  <c r="W231" i="5"/>
  <c r="W230" i="5"/>
  <c r="W229" i="5"/>
  <c r="W228" i="5"/>
  <c r="W227" i="5"/>
  <c r="W226" i="5"/>
  <c r="W225" i="5"/>
  <c r="W224" i="5"/>
  <c r="W223" i="5"/>
  <c r="W222" i="5"/>
  <c r="W221" i="5"/>
  <c r="W220" i="5"/>
  <c r="W219" i="5"/>
  <c r="W218" i="5"/>
  <c r="W217" i="5"/>
  <c r="W216" i="5"/>
  <c r="W215" i="5"/>
  <c r="W214" i="5"/>
  <c r="W213" i="5"/>
  <c r="W212" i="5"/>
  <c r="W211" i="5"/>
  <c r="W210" i="5"/>
  <c r="W209" i="5"/>
  <c r="W208" i="5"/>
  <c r="W207" i="5"/>
  <c r="W206" i="5"/>
  <c r="W205" i="5"/>
  <c r="W204" i="5"/>
  <c r="W203" i="5"/>
  <c r="W202" i="5"/>
  <c r="W201" i="5"/>
  <c r="W200" i="5"/>
  <c r="W199" i="5"/>
  <c r="W198" i="5"/>
  <c r="W197" i="5"/>
  <c r="W196" i="5"/>
  <c r="W195" i="5"/>
  <c r="W194" i="5"/>
  <c r="W193" i="5"/>
  <c r="W192" i="5"/>
  <c r="W191" i="5"/>
  <c r="W190" i="5"/>
  <c r="W189" i="5"/>
  <c r="W188" i="5"/>
  <c r="W187" i="5"/>
  <c r="W186" i="5"/>
  <c r="W185" i="5"/>
  <c r="W184" i="5"/>
  <c r="W183" i="5"/>
  <c r="W182" i="5"/>
  <c r="W181" i="5"/>
  <c r="W180" i="5"/>
  <c r="W179" i="5"/>
  <c r="W178" i="5"/>
  <c r="W177" i="5"/>
  <c r="W176" i="5"/>
  <c r="W175" i="5"/>
  <c r="W174" i="5"/>
  <c r="W173" i="5"/>
  <c r="W172" i="5"/>
  <c r="W171" i="5"/>
  <c r="W170" i="5"/>
  <c r="W169" i="5"/>
  <c r="W168" i="5"/>
  <c r="W167" i="5"/>
  <c r="W166" i="5"/>
  <c r="W165" i="5"/>
  <c r="W164" i="5"/>
  <c r="W163" i="5"/>
  <c r="W162" i="5"/>
  <c r="W161" i="5"/>
  <c r="W160" i="5"/>
  <c r="W159" i="5"/>
  <c r="W158" i="5"/>
  <c r="W157" i="5"/>
  <c r="W156" i="5"/>
  <c r="W155" i="5"/>
  <c r="W154" i="5"/>
  <c r="W153" i="5"/>
  <c r="W152" i="5"/>
  <c r="W151" i="5"/>
  <c r="W150" i="5"/>
  <c r="W149" i="5"/>
  <c r="W148" i="5"/>
  <c r="W147" i="5"/>
  <c r="W146" i="5"/>
  <c r="W145" i="5"/>
  <c r="W144" i="5"/>
  <c r="W143" i="5"/>
  <c r="W142" i="5"/>
  <c r="W141" i="5"/>
  <c r="W140" i="5"/>
  <c r="W139" i="5"/>
  <c r="W138" i="5"/>
  <c r="W137" i="5"/>
  <c r="W136" i="5"/>
  <c r="W135" i="5"/>
  <c r="W134" i="5"/>
  <c r="W133" i="5"/>
  <c r="W132" i="5"/>
  <c r="W131" i="5"/>
  <c r="W130" i="5"/>
  <c r="W129" i="5"/>
  <c r="W128" i="5"/>
  <c r="W127" i="5"/>
  <c r="W126" i="5"/>
  <c r="W125" i="5"/>
  <c r="W124" i="5"/>
  <c r="W123" i="5"/>
  <c r="W122" i="5"/>
  <c r="W121" i="5"/>
  <c r="W120" i="5"/>
  <c r="W119" i="5"/>
  <c r="W118" i="5"/>
  <c r="W117" i="5"/>
  <c r="W116" i="5"/>
  <c r="W115" i="5"/>
  <c r="W114" i="5"/>
  <c r="W113" i="5"/>
  <c r="W112" i="5"/>
  <c r="W111" i="5"/>
  <c r="W110"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W2" i="5"/>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2" i="4"/>
  <c r="Y22" i="4"/>
  <c r="Y38" i="4"/>
  <c r="Y54" i="4"/>
  <c r="X3" i="4"/>
  <c r="Y3" i="4" s="1"/>
  <c r="X4" i="4"/>
  <c r="Y4" i="4" s="1"/>
  <c r="X5" i="4"/>
  <c r="Y5" i="4" s="1"/>
  <c r="X6" i="4"/>
  <c r="Y6" i="4" s="1"/>
  <c r="X7" i="4"/>
  <c r="Y7" i="4" s="1"/>
  <c r="X8" i="4"/>
  <c r="Y8" i="4" s="1"/>
  <c r="X9" i="4"/>
  <c r="Y9" i="4" s="1"/>
  <c r="X10" i="4"/>
  <c r="Y10" i="4" s="1"/>
  <c r="X11" i="4"/>
  <c r="Y11" i="4" s="1"/>
  <c r="X12" i="4"/>
  <c r="Y12" i="4" s="1"/>
  <c r="X13" i="4"/>
  <c r="Y13" i="4" s="1"/>
  <c r="X14" i="4"/>
  <c r="Y14" i="4" s="1"/>
  <c r="X15" i="4"/>
  <c r="Y15" i="4" s="1"/>
  <c r="X16" i="4"/>
  <c r="Y16" i="4" s="1"/>
  <c r="X17" i="4"/>
  <c r="Y17" i="4" s="1"/>
  <c r="X18" i="4"/>
  <c r="Y18" i="4" s="1"/>
  <c r="X19" i="4"/>
  <c r="Y19" i="4" s="1"/>
  <c r="X20" i="4"/>
  <c r="Y20" i="4" s="1"/>
  <c r="X21" i="4"/>
  <c r="Y21" i="4" s="1"/>
  <c r="X22" i="4"/>
  <c r="X23" i="4"/>
  <c r="Y23" i="4" s="1"/>
  <c r="X24" i="4"/>
  <c r="Y24" i="4" s="1"/>
  <c r="X25" i="4"/>
  <c r="Y25" i="4" s="1"/>
  <c r="X26" i="4"/>
  <c r="Y26" i="4" s="1"/>
  <c r="X27" i="4"/>
  <c r="Y27" i="4" s="1"/>
  <c r="X28" i="4"/>
  <c r="Y28" i="4" s="1"/>
  <c r="X29" i="4"/>
  <c r="Y29" i="4" s="1"/>
  <c r="X30" i="4"/>
  <c r="Y30" i="4" s="1"/>
  <c r="X31" i="4"/>
  <c r="Y31" i="4" s="1"/>
  <c r="X32" i="4"/>
  <c r="Y32" i="4" s="1"/>
  <c r="X33" i="4"/>
  <c r="Y33" i="4" s="1"/>
  <c r="X34" i="4"/>
  <c r="Y34" i="4" s="1"/>
  <c r="X35" i="4"/>
  <c r="Y35" i="4" s="1"/>
  <c r="X36" i="4"/>
  <c r="Y36" i="4" s="1"/>
  <c r="X37" i="4"/>
  <c r="Y37" i="4" s="1"/>
  <c r="X38" i="4"/>
  <c r="X39" i="4"/>
  <c r="Y39" i="4" s="1"/>
  <c r="X40" i="4"/>
  <c r="Y40" i="4" s="1"/>
  <c r="X41" i="4"/>
  <c r="Y41" i="4" s="1"/>
  <c r="X42" i="4"/>
  <c r="Y42" i="4" s="1"/>
  <c r="X43" i="4"/>
  <c r="Y43" i="4" s="1"/>
  <c r="X44" i="4"/>
  <c r="Y44" i="4" s="1"/>
  <c r="X45" i="4"/>
  <c r="Y45" i="4" s="1"/>
  <c r="X46" i="4"/>
  <c r="Y46" i="4" s="1"/>
  <c r="X47" i="4"/>
  <c r="Y47" i="4" s="1"/>
  <c r="X48" i="4"/>
  <c r="Y48" i="4" s="1"/>
  <c r="X49" i="4"/>
  <c r="Y49" i="4" s="1"/>
  <c r="X50" i="4"/>
  <c r="Y50" i="4" s="1"/>
  <c r="X51" i="4"/>
  <c r="Y51" i="4" s="1"/>
  <c r="X52" i="4"/>
  <c r="Y52" i="4" s="1"/>
  <c r="X53" i="4"/>
  <c r="Y53" i="4" s="1"/>
  <c r="X54" i="4"/>
  <c r="X55" i="4"/>
  <c r="Y55" i="4" s="1"/>
  <c r="X56" i="4"/>
  <c r="Y56" i="4" s="1"/>
  <c r="X57" i="4"/>
  <c r="Y57" i="4" s="1"/>
  <c r="X58" i="4"/>
  <c r="Y58" i="4" s="1"/>
  <c r="X59" i="4"/>
  <c r="Y59" i="4" s="1"/>
  <c r="X60" i="4"/>
  <c r="Y60" i="4" s="1"/>
  <c r="X61" i="4"/>
  <c r="Y61" i="4" s="1"/>
  <c r="X62" i="4"/>
  <c r="Y62" i="4" s="1"/>
  <c r="X63" i="4"/>
  <c r="Y63" i="4" s="1"/>
  <c r="X64" i="4"/>
  <c r="Y64" i="4" s="1"/>
  <c r="X65" i="4"/>
  <c r="Y65" i="4" s="1"/>
  <c r="X66" i="4"/>
  <c r="Y66" i="4" s="1"/>
  <c r="X67" i="4"/>
  <c r="Y67" i="4" s="1"/>
  <c r="X68" i="4"/>
  <c r="Y68" i="4" s="1"/>
  <c r="X69" i="4"/>
  <c r="Y69" i="4" s="1"/>
  <c r="X70" i="4"/>
  <c r="Y70" i="4" s="1"/>
  <c r="X71" i="4"/>
  <c r="Y71" i="4" s="1"/>
  <c r="X72" i="4"/>
  <c r="Y72" i="4" s="1"/>
  <c r="X73" i="4"/>
  <c r="Y73" i="4" s="1"/>
  <c r="X74" i="4"/>
  <c r="Y74" i="4" s="1"/>
  <c r="X75" i="4"/>
  <c r="Y75" i="4" s="1"/>
  <c r="X76" i="4"/>
  <c r="Y76" i="4" s="1"/>
  <c r="X77" i="4"/>
  <c r="Y77" i="4" s="1"/>
  <c r="X78" i="4"/>
  <c r="Y78" i="4" s="1"/>
  <c r="X79" i="4"/>
  <c r="Y79" i="4" s="1"/>
  <c r="X80" i="4"/>
  <c r="Y80" i="4" s="1"/>
  <c r="X81" i="4"/>
  <c r="Y81" i="4" s="1"/>
  <c r="X82" i="4"/>
  <c r="Y82" i="4" s="1"/>
  <c r="X83" i="4"/>
  <c r="Y83" i="4" s="1"/>
  <c r="X84" i="4"/>
  <c r="Y84" i="4" s="1"/>
  <c r="X85" i="4"/>
  <c r="Y85" i="4" s="1"/>
  <c r="X86" i="4"/>
  <c r="Y86" i="4" s="1"/>
  <c r="X87" i="4"/>
  <c r="Y87" i="4" s="1"/>
  <c r="X88" i="4"/>
  <c r="Y88" i="4" s="1"/>
  <c r="X89" i="4"/>
  <c r="Y89" i="4" s="1"/>
  <c r="X90" i="4"/>
  <c r="Y90" i="4" s="1"/>
  <c r="X91" i="4"/>
  <c r="Y91" i="4" s="1"/>
  <c r="X92" i="4"/>
  <c r="Y92" i="4" s="1"/>
  <c r="X93" i="4"/>
  <c r="Y93" i="4" s="1"/>
  <c r="X94" i="4"/>
  <c r="Y94" i="4" s="1"/>
  <c r="X95" i="4"/>
  <c r="Y95" i="4" s="1"/>
  <c r="X96" i="4"/>
  <c r="Y96" i="4" s="1"/>
  <c r="X97" i="4"/>
  <c r="Y97" i="4" s="1"/>
  <c r="X98" i="4"/>
  <c r="Y98" i="4" s="1"/>
  <c r="X99" i="4"/>
  <c r="Y99" i="4" s="1"/>
  <c r="X100" i="4"/>
  <c r="Y100" i="4" s="1"/>
  <c r="X101" i="4"/>
  <c r="Y101" i="4" s="1"/>
  <c r="X102" i="4"/>
  <c r="Y102" i="4" s="1"/>
  <c r="X103" i="4"/>
  <c r="Y103" i="4" s="1"/>
  <c r="X104" i="4"/>
  <c r="Y104" i="4" s="1"/>
  <c r="X105" i="4"/>
  <c r="Y105" i="4" s="1"/>
  <c r="X106" i="4"/>
  <c r="Y106" i="4" s="1"/>
  <c r="X107" i="4"/>
  <c r="Y107" i="4" s="1"/>
  <c r="X108" i="4"/>
  <c r="Y108" i="4" s="1"/>
  <c r="X109" i="4"/>
  <c r="Y109" i="4" s="1"/>
  <c r="X110" i="4"/>
  <c r="Y110" i="4" s="1"/>
  <c r="X111" i="4"/>
  <c r="Y111" i="4" s="1"/>
  <c r="X112" i="4"/>
  <c r="Y112" i="4" s="1"/>
  <c r="X113" i="4"/>
  <c r="Y113" i="4" s="1"/>
  <c r="X114" i="4"/>
  <c r="Y114" i="4" s="1"/>
  <c r="X115" i="4"/>
  <c r="Y115" i="4" s="1"/>
  <c r="X116" i="4"/>
  <c r="Y116" i="4" s="1"/>
  <c r="X117" i="4"/>
  <c r="Y117" i="4" s="1"/>
  <c r="X118" i="4"/>
  <c r="Y118" i="4" s="1"/>
  <c r="X119" i="4"/>
  <c r="Y119" i="4" s="1"/>
  <c r="X120" i="4"/>
  <c r="Y120" i="4" s="1"/>
  <c r="X121" i="4"/>
  <c r="Y121" i="4" s="1"/>
  <c r="X122" i="4"/>
  <c r="Y122" i="4" s="1"/>
  <c r="X123" i="4"/>
  <c r="Y123" i="4" s="1"/>
  <c r="X124" i="4"/>
  <c r="Y124" i="4" s="1"/>
  <c r="X125" i="4"/>
  <c r="Y125" i="4" s="1"/>
  <c r="X126" i="4"/>
  <c r="Y126" i="4" s="1"/>
  <c r="X127" i="4"/>
  <c r="Y127" i="4" s="1"/>
  <c r="X128" i="4"/>
  <c r="Y128" i="4" s="1"/>
  <c r="X129" i="4"/>
  <c r="Y129" i="4" s="1"/>
  <c r="X130" i="4"/>
  <c r="Y130" i="4" s="1"/>
  <c r="X131" i="4"/>
  <c r="Y131" i="4" s="1"/>
  <c r="X132" i="4"/>
  <c r="Y132" i="4" s="1"/>
  <c r="X133" i="4"/>
  <c r="Y133" i="4" s="1"/>
  <c r="X134" i="4"/>
  <c r="Y134" i="4" s="1"/>
  <c r="X135" i="4"/>
  <c r="Y135" i="4" s="1"/>
  <c r="X136" i="4"/>
  <c r="Y136" i="4" s="1"/>
  <c r="X137" i="4"/>
  <c r="Y137" i="4" s="1"/>
  <c r="X138" i="4"/>
  <c r="Y138" i="4" s="1"/>
  <c r="X139" i="4"/>
  <c r="Y139" i="4" s="1"/>
  <c r="X140" i="4"/>
  <c r="Y140" i="4" s="1"/>
  <c r="X141" i="4"/>
  <c r="Y141" i="4" s="1"/>
  <c r="X142" i="4"/>
  <c r="Y142" i="4" s="1"/>
  <c r="X143" i="4"/>
  <c r="Y143" i="4" s="1"/>
  <c r="X144" i="4"/>
  <c r="Y144" i="4" s="1"/>
  <c r="X145" i="4"/>
  <c r="Y145" i="4" s="1"/>
  <c r="X146" i="4"/>
  <c r="Y146" i="4" s="1"/>
  <c r="X147" i="4"/>
  <c r="Y147" i="4" s="1"/>
  <c r="X148" i="4"/>
  <c r="Y148" i="4" s="1"/>
  <c r="X149" i="4"/>
  <c r="Y149" i="4" s="1"/>
  <c r="X150" i="4"/>
  <c r="Y150" i="4" s="1"/>
  <c r="X151" i="4"/>
  <c r="Y151" i="4" s="1"/>
  <c r="X152" i="4"/>
  <c r="Y152" i="4" s="1"/>
  <c r="X153" i="4"/>
  <c r="Y153" i="4" s="1"/>
  <c r="X154" i="4"/>
  <c r="Y154" i="4" s="1"/>
  <c r="X155" i="4"/>
  <c r="Y155" i="4" s="1"/>
  <c r="X156" i="4"/>
  <c r="Y156" i="4" s="1"/>
  <c r="X157" i="4"/>
  <c r="Y157" i="4" s="1"/>
  <c r="X158" i="4"/>
  <c r="Y158" i="4" s="1"/>
  <c r="X159" i="4"/>
  <c r="Y159" i="4" s="1"/>
  <c r="X160" i="4"/>
  <c r="Y160" i="4" s="1"/>
  <c r="X161" i="4"/>
  <c r="Y161" i="4" s="1"/>
  <c r="X162" i="4"/>
  <c r="Y162" i="4" s="1"/>
  <c r="X163" i="4"/>
  <c r="Y163" i="4" s="1"/>
  <c r="X164" i="4"/>
  <c r="Y164" i="4" s="1"/>
  <c r="X165" i="4"/>
  <c r="Y165" i="4" s="1"/>
  <c r="X166" i="4"/>
  <c r="Y166" i="4" s="1"/>
  <c r="X167" i="4"/>
  <c r="Y167" i="4" s="1"/>
  <c r="X168" i="4"/>
  <c r="Y168" i="4" s="1"/>
  <c r="X169" i="4"/>
  <c r="Y169" i="4" s="1"/>
  <c r="X170" i="4"/>
  <c r="Y170" i="4" s="1"/>
  <c r="X171" i="4"/>
  <c r="Y171" i="4" s="1"/>
  <c r="X172" i="4"/>
  <c r="Y172" i="4" s="1"/>
  <c r="X173" i="4"/>
  <c r="Y173" i="4" s="1"/>
  <c r="X174" i="4"/>
  <c r="Y174" i="4" s="1"/>
  <c r="X175" i="4"/>
  <c r="Y175" i="4" s="1"/>
  <c r="X176" i="4"/>
  <c r="Y176" i="4" s="1"/>
  <c r="X177" i="4"/>
  <c r="Y177" i="4" s="1"/>
  <c r="X178" i="4"/>
  <c r="Y178" i="4" s="1"/>
  <c r="X179" i="4"/>
  <c r="Y179" i="4" s="1"/>
  <c r="X180" i="4"/>
  <c r="Y180" i="4" s="1"/>
  <c r="X181" i="4"/>
  <c r="Y181" i="4" s="1"/>
  <c r="X182" i="4"/>
  <c r="Y182" i="4" s="1"/>
  <c r="X183" i="4"/>
  <c r="Y183" i="4" s="1"/>
  <c r="X184" i="4"/>
  <c r="Y184" i="4" s="1"/>
  <c r="X185" i="4"/>
  <c r="Y185" i="4" s="1"/>
  <c r="X186" i="4"/>
  <c r="Y186" i="4" s="1"/>
  <c r="X187" i="4"/>
  <c r="Y187" i="4" s="1"/>
  <c r="X188" i="4"/>
  <c r="Y188" i="4" s="1"/>
  <c r="X189" i="4"/>
  <c r="Y189" i="4" s="1"/>
  <c r="X190" i="4"/>
  <c r="Y190" i="4" s="1"/>
  <c r="X191" i="4"/>
  <c r="Y191" i="4" s="1"/>
  <c r="X192" i="4"/>
  <c r="Y192" i="4" s="1"/>
  <c r="X193" i="4"/>
  <c r="Y193" i="4" s="1"/>
  <c r="X194" i="4"/>
  <c r="Y194" i="4" s="1"/>
  <c r="X195" i="4"/>
  <c r="Y195" i="4" s="1"/>
  <c r="X196" i="4"/>
  <c r="Y196" i="4" s="1"/>
  <c r="X197" i="4"/>
  <c r="Y197" i="4" s="1"/>
  <c r="X198" i="4"/>
  <c r="Y198" i="4" s="1"/>
  <c r="X199" i="4"/>
  <c r="Y199" i="4" s="1"/>
  <c r="X200" i="4"/>
  <c r="Y200" i="4" s="1"/>
  <c r="X201" i="4"/>
  <c r="Y201" i="4" s="1"/>
  <c r="X202" i="4"/>
  <c r="Y202" i="4" s="1"/>
  <c r="X203" i="4"/>
  <c r="Y203" i="4" s="1"/>
  <c r="X204" i="4"/>
  <c r="Y204" i="4" s="1"/>
  <c r="X205" i="4"/>
  <c r="Y205" i="4" s="1"/>
  <c r="X206" i="4"/>
  <c r="Y206" i="4" s="1"/>
  <c r="X207" i="4"/>
  <c r="Y207" i="4" s="1"/>
  <c r="X208" i="4"/>
  <c r="Y208" i="4" s="1"/>
  <c r="X209" i="4"/>
  <c r="Y209" i="4" s="1"/>
  <c r="X210" i="4"/>
  <c r="Y210" i="4" s="1"/>
  <c r="X211" i="4"/>
  <c r="Y211" i="4" s="1"/>
  <c r="X212" i="4"/>
  <c r="Y212" i="4" s="1"/>
  <c r="X213" i="4"/>
  <c r="Y213" i="4" s="1"/>
  <c r="X214" i="4"/>
  <c r="Y214" i="4" s="1"/>
  <c r="X215" i="4"/>
  <c r="Y215" i="4" s="1"/>
  <c r="X216" i="4"/>
  <c r="Y216" i="4" s="1"/>
  <c r="X217" i="4"/>
  <c r="Y217" i="4" s="1"/>
  <c r="X218" i="4"/>
  <c r="Y218" i="4" s="1"/>
  <c r="X219" i="4"/>
  <c r="Y219" i="4" s="1"/>
  <c r="X220" i="4"/>
  <c r="Y220" i="4" s="1"/>
  <c r="X221" i="4"/>
  <c r="Y221" i="4" s="1"/>
  <c r="X222" i="4"/>
  <c r="Y222" i="4" s="1"/>
  <c r="X223" i="4"/>
  <c r="Y223" i="4" s="1"/>
  <c r="X224" i="4"/>
  <c r="Y224" i="4" s="1"/>
  <c r="X225" i="4"/>
  <c r="Y225" i="4" s="1"/>
  <c r="X226" i="4"/>
  <c r="Y226" i="4" s="1"/>
  <c r="X227" i="4"/>
  <c r="Y227" i="4" s="1"/>
  <c r="X228" i="4"/>
  <c r="Y228" i="4" s="1"/>
  <c r="X229" i="4"/>
  <c r="Y229" i="4" s="1"/>
  <c r="X230" i="4"/>
  <c r="Y230" i="4" s="1"/>
  <c r="X231" i="4"/>
  <c r="Y231" i="4" s="1"/>
  <c r="X232" i="4"/>
  <c r="Y232" i="4" s="1"/>
  <c r="X233" i="4"/>
  <c r="Y233" i="4" s="1"/>
  <c r="X234" i="4"/>
  <c r="Y234" i="4" s="1"/>
  <c r="X235" i="4"/>
  <c r="Y235" i="4" s="1"/>
  <c r="X236" i="4"/>
  <c r="Y236" i="4" s="1"/>
  <c r="X237" i="4"/>
  <c r="Y237" i="4" s="1"/>
  <c r="X238" i="4"/>
  <c r="Y238" i="4" s="1"/>
  <c r="X239" i="4"/>
  <c r="Y239" i="4" s="1"/>
  <c r="X240" i="4"/>
  <c r="Y240" i="4" s="1"/>
  <c r="X241" i="4"/>
  <c r="Y241" i="4" s="1"/>
  <c r="X242" i="4"/>
  <c r="Y242" i="4" s="1"/>
  <c r="X243" i="4"/>
  <c r="Y243" i="4" s="1"/>
  <c r="X244" i="4"/>
  <c r="Y244" i="4" s="1"/>
  <c r="X245" i="4"/>
  <c r="Y245" i="4" s="1"/>
  <c r="X246" i="4"/>
  <c r="Y246" i="4" s="1"/>
  <c r="X247" i="4"/>
  <c r="Y247" i="4" s="1"/>
  <c r="X248" i="4"/>
  <c r="Y248" i="4" s="1"/>
  <c r="X249" i="4"/>
  <c r="Y249" i="4" s="1"/>
  <c r="X250" i="4"/>
  <c r="Y250" i="4" s="1"/>
  <c r="X251" i="4"/>
  <c r="Y251" i="4" s="1"/>
  <c r="X252" i="4"/>
  <c r="Y252" i="4" s="1"/>
  <c r="X253" i="4"/>
  <c r="Y253" i="4" s="1"/>
  <c r="X254" i="4"/>
  <c r="Y254" i="4" s="1"/>
  <c r="X255" i="4"/>
  <c r="Y255" i="4" s="1"/>
  <c r="X256" i="4"/>
  <c r="Y256" i="4" s="1"/>
  <c r="X257" i="4"/>
  <c r="Y257" i="4" s="1"/>
  <c r="X258" i="4"/>
  <c r="Y258" i="4" s="1"/>
  <c r="X259" i="4"/>
  <c r="Y259" i="4" s="1"/>
  <c r="X260" i="4"/>
  <c r="Y260" i="4" s="1"/>
  <c r="X261" i="4"/>
  <c r="Y261" i="4" s="1"/>
  <c r="X262" i="4"/>
  <c r="Y262" i="4" s="1"/>
  <c r="X263" i="4"/>
  <c r="Y263" i="4" s="1"/>
  <c r="X264" i="4"/>
  <c r="Y264" i="4" s="1"/>
  <c r="X265" i="4"/>
  <c r="Y265" i="4" s="1"/>
  <c r="X266" i="4"/>
  <c r="Y266" i="4" s="1"/>
  <c r="X267" i="4"/>
  <c r="Y267" i="4" s="1"/>
  <c r="X268" i="4"/>
  <c r="Y268" i="4" s="1"/>
  <c r="X269" i="4"/>
  <c r="Y269" i="4" s="1"/>
  <c r="X270" i="4"/>
  <c r="Y270" i="4" s="1"/>
  <c r="X271" i="4"/>
  <c r="Y271" i="4" s="1"/>
  <c r="X272" i="4"/>
  <c r="Y272" i="4" s="1"/>
  <c r="X273" i="4"/>
  <c r="Y273" i="4" s="1"/>
  <c r="X274" i="4"/>
  <c r="Y274" i="4" s="1"/>
  <c r="X275" i="4"/>
  <c r="Y275" i="4" s="1"/>
  <c r="X276" i="4"/>
  <c r="Y276" i="4" s="1"/>
  <c r="X277" i="4"/>
  <c r="Y277" i="4" s="1"/>
  <c r="X278" i="4"/>
  <c r="Y278" i="4" s="1"/>
  <c r="X279" i="4"/>
  <c r="Y279" i="4" s="1"/>
  <c r="X280" i="4"/>
  <c r="Y280" i="4" s="1"/>
  <c r="X281" i="4"/>
  <c r="Y281" i="4" s="1"/>
  <c r="X282" i="4"/>
  <c r="Y282" i="4" s="1"/>
  <c r="X283" i="4"/>
  <c r="Y283" i="4" s="1"/>
  <c r="X284" i="4"/>
  <c r="Y284" i="4" s="1"/>
  <c r="X285" i="4"/>
  <c r="Y285" i="4" s="1"/>
  <c r="X286" i="4"/>
  <c r="Y286" i="4" s="1"/>
  <c r="X287" i="4"/>
  <c r="Y287" i="4" s="1"/>
  <c r="X288" i="4"/>
  <c r="Y288" i="4" s="1"/>
  <c r="X289" i="4"/>
  <c r="Y289" i="4" s="1"/>
  <c r="X290" i="4"/>
  <c r="Y290" i="4" s="1"/>
  <c r="X291" i="4"/>
  <c r="Y291" i="4" s="1"/>
  <c r="X292" i="4"/>
  <c r="Y292" i="4" s="1"/>
  <c r="X293" i="4"/>
  <c r="Y293" i="4" s="1"/>
  <c r="X294" i="4"/>
  <c r="Y294" i="4" s="1"/>
  <c r="X295" i="4"/>
  <c r="Y295" i="4" s="1"/>
  <c r="X296" i="4"/>
  <c r="Y296" i="4" s="1"/>
  <c r="X297" i="4"/>
  <c r="Y297" i="4" s="1"/>
  <c r="X298" i="4"/>
  <c r="Y298" i="4" s="1"/>
  <c r="X299" i="4"/>
  <c r="Y299" i="4" s="1"/>
  <c r="X300" i="4"/>
  <c r="Y300" i="4" s="1"/>
  <c r="X301" i="4"/>
  <c r="Y301" i="4" s="1"/>
  <c r="X302" i="4"/>
  <c r="Y302" i="4" s="1"/>
  <c r="X303" i="4"/>
  <c r="Y303" i="4" s="1"/>
  <c r="X304" i="4"/>
  <c r="Y304" i="4" s="1"/>
  <c r="X305" i="4"/>
  <c r="Y305" i="4" s="1"/>
  <c r="X306" i="4"/>
  <c r="Y306" i="4" s="1"/>
  <c r="X307" i="4"/>
  <c r="Y307" i="4" s="1"/>
  <c r="X308" i="4"/>
  <c r="Y308" i="4" s="1"/>
  <c r="X309" i="4"/>
  <c r="Y309" i="4" s="1"/>
  <c r="X310" i="4"/>
  <c r="Y310" i="4" s="1"/>
  <c r="X311" i="4"/>
  <c r="Y311" i="4" s="1"/>
  <c r="X312" i="4"/>
  <c r="Y312" i="4" s="1"/>
  <c r="X313" i="4"/>
  <c r="Y313" i="4" s="1"/>
  <c r="X314" i="4"/>
  <c r="Y314" i="4" s="1"/>
  <c r="X315" i="4"/>
  <c r="Y315" i="4" s="1"/>
  <c r="X316" i="4"/>
  <c r="Y316" i="4" s="1"/>
  <c r="X317" i="4"/>
  <c r="Y317" i="4" s="1"/>
  <c r="X318" i="4"/>
  <c r="Y318" i="4" s="1"/>
  <c r="X319" i="4"/>
  <c r="Y319" i="4" s="1"/>
  <c r="X320" i="4"/>
  <c r="Y320" i="4" s="1"/>
  <c r="X321" i="4"/>
  <c r="Y321" i="4" s="1"/>
  <c r="X322" i="4"/>
  <c r="Y322" i="4" s="1"/>
  <c r="X323" i="4"/>
  <c r="Y323" i="4" s="1"/>
  <c r="X324" i="4"/>
  <c r="Y324" i="4" s="1"/>
  <c r="X325" i="4"/>
  <c r="Y325" i="4" s="1"/>
  <c r="X326" i="4"/>
  <c r="Y326" i="4" s="1"/>
  <c r="X327" i="4"/>
  <c r="Y327" i="4" s="1"/>
  <c r="X328" i="4"/>
  <c r="Y328" i="4" s="1"/>
  <c r="X329" i="4"/>
  <c r="Y329" i="4" s="1"/>
  <c r="X330" i="4"/>
  <c r="Y330" i="4" s="1"/>
  <c r="X331" i="4"/>
  <c r="Y331" i="4" s="1"/>
  <c r="X332" i="4"/>
  <c r="Y332" i="4" s="1"/>
  <c r="X333" i="4"/>
  <c r="Y333" i="4" s="1"/>
  <c r="X334" i="4"/>
  <c r="Y334" i="4" s="1"/>
  <c r="X335" i="4"/>
  <c r="Y335" i="4" s="1"/>
  <c r="X336" i="4"/>
  <c r="Y336" i="4" s="1"/>
  <c r="X337" i="4"/>
  <c r="Y337" i="4" s="1"/>
  <c r="X338" i="4"/>
  <c r="Y338" i="4" s="1"/>
  <c r="X339" i="4"/>
  <c r="Y339" i="4" s="1"/>
  <c r="X340" i="4"/>
  <c r="Y340" i="4" s="1"/>
  <c r="X341" i="4"/>
  <c r="Y341" i="4" s="1"/>
  <c r="X342" i="4"/>
  <c r="Y342" i="4" s="1"/>
  <c r="X343" i="4"/>
  <c r="Y343" i="4" s="1"/>
  <c r="X344" i="4"/>
  <c r="Y344" i="4" s="1"/>
  <c r="X345" i="4"/>
  <c r="Y345" i="4" s="1"/>
  <c r="X346" i="4"/>
  <c r="Y346" i="4" s="1"/>
  <c r="X347" i="4"/>
  <c r="Y347" i="4" s="1"/>
  <c r="X348" i="4"/>
  <c r="Y348" i="4" s="1"/>
  <c r="X349" i="4"/>
  <c r="Y349" i="4" s="1"/>
  <c r="X350" i="4"/>
  <c r="Y350" i="4" s="1"/>
  <c r="X351" i="4"/>
  <c r="Y351" i="4" s="1"/>
  <c r="X352" i="4"/>
  <c r="Y352" i="4" s="1"/>
  <c r="X353" i="4"/>
  <c r="Y353" i="4" s="1"/>
  <c r="X354" i="4"/>
  <c r="Y354" i="4" s="1"/>
  <c r="X355" i="4"/>
  <c r="Y355" i="4" s="1"/>
  <c r="X356" i="4"/>
  <c r="Y356" i="4" s="1"/>
  <c r="X357" i="4"/>
  <c r="Y357" i="4" s="1"/>
  <c r="X358" i="4"/>
  <c r="Y358" i="4" s="1"/>
  <c r="X359" i="4"/>
  <c r="Y359" i="4" s="1"/>
  <c r="X360" i="4"/>
  <c r="Y360" i="4" s="1"/>
  <c r="X361" i="4"/>
  <c r="Y361" i="4" s="1"/>
  <c r="X362" i="4"/>
  <c r="Y362" i="4" s="1"/>
  <c r="X363" i="4"/>
  <c r="Y363" i="4" s="1"/>
  <c r="X364" i="4"/>
  <c r="Y364" i="4" s="1"/>
  <c r="X365" i="4"/>
  <c r="Y365" i="4" s="1"/>
  <c r="X366" i="4"/>
  <c r="Y366" i="4" s="1"/>
  <c r="X367" i="4"/>
  <c r="Y367" i="4" s="1"/>
  <c r="X368" i="4"/>
  <c r="Y368" i="4" s="1"/>
  <c r="X369" i="4"/>
  <c r="Y369" i="4" s="1"/>
  <c r="X370" i="4"/>
  <c r="Y370" i="4" s="1"/>
  <c r="X371" i="4"/>
  <c r="Y371" i="4" s="1"/>
  <c r="X372" i="4"/>
  <c r="Y372" i="4" s="1"/>
  <c r="X373" i="4"/>
  <c r="Y373" i="4" s="1"/>
  <c r="X374" i="4"/>
  <c r="Y374" i="4" s="1"/>
  <c r="X375" i="4"/>
  <c r="Y375" i="4" s="1"/>
  <c r="X376" i="4"/>
  <c r="Y376" i="4" s="1"/>
  <c r="X377" i="4"/>
  <c r="Y377" i="4" s="1"/>
  <c r="X378" i="4"/>
  <c r="Y378" i="4" s="1"/>
  <c r="X379" i="4"/>
  <c r="Y379" i="4" s="1"/>
  <c r="X380" i="4"/>
  <c r="Y380" i="4" s="1"/>
  <c r="X381" i="4"/>
  <c r="Y381" i="4" s="1"/>
  <c r="X382" i="4"/>
  <c r="Y382" i="4" s="1"/>
  <c r="X383" i="4"/>
  <c r="Y383" i="4" s="1"/>
  <c r="X384" i="4"/>
  <c r="Y384" i="4" s="1"/>
  <c r="X385" i="4"/>
  <c r="Y385" i="4" s="1"/>
  <c r="X386" i="4"/>
  <c r="Y386" i="4" s="1"/>
  <c r="X387" i="4"/>
  <c r="Y387" i="4" s="1"/>
  <c r="X388" i="4"/>
  <c r="Y388" i="4" s="1"/>
  <c r="X389" i="4"/>
  <c r="Y389" i="4" s="1"/>
  <c r="X390" i="4"/>
  <c r="Y390" i="4" s="1"/>
  <c r="X391" i="4"/>
  <c r="Y391" i="4" s="1"/>
  <c r="X392" i="4"/>
  <c r="Y392" i="4" s="1"/>
  <c r="X393" i="4"/>
  <c r="Y393" i="4" s="1"/>
  <c r="X394" i="4"/>
  <c r="Y394" i="4" s="1"/>
  <c r="X395" i="4"/>
  <c r="Y395" i="4" s="1"/>
  <c r="X396" i="4"/>
  <c r="Y396" i="4" s="1"/>
  <c r="X397" i="4"/>
  <c r="Y397" i="4" s="1"/>
  <c r="X398" i="4"/>
  <c r="Y398" i="4" s="1"/>
  <c r="X399" i="4"/>
  <c r="Y399" i="4" s="1"/>
  <c r="X400" i="4"/>
  <c r="Y400" i="4" s="1"/>
  <c r="X401" i="4"/>
  <c r="Y401" i="4" s="1"/>
  <c r="X402" i="4"/>
  <c r="Y402" i="4" s="1"/>
  <c r="X403" i="4"/>
  <c r="Y403" i="4" s="1"/>
  <c r="X404" i="4"/>
  <c r="Y404" i="4" s="1"/>
  <c r="X405" i="4"/>
  <c r="Y405" i="4" s="1"/>
  <c r="X406" i="4"/>
  <c r="Y406" i="4" s="1"/>
  <c r="X407" i="4"/>
  <c r="Y407" i="4" s="1"/>
  <c r="X408" i="4"/>
  <c r="Y408" i="4" s="1"/>
  <c r="X409" i="4"/>
  <c r="Y409" i="4" s="1"/>
  <c r="X410" i="4"/>
  <c r="Y410" i="4" s="1"/>
  <c r="X411" i="4"/>
  <c r="Y411" i="4" s="1"/>
  <c r="X412" i="4"/>
  <c r="Y412" i="4" s="1"/>
  <c r="X413" i="4"/>
  <c r="Y413" i="4" s="1"/>
  <c r="X414" i="4"/>
  <c r="Y414" i="4" s="1"/>
  <c r="X415" i="4"/>
  <c r="Y415" i="4" s="1"/>
  <c r="X416" i="4"/>
  <c r="Y416" i="4" s="1"/>
  <c r="X417" i="4"/>
  <c r="Y417" i="4" s="1"/>
  <c r="X418" i="4"/>
  <c r="Y418" i="4" s="1"/>
  <c r="X419" i="4"/>
  <c r="Y419" i="4" s="1"/>
  <c r="X420" i="4"/>
  <c r="Y420" i="4" s="1"/>
  <c r="X421" i="4"/>
  <c r="Y421" i="4" s="1"/>
  <c r="X422" i="4"/>
  <c r="Y422" i="4" s="1"/>
  <c r="X423" i="4"/>
  <c r="Y423" i="4" s="1"/>
  <c r="X424" i="4"/>
  <c r="Y424" i="4" s="1"/>
  <c r="X425" i="4"/>
  <c r="Y425" i="4" s="1"/>
  <c r="X426" i="4"/>
  <c r="Y426" i="4" s="1"/>
  <c r="X427" i="4"/>
  <c r="Y427" i="4" s="1"/>
  <c r="X428" i="4"/>
  <c r="Y428" i="4" s="1"/>
  <c r="X429" i="4"/>
  <c r="Y429" i="4" s="1"/>
  <c r="X430" i="4"/>
  <c r="Y430" i="4" s="1"/>
  <c r="X431" i="4"/>
  <c r="Y431" i="4" s="1"/>
  <c r="X432" i="4"/>
  <c r="Y432" i="4" s="1"/>
  <c r="X433" i="4"/>
  <c r="Y433" i="4" s="1"/>
  <c r="X434" i="4"/>
  <c r="Y434" i="4" s="1"/>
  <c r="X435" i="4"/>
  <c r="Y435" i="4" s="1"/>
  <c r="X436" i="4"/>
  <c r="Y436" i="4" s="1"/>
  <c r="X437" i="4"/>
  <c r="Y437" i="4" s="1"/>
  <c r="X438" i="4"/>
  <c r="Y438" i="4" s="1"/>
  <c r="X439" i="4"/>
  <c r="Y439" i="4" s="1"/>
  <c r="X440" i="4"/>
  <c r="Y440" i="4" s="1"/>
  <c r="X441" i="4"/>
  <c r="Y441" i="4" s="1"/>
  <c r="X442" i="4"/>
  <c r="Y442" i="4" s="1"/>
  <c r="X443" i="4"/>
  <c r="Y443" i="4" s="1"/>
  <c r="X444" i="4"/>
  <c r="Y444" i="4" s="1"/>
  <c r="X445" i="4"/>
  <c r="Y445" i="4" s="1"/>
  <c r="X446" i="4"/>
  <c r="Y446" i="4" s="1"/>
  <c r="X447" i="4"/>
  <c r="Y447" i="4" s="1"/>
  <c r="X448" i="4"/>
  <c r="Y448" i="4" s="1"/>
  <c r="X449" i="4"/>
  <c r="Y449" i="4" s="1"/>
  <c r="X450" i="4"/>
  <c r="Y450" i="4" s="1"/>
  <c r="X451" i="4"/>
  <c r="Y451" i="4" s="1"/>
  <c r="X452" i="4"/>
  <c r="Y452" i="4" s="1"/>
  <c r="X453" i="4"/>
  <c r="Y453" i="4" s="1"/>
  <c r="X454" i="4"/>
  <c r="Y454" i="4" s="1"/>
  <c r="X455" i="4"/>
  <c r="Y455" i="4" s="1"/>
  <c r="X456" i="4"/>
  <c r="Y456" i="4" s="1"/>
  <c r="X457" i="4"/>
  <c r="Y457" i="4" s="1"/>
  <c r="X458" i="4"/>
  <c r="Y458" i="4" s="1"/>
  <c r="X459" i="4"/>
  <c r="Y459" i="4" s="1"/>
  <c r="X460" i="4"/>
  <c r="Y460" i="4" s="1"/>
  <c r="X461" i="4"/>
  <c r="Y461" i="4" s="1"/>
  <c r="X462" i="4"/>
  <c r="Y462" i="4" s="1"/>
  <c r="X463" i="4"/>
  <c r="Y463" i="4" s="1"/>
  <c r="X464" i="4"/>
  <c r="Y464" i="4" s="1"/>
  <c r="X465" i="4"/>
  <c r="Y465" i="4" s="1"/>
  <c r="X466" i="4"/>
  <c r="Y466" i="4" s="1"/>
  <c r="X467" i="4"/>
  <c r="Y467" i="4" s="1"/>
  <c r="X468" i="4"/>
  <c r="Y468" i="4" s="1"/>
  <c r="X469" i="4"/>
  <c r="Y469" i="4" s="1"/>
  <c r="X470" i="4"/>
  <c r="Y470" i="4" s="1"/>
  <c r="X471" i="4"/>
  <c r="Y471" i="4" s="1"/>
  <c r="X472" i="4"/>
  <c r="Y472" i="4" s="1"/>
  <c r="X473" i="4"/>
  <c r="Y473" i="4" s="1"/>
  <c r="X474" i="4"/>
  <c r="Y474" i="4" s="1"/>
  <c r="X475" i="4"/>
  <c r="Y475" i="4" s="1"/>
  <c r="X476" i="4"/>
  <c r="Y476" i="4" s="1"/>
  <c r="X477" i="4"/>
  <c r="Y477" i="4" s="1"/>
  <c r="X478" i="4"/>
  <c r="Y478" i="4" s="1"/>
  <c r="X479" i="4"/>
  <c r="Y479" i="4" s="1"/>
  <c r="X480" i="4"/>
  <c r="Y480" i="4" s="1"/>
  <c r="X481" i="4"/>
  <c r="Y481" i="4" s="1"/>
  <c r="X482" i="4"/>
  <c r="Y482" i="4" s="1"/>
  <c r="X483" i="4"/>
  <c r="Y483" i="4" s="1"/>
  <c r="X484" i="4"/>
  <c r="Y484" i="4" s="1"/>
  <c r="X485" i="4"/>
  <c r="Y485" i="4" s="1"/>
  <c r="X486" i="4"/>
  <c r="Y486" i="4" s="1"/>
  <c r="X487" i="4"/>
  <c r="Y487" i="4" s="1"/>
  <c r="X488" i="4"/>
  <c r="Y488" i="4" s="1"/>
  <c r="X489" i="4"/>
  <c r="Y489" i="4" s="1"/>
  <c r="X490" i="4"/>
  <c r="Y490" i="4" s="1"/>
  <c r="X491" i="4"/>
  <c r="Y491" i="4" s="1"/>
  <c r="X492" i="4"/>
  <c r="Y492" i="4" s="1"/>
  <c r="X493" i="4"/>
  <c r="Y493" i="4" s="1"/>
  <c r="X494" i="4"/>
  <c r="Y494" i="4" s="1"/>
  <c r="X495" i="4"/>
  <c r="Y495" i="4" s="1"/>
  <c r="X496" i="4"/>
  <c r="Y496" i="4" s="1"/>
  <c r="X497" i="4"/>
  <c r="Y497" i="4" s="1"/>
  <c r="X498" i="4"/>
  <c r="Y498" i="4" s="1"/>
  <c r="X499" i="4"/>
  <c r="Y499" i="4" s="1"/>
  <c r="X500" i="4"/>
  <c r="Y500" i="4" s="1"/>
  <c r="X501" i="4"/>
  <c r="Y501" i="4" s="1"/>
  <c r="X2" i="4"/>
  <c r="Y2" i="4" s="1"/>
  <c r="X5" i="6" a="1"/>
  <c r="X13" i="6" a="1"/>
  <c r="X21" i="6" a="1"/>
  <c r="X29" i="6" a="1"/>
  <c r="X44" i="6" a="1"/>
  <c r="X60" i="6" a="1"/>
  <c r="X76" i="6" a="1"/>
  <c r="X92" i="6" a="1"/>
  <c r="X108" i="6" a="1"/>
  <c r="X124" i="6" a="1"/>
  <c r="X140" i="6" a="1"/>
  <c r="X156" i="6" a="1"/>
  <c r="X172" i="6" a="1"/>
  <c r="X188" i="6" a="1"/>
  <c r="X204" i="6" a="1"/>
  <c r="X37" i="6" a="1"/>
  <c r="X53" i="6" a="1"/>
  <c r="X6" i="6" a="1"/>
  <c r="X14" i="6" a="1"/>
  <c r="X22" i="6" a="1"/>
  <c r="X30" i="6" a="1"/>
  <c r="X46" i="6" a="1"/>
  <c r="X62" i="6" a="1"/>
  <c r="X78" i="6" a="1"/>
  <c r="X94" i="6" a="1"/>
  <c r="X110" i="6" a="1"/>
  <c r="X126" i="6" a="1"/>
  <c r="X142" i="6" a="1"/>
  <c r="X158" i="6" a="1"/>
  <c r="X174" i="6" a="1"/>
  <c r="X190" i="6" a="1"/>
  <c r="X206" i="6" a="1"/>
  <c r="X236" i="6" a="1"/>
  <c r="X252" i="6" a="1"/>
  <c r="X268" i="6" a="1"/>
  <c r="X284" i="6" a="1"/>
  <c r="X300" i="6" a="1"/>
  <c r="X316" i="6" a="1"/>
  <c r="X332" i="6" a="1"/>
  <c r="X348" i="6" a="1"/>
  <c r="X364" i="6" a="1"/>
  <c r="X380" i="6" a="1"/>
  <c r="X396" i="6" a="1"/>
  <c r="X412" i="6" a="1"/>
  <c r="X438" i="6" a="1"/>
  <c r="X63" i="6" a="1"/>
  <c r="X95" i="6" a="1"/>
  <c r="X127" i="6" a="1"/>
  <c r="X159" i="6" a="1"/>
  <c r="X191" i="6" a="1"/>
  <c r="X219" i="6" a="1"/>
  <c r="X237" i="6" a="1"/>
  <c r="X258" i="6" a="1"/>
  <c r="X279" i="6" a="1"/>
  <c r="X301" i="6" a="1"/>
  <c r="X322" i="6" a="1"/>
  <c r="X343" i="6" a="1"/>
  <c r="X365" i="6" a="1"/>
  <c r="X386" i="6" a="1"/>
  <c r="X407" i="6" a="1"/>
  <c r="X424" i="6" a="1"/>
  <c r="X445" i="6" a="1"/>
  <c r="X461" i="6" a="1"/>
  <c r="X477" i="6" a="1"/>
  <c r="X493" i="6" a="1"/>
  <c r="X51" i="6" a="1"/>
  <c r="X89" i="6" a="1"/>
  <c r="X121" i="6" a="1"/>
  <c r="X153" i="6" a="1"/>
  <c r="X185" i="6" a="1"/>
  <c r="X216" i="6" a="1"/>
  <c r="X233" i="6" a="1"/>
  <c r="X254" i="6" a="1"/>
  <c r="X275" i="6" a="1"/>
  <c r="X297" i="6" a="1"/>
  <c r="X318" i="6" a="1"/>
  <c r="X339" i="6" a="1"/>
  <c r="X361" i="6" a="1"/>
  <c r="X382" i="6" a="1"/>
  <c r="X403" i="6" a="1"/>
  <c r="X422" i="6" a="1"/>
  <c r="X441" i="6" a="1"/>
  <c r="X458" i="6" a="1"/>
  <c r="X474" i="6" a="1"/>
  <c r="X490" i="6" a="1"/>
  <c r="X2" i="6" a="1"/>
  <c r="X77" i="6" a="1"/>
  <c r="X109" i="6" a="1"/>
  <c r="X141" i="6" a="1"/>
  <c r="X173" i="6" a="1"/>
  <c r="X205" i="6" a="1"/>
  <c r="X227" i="6" a="1"/>
  <c r="X246" i="6" a="1"/>
  <c r="X267" i="6" a="1"/>
  <c r="X289" i="6" a="1"/>
  <c r="X310" i="6" a="1"/>
  <c r="X331" i="6" a="1"/>
  <c r="X353" i="6" a="1"/>
  <c r="X374" i="6" a="1"/>
  <c r="X395" i="6" a="1"/>
  <c r="X417" i="6" a="1"/>
  <c r="X439" i="6" a="1"/>
  <c r="X456" i="6" a="1"/>
  <c r="X472" i="6" a="1"/>
  <c r="X488" i="6" a="1"/>
  <c r="X75" i="6" a="1"/>
  <c r="X203" i="6" a="1"/>
  <c r="X303" i="6" a="1"/>
  <c r="X389" i="6" a="1"/>
  <c r="X459" i="6" a="1"/>
  <c r="X83" i="6" a="1"/>
  <c r="X211" i="6" a="1"/>
  <c r="X287" i="6" a="1"/>
  <c r="X373" i="6" a="1"/>
  <c r="X447" i="6" a="1"/>
  <c r="X91" i="6" a="1"/>
  <c r="X217" i="6" a="1"/>
  <c r="X293" i="6" a="1"/>
  <c r="X378" i="6" a="1"/>
  <c r="X451" i="6" a="1"/>
  <c r="X67" i="6" a="1"/>
  <c r="X195" i="6" a="1"/>
  <c r="X277" i="6" a="1"/>
  <c r="X362" i="6" a="1"/>
  <c r="X455" i="6" a="1"/>
  <c r="X9" i="6" a="1"/>
  <c r="X19" i="6" a="1"/>
  <c r="X32" i="6" a="1"/>
  <c r="X52" i="6" a="1"/>
  <c r="X72" i="6" a="1"/>
  <c r="X96" i="6" a="1"/>
  <c r="X116" i="6" a="1"/>
  <c r="X136" i="6" a="1"/>
  <c r="X160" i="6" a="1"/>
  <c r="X180" i="6" a="1"/>
  <c r="X200" i="6" a="1"/>
  <c r="X41" i="6" a="1"/>
  <c r="X61" i="6" a="1"/>
  <c r="X12" i="6" a="1"/>
  <c r="X24" i="6" a="1"/>
  <c r="X38" i="6" a="1"/>
  <c r="X58" i="6" a="1"/>
  <c r="X82" i="6" a="1"/>
  <c r="X102" i="6" a="1"/>
  <c r="X122" i="6" a="1"/>
  <c r="X146" i="6" a="1"/>
  <c r="X166" i="6" a="1"/>
  <c r="X186" i="6" a="1"/>
  <c r="X210" i="6" a="1"/>
  <c r="X244" i="6" a="1"/>
  <c r="X264" i="6" a="1"/>
  <c r="X288" i="6" a="1"/>
  <c r="X308" i="6" a="1"/>
  <c r="X328" i="6" a="1"/>
  <c r="X352" i="6" a="1"/>
  <c r="X372" i="6" a="1"/>
  <c r="X392" i="6" a="1"/>
  <c r="X416" i="6" a="1"/>
  <c r="X31" i="6" a="1"/>
  <c r="X87" i="6" a="1"/>
  <c r="X135" i="6" a="1"/>
  <c r="X175" i="6" a="1"/>
  <c r="X215" i="6" a="1"/>
  <c r="X242" i="6" a="1"/>
  <c r="X269" i="6" a="1"/>
  <c r="X295" i="6" a="1"/>
  <c r="X327" i="6" a="1"/>
  <c r="X354" i="6" a="1"/>
  <c r="X381" i="6" a="1"/>
  <c r="X413" i="6" a="1"/>
  <c r="X435" i="6" a="1"/>
  <c r="X457" i="6" a="1"/>
  <c r="X481" i="6" a="1"/>
  <c r="X501" i="6" a="1"/>
  <c r="X81" i="6" a="1"/>
  <c r="X129" i="6" a="1"/>
  <c r="X169" i="6" a="1"/>
  <c r="X209" i="6" a="1"/>
  <c r="X238" i="6" a="1"/>
  <c r="X265" i="6" a="1"/>
  <c r="X291" i="6" a="1"/>
  <c r="X323" i="6" a="1"/>
  <c r="X350" i="6" a="1"/>
  <c r="X377" i="6" a="1"/>
  <c r="X409" i="6" a="1"/>
  <c r="X431" i="6" a="1"/>
  <c r="X454" i="6" a="1"/>
  <c r="X478" i="6" a="1"/>
  <c r="X498" i="6" a="1"/>
  <c r="X69" i="6" a="1"/>
  <c r="X117" i="6" a="1"/>
  <c r="X157" i="6" a="1"/>
  <c r="X197" i="6" a="1"/>
  <c r="X230" i="6" a="1"/>
  <c r="X257" i="6" a="1"/>
  <c r="X283" i="6" a="1"/>
  <c r="X315" i="6" a="1"/>
  <c r="X342" i="6" a="1"/>
  <c r="X369" i="6" a="1"/>
  <c r="X401" i="6" a="1"/>
  <c r="X426" i="6" a="1"/>
  <c r="X452" i="6" a="1"/>
  <c r="X476" i="6" a="1"/>
  <c r="X496" i="6" a="1"/>
  <c r="X171" i="6" a="1"/>
  <c r="X325" i="6" a="1"/>
  <c r="X425" i="6" a="1"/>
  <c r="X39" i="6" a="1"/>
  <c r="X226" i="6" a="1"/>
  <c r="X330" i="6" a="1"/>
  <c r="X428" i="6" a="1"/>
  <c r="X123" i="6" a="1"/>
  <c r="X250" i="6" a="1"/>
  <c r="X357" i="6" a="1"/>
  <c r="X467" i="6" a="1"/>
  <c r="X131" i="6" a="1"/>
  <c r="X255" i="6" a="1"/>
  <c r="X383" i="6" a="1"/>
  <c r="X487" i="6" a="1"/>
  <c r="Z22" i="5" a="1"/>
  <c r="Z38" i="5" a="1"/>
  <c r="Z58" i="5" a="1"/>
  <c r="Z74" i="5" a="1"/>
  <c r="Z90" i="5" a="1"/>
  <c r="Z106" i="5" a="1"/>
  <c r="Z122" i="5" a="1"/>
  <c r="Z138" i="5" a="1"/>
  <c r="Z154" i="5" a="1"/>
  <c r="Z170" i="5" a="1"/>
  <c r="Z186" i="5" a="1"/>
  <c r="Z202" i="5" a="1"/>
  <c r="Z218" i="5" a="1"/>
  <c r="Z234" i="5" a="1"/>
  <c r="Z250" i="5" a="1"/>
  <c r="Z266" i="5" a="1"/>
  <c r="Z282" i="5" a="1"/>
  <c r="Z298" i="5" a="1"/>
  <c r="Z314" i="5" a="1"/>
  <c r="Z330" i="5" a="1"/>
  <c r="Z346" i="5" a="1"/>
  <c r="Z362" i="5" a="1"/>
  <c r="Z11" i="5" a="1"/>
  <c r="Z27" i="5" a="1"/>
  <c r="Z47" i="5" a="1"/>
  <c r="Z71" i="5" a="1"/>
  <c r="Z103" i="5" a="1"/>
  <c r="Z135" i="5" a="1"/>
  <c r="Z167" i="5" a="1"/>
  <c r="Z199" i="5" a="1"/>
  <c r="Z231" i="5" a="1"/>
  <c r="Z263" i="5" a="1"/>
  <c r="Z295" i="5" a="1"/>
  <c r="Z327" i="5" a="1"/>
  <c r="Z363" i="5" a="1"/>
  <c r="Z8" i="5" a="1"/>
  <c r="Z24" i="5" a="1"/>
  <c r="Z48" i="5" a="1"/>
  <c r="Z64" i="5" a="1"/>
  <c r="Z80" i="5" a="1"/>
  <c r="Z96" i="5" a="1"/>
  <c r="Z112" i="5" a="1"/>
  <c r="Z128" i="5" a="1"/>
  <c r="Z144" i="5" a="1"/>
  <c r="Z160" i="5" a="1"/>
  <c r="Z176" i="5" a="1"/>
  <c r="Z192" i="5" a="1"/>
  <c r="Z208" i="5" a="1"/>
  <c r="Z224" i="5" a="1"/>
  <c r="Z240" i="5" a="1"/>
  <c r="Z256" i="5" a="1"/>
  <c r="Z272" i="5" a="1"/>
  <c r="Z288" i="5" a="1"/>
  <c r="Z304" i="5" a="1"/>
  <c r="Z320" i="5" a="1"/>
  <c r="Z336" i="5" a="1"/>
  <c r="Z50" i="5" a="1"/>
  <c r="Z386" i="5" a="1"/>
  <c r="Z402" i="5" a="1"/>
  <c r="Z418" i="5" a="1"/>
  <c r="Z434" i="5" a="1"/>
  <c r="Z450" i="5" a="1"/>
  <c r="Z466" i="5" a="1"/>
  <c r="Z482" i="5" a="1"/>
  <c r="Z498" i="5" a="1"/>
  <c r="Z59" i="5" a="1"/>
  <c r="Z91" i="5" a="1"/>
  <c r="Z123" i="5" a="1"/>
  <c r="Z155" i="5" a="1"/>
  <c r="Z187" i="5" a="1"/>
  <c r="Z219" i="5" a="1"/>
  <c r="Z255" i="5" a="1"/>
  <c r="Z287" i="5" a="1"/>
  <c r="Z319" i="5" a="1"/>
  <c r="Z339" i="5" a="1"/>
  <c r="Z379" i="5" a="1"/>
  <c r="Z395" i="5" a="1"/>
  <c r="Z411" i="5" a="1"/>
  <c r="Z427" i="5" a="1"/>
  <c r="Z443" i="5" a="1"/>
  <c r="Z459" i="5" a="1"/>
  <c r="Z475" i="5" a="1"/>
  <c r="Z491" i="5" a="1"/>
  <c r="Z36" i="5" a="1"/>
  <c r="W17" i="4" a="1"/>
  <c r="W33" i="4" a="1"/>
  <c r="W49" i="4" a="1"/>
  <c r="W65" i="4" a="1"/>
  <c r="W81" i="4" a="1"/>
  <c r="W97" i="4" a="1"/>
  <c r="W113" i="4" a="1"/>
  <c r="W129" i="4" a="1"/>
  <c r="W145" i="4" a="1"/>
  <c r="W161" i="4" a="1"/>
  <c r="W177" i="4" a="1"/>
  <c r="W193" i="4" a="1"/>
  <c r="W209" i="4" a="1"/>
  <c r="W228" i="4" a="1"/>
  <c r="X15" i="6" a="1"/>
  <c r="X27" i="6" a="1"/>
  <c r="X56" i="6" a="1"/>
  <c r="X84" i="6" a="1"/>
  <c r="X112" i="6" a="1"/>
  <c r="X144" i="6" a="1"/>
  <c r="X168" i="6" a="1"/>
  <c r="X196" i="6" a="1"/>
  <c r="X45" i="6" a="1"/>
  <c r="X8" i="6" a="1"/>
  <c r="X20" i="6" a="1"/>
  <c r="X42" i="6" a="1"/>
  <c r="X70" i="6" a="1"/>
  <c r="X98" i="6" a="1"/>
  <c r="X130" i="6" a="1"/>
  <c r="X154" i="6" a="1"/>
  <c r="X182" i="6" a="1"/>
  <c r="X214" i="6" a="1"/>
  <c r="X256" i="6" a="1"/>
  <c r="X280" i="6" a="1"/>
  <c r="X312" i="6" a="1"/>
  <c r="X340" i="6" a="1"/>
  <c r="X368" i="6" a="1"/>
  <c r="X400" i="6" a="1"/>
  <c r="X434" i="6" a="1"/>
  <c r="X79" i="6" a="1"/>
  <c r="X143" i="6" a="1"/>
  <c r="X199" i="6" a="1"/>
  <c r="X231" i="6" a="1"/>
  <c r="X274" i="6" a="1"/>
  <c r="X311" i="6" a="1"/>
  <c r="X349" i="6" a="1"/>
  <c r="X391" i="6" a="1"/>
  <c r="X421" i="6" a="1"/>
  <c r="X453" i="6" a="1"/>
  <c r="X485" i="6" a="1"/>
  <c r="X65" i="6" a="1"/>
  <c r="X113" i="6" a="1"/>
  <c r="X177" i="6" a="1"/>
  <c r="X223" i="6" a="1"/>
  <c r="X259" i="6" a="1"/>
  <c r="X302" i="6" a="1"/>
  <c r="X334" i="6" a="1"/>
  <c r="X371" i="6" a="1"/>
  <c r="X414" i="6" a="1"/>
  <c r="X446" i="6" a="1"/>
  <c r="X470" i="6" a="1"/>
  <c r="X2" i="2" a="1"/>
  <c r="X3" i="6" a="1"/>
  <c r="X17" i="6" a="1"/>
  <c r="X36" i="6" a="1"/>
  <c r="X64" i="6" a="1"/>
  <c r="X88" i="6" a="1"/>
  <c r="X120" i="6" a="1"/>
  <c r="X148" i="6" a="1"/>
  <c r="X176" i="6" a="1"/>
  <c r="X208" i="6" a="1"/>
  <c r="X49" i="6" a="1"/>
  <c r="X10" i="6" a="1"/>
  <c r="X26" i="6" a="1"/>
  <c r="X50" i="6" a="1"/>
  <c r="X74" i="6" a="1"/>
  <c r="X106" i="6" a="1"/>
  <c r="X134" i="6" a="1"/>
  <c r="X162" i="6" a="1"/>
  <c r="X194" i="6" a="1"/>
  <c r="X232" i="6" a="1"/>
  <c r="X260" i="6" a="1"/>
  <c r="X292" i="6" a="1"/>
  <c r="X320" i="6" a="1"/>
  <c r="X344" i="6" a="1"/>
  <c r="X376" i="6" a="1"/>
  <c r="X404" i="6" a="1"/>
  <c r="X442" i="6" a="1"/>
  <c r="X103" i="6" a="1"/>
  <c r="X151" i="6" a="1"/>
  <c r="X207" i="6" a="1"/>
  <c r="X247" i="6" a="1"/>
  <c r="X285" i="6" a="1"/>
  <c r="X317" i="6" a="1"/>
  <c r="X359" i="6" a="1"/>
  <c r="X397" i="6" a="1"/>
  <c r="X429" i="6" a="1"/>
  <c r="X465" i="6" a="1"/>
  <c r="X489" i="6" a="1"/>
  <c r="X73" i="6" a="1"/>
  <c r="X137" i="6" a="1"/>
  <c r="X193" i="6" a="1"/>
  <c r="X228" i="6" a="1"/>
  <c r="X270" i="6" a="1"/>
  <c r="X307" i="6" a="1"/>
  <c r="X345" i="6" a="1"/>
  <c r="X387" i="6" a="1"/>
  <c r="X419" i="6" a="1"/>
  <c r="X450" i="6" a="1"/>
  <c r="X482" i="6" a="1"/>
  <c r="X43" i="6" a="1"/>
  <c r="X101" i="6" a="1"/>
  <c r="X165" i="6" a="1"/>
  <c r="X218" i="6" a="1"/>
  <c r="X251" i="6" a="1"/>
  <c r="X294" i="6" a="1"/>
  <c r="X326" i="6" a="1"/>
  <c r="X363" i="6" a="1"/>
  <c r="X406" i="6" a="1"/>
  <c r="X444" i="6" a="1"/>
  <c r="X468" i="6" a="1"/>
  <c r="X500" i="6" a="1"/>
  <c r="X261" i="6" a="1"/>
  <c r="X410" i="6" a="1"/>
  <c r="X115" i="6" a="1"/>
  <c r="X266" i="6" a="1"/>
  <c r="X415" i="6" a="1"/>
  <c r="X155" i="6" a="1"/>
  <c r="X314" i="6" a="1"/>
  <c r="X432" i="6" a="1"/>
  <c r="X163" i="6" a="1"/>
  <c r="X319" i="6" a="1"/>
  <c r="X471" i="6" a="1"/>
  <c r="Z5" i="5" a="1"/>
  <c r="Z30" i="5" a="1"/>
  <c r="Z54" i="5" a="1"/>
  <c r="Z78" i="5" a="1"/>
  <c r="Z98" i="5" a="1"/>
  <c r="Z118" i="5" a="1"/>
  <c r="Z142" i="5" a="1"/>
  <c r="Z162" i="5" a="1"/>
  <c r="Z182" i="5" a="1"/>
  <c r="Z206" i="5" a="1"/>
  <c r="Z226" i="5" a="1"/>
  <c r="Z246" i="5" a="1"/>
  <c r="Z270" i="5" a="1"/>
  <c r="Z290" i="5" a="1"/>
  <c r="Z310" i="5" a="1"/>
  <c r="Z334" i="5" a="1"/>
  <c r="Z354" i="5" a="1"/>
  <c r="Z7" i="5" a="1"/>
  <c r="Z31" i="5" a="1"/>
  <c r="Z55" i="5" a="1"/>
  <c r="Z95" i="5" a="1"/>
  <c r="Z143" i="5" a="1"/>
  <c r="Z183" i="5" a="1"/>
  <c r="Z223" i="5" a="1"/>
  <c r="Z267" i="5" a="1"/>
  <c r="Z311" i="5" a="1"/>
  <c r="Z359" i="5" a="1"/>
  <c r="Z12" i="5" a="1"/>
  <c r="Z40" i="5" a="1"/>
  <c r="Z60" i="5" a="1"/>
  <c r="Z84" i="5" a="1"/>
  <c r="Z104" i="5" a="1"/>
  <c r="Z124" i="5" a="1"/>
  <c r="Z148" i="5" a="1"/>
  <c r="Z352" i="5" a="1"/>
  <c r="Z368" i="5" a="1"/>
  <c r="Z388" i="5" a="1"/>
  <c r="Z404" i="5" a="1"/>
  <c r="Z420" i="5" a="1"/>
  <c r="Z436" i="5" a="1"/>
  <c r="Z452" i="5" a="1"/>
  <c r="Z468" i="5" a="1"/>
  <c r="Z484" i="5" a="1"/>
  <c r="Z500" i="5" a="1"/>
  <c r="X7" i="6" a="1"/>
  <c r="X40" i="6" a="1"/>
  <c r="X100" i="6" a="1"/>
  <c r="X152" i="6" a="1"/>
  <c r="X212" i="6" a="1"/>
  <c r="X16" i="6" a="1"/>
  <c r="X54" i="6" a="1"/>
  <c r="X114" i="6" a="1"/>
  <c r="X170" i="6" a="1"/>
  <c r="X240" i="6" a="1"/>
  <c r="X296" i="6" a="1"/>
  <c r="X356" i="6" a="1"/>
  <c r="X408" i="6" a="1"/>
  <c r="X111" i="6" a="1"/>
  <c r="X222" i="6" a="1"/>
  <c r="X290" i="6" a="1"/>
  <c r="X370" i="6" a="1"/>
  <c r="X440" i="6" a="1"/>
  <c r="X497" i="6" a="1"/>
  <c r="X145" i="6" a="1"/>
  <c r="X243" i="6" a="1"/>
  <c r="X313" i="6" a="1"/>
  <c r="X393" i="6" a="1"/>
  <c r="X462" i="6" a="1"/>
  <c r="X59" i="6" a="1"/>
  <c r="X133" i="6" a="1"/>
  <c r="X213" i="6" a="1"/>
  <c r="X262" i="6" a="1"/>
  <c r="X305" i="6" a="1"/>
  <c r="X358" i="6" a="1"/>
  <c r="X411" i="6" a="1"/>
  <c r="X460" i="6" a="1"/>
  <c r="X492" i="6" a="1"/>
  <c r="X282" i="6" a="1"/>
  <c r="X475" i="6" a="1"/>
  <c r="X245" i="6" a="1"/>
  <c r="X463" i="6" a="1"/>
  <c r="X229" i="6" a="1"/>
  <c r="X420" i="6" a="1"/>
  <c r="X221" i="6" a="1"/>
  <c r="X405" i="6" a="1"/>
  <c r="Z26" i="5" a="1"/>
  <c r="Z62" i="5" a="1"/>
  <c r="Z86" i="5" a="1"/>
  <c r="Z114" i="5" a="1"/>
  <c r="Z146" i="5" a="1"/>
  <c r="Z174" i="5" a="1"/>
  <c r="Z198" i="5" a="1"/>
  <c r="Z230" i="5" a="1"/>
  <c r="Z258" i="5" a="1"/>
  <c r="Z286" i="5" a="1"/>
  <c r="Z318" i="5" a="1"/>
  <c r="Z342" i="5" a="1"/>
  <c r="Z370" i="5" a="1"/>
  <c r="Z35" i="5" a="1"/>
  <c r="Z79" i="5" a="1"/>
  <c r="Z127" i="5" a="1"/>
  <c r="Z191" i="5" a="1"/>
  <c r="Z247" i="5" a="1"/>
  <c r="Z299" i="5" a="1"/>
  <c r="Z367" i="5" a="1"/>
  <c r="Z20" i="5" a="1"/>
  <c r="Z56" i="5" a="1"/>
  <c r="Z88" i="5" a="1"/>
  <c r="Z116" i="5" a="1"/>
  <c r="Z140" i="5" a="1"/>
  <c r="Z168" i="5" a="1"/>
  <c r="Z188" i="5" a="1"/>
  <c r="Z212" i="5" a="1"/>
  <c r="Z232" i="5" a="1"/>
  <c r="Z252" i="5" a="1"/>
  <c r="Z276" i="5" a="1"/>
  <c r="Z296" i="5" a="1"/>
  <c r="Z316" i="5" a="1"/>
  <c r="Z340" i="5" a="1"/>
  <c r="Z360" i="5" a="1"/>
  <c r="Z378" i="5" a="1"/>
  <c r="Z398" i="5" a="1"/>
  <c r="Z422" i="5" a="1"/>
  <c r="Z442" i="5" a="1"/>
  <c r="Z462" i="5" a="1"/>
  <c r="Z486" i="5" a="1"/>
  <c r="Z6" i="5" a="1"/>
  <c r="Z83" i="5" a="1"/>
  <c r="Z131" i="5" a="1"/>
  <c r="Z171" i="5" a="1"/>
  <c r="Z211" i="5" a="1"/>
  <c r="Z259" i="5" a="1"/>
  <c r="Z303" i="5" a="1"/>
  <c r="Z335" i="5" a="1"/>
  <c r="Z383" i="5" a="1"/>
  <c r="Z403" i="5" a="1"/>
  <c r="Z423" i="5" a="1"/>
  <c r="Z447" i="5" a="1"/>
  <c r="Z467" i="5" a="1"/>
  <c r="Z487" i="5" a="1"/>
  <c r="Z376" i="5" a="1"/>
  <c r="Z396" i="5" a="1"/>
  <c r="Z416" i="5" a="1"/>
  <c r="Z440" i="5" a="1"/>
  <c r="Z460" i="5" a="1"/>
  <c r="Z480" i="5" a="1"/>
  <c r="W4" i="4" a="1"/>
  <c r="W25" i="4" a="1"/>
  <c r="W44" i="4" a="1"/>
  <c r="W68" i="4" a="1"/>
  <c r="W89" i="4" a="1"/>
  <c r="W108" i="4" a="1"/>
  <c r="W132" i="4" a="1"/>
  <c r="W153" i="4" a="1"/>
  <c r="W172" i="4" a="1"/>
  <c r="W196" i="4" a="1"/>
  <c r="W217" i="4" a="1"/>
  <c r="W252" i="4" a="1"/>
  <c r="W284" i="4" a="1"/>
  <c r="W316" i="4" a="1"/>
  <c r="W18" i="4" a="1"/>
  <c r="W34" i="4" a="1"/>
  <c r="W50" i="4" a="1"/>
  <c r="W66" i="4" a="1"/>
  <c r="W82" i="4" a="1"/>
  <c r="W98" i="4" a="1"/>
  <c r="W114" i="4" a="1"/>
  <c r="W130" i="4" a="1"/>
  <c r="W146" i="4" a="1"/>
  <c r="W162" i="4" a="1"/>
  <c r="W178" i="4" a="1"/>
  <c r="W194" i="4" a="1"/>
  <c r="W210" i="4" a="1"/>
  <c r="W226" i="4" a="1"/>
  <c r="W242" i="4" a="1"/>
  <c r="W258" i="4" a="1"/>
  <c r="W274" i="4" a="1"/>
  <c r="W290" i="4" a="1"/>
  <c r="W306" i="4" a="1"/>
  <c r="W322" i="4" a="1"/>
  <c r="W338" i="4" a="1"/>
  <c r="W354" i="4" a="1"/>
  <c r="W370" i="4" a="1"/>
  <c r="W386" i="4" a="1"/>
  <c r="W402" i="4" a="1"/>
  <c r="W8" i="4" a="1"/>
  <c r="W24" i="4" a="1"/>
  <c r="W40" i="4" a="1"/>
  <c r="W56" i="4" a="1"/>
  <c r="W72" i="4" a="1"/>
  <c r="W88" i="4" a="1"/>
  <c r="W104" i="4" a="1"/>
  <c r="W120" i="4" a="1"/>
  <c r="W136" i="4" a="1"/>
  <c r="W152" i="4" a="1"/>
  <c r="W168" i="4" a="1"/>
  <c r="W184" i="4" a="1"/>
  <c r="W200" i="4" a="1"/>
  <c r="W216" i="4" a="1"/>
  <c r="W237" i="4" a="1"/>
  <c r="W11" i="4" a="1"/>
  <c r="W27" i="4" a="1"/>
  <c r="W43" i="4" a="1"/>
  <c r="W59" i="4" a="1"/>
  <c r="W75" i="4" a="1"/>
  <c r="W91" i="4" a="1"/>
  <c r="W107" i="4" a="1"/>
  <c r="W123" i="4" a="1"/>
  <c r="W139" i="4" a="1"/>
  <c r="W155" i="4" a="1"/>
  <c r="W171" i="4" a="1"/>
  <c r="W187" i="4" a="1"/>
  <c r="W203" i="4" a="1"/>
  <c r="W219" i="4" a="1"/>
  <c r="W235" i="4" a="1"/>
  <c r="W251" i="4" a="1"/>
  <c r="W267" i="4" a="1"/>
  <c r="W283" i="4" a="1"/>
  <c r="W299" i="4" a="1"/>
  <c r="W315" i="4" a="1"/>
  <c r="W331" i="4" a="1"/>
  <c r="W347" i="4" a="1"/>
  <c r="W363" i="4" a="1"/>
  <c r="W379" i="4" a="1"/>
  <c r="W395" i="4" a="1"/>
  <c r="W233" i="4" a="1"/>
  <c r="W265" i="4" a="1"/>
  <c r="W297" i="4" a="1"/>
  <c r="W253" i="4" a="1"/>
  <c r="W317" i="4" a="1"/>
  <c r="W352" i="4" a="1"/>
  <c r="W384" i="4" a="1"/>
  <c r="W409" i="4" a="1"/>
  <c r="W425" i="4" a="1"/>
  <c r="W441" i="4" a="1"/>
  <c r="W457" i="4" a="1"/>
  <c r="W473" i="4" a="1"/>
  <c r="W489" i="4" a="1"/>
  <c r="W288" i="4" a="1"/>
  <c r="W337" i="4" a="1"/>
  <c r="W369" i="4" a="1"/>
  <c r="W401" i="4" a="1"/>
  <c r="W418" i="4" a="1"/>
  <c r="W434" i="4" a="1"/>
  <c r="W450" i="4" a="1"/>
  <c r="W466" i="4" a="1"/>
  <c r="W482" i="4" a="1"/>
  <c r="W498" i="4" a="1"/>
  <c r="W301" i="4" a="1"/>
  <c r="W344" i="4" a="1"/>
  <c r="W376" i="4" a="1"/>
  <c r="W407" i="4" a="1"/>
  <c r="W423" i="4" a="1"/>
  <c r="W439" i="4" a="1"/>
  <c r="W455" i="4" a="1"/>
  <c r="W471" i="4" a="1"/>
  <c r="W487" i="4" a="1"/>
  <c r="W2" i="4" a="1"/>
  <c r="W293" i="4" a="1"/>
  <c r="W340" i="4" a="1"/>
  <c r="W372" i="4" a="1"/>
  <c r="W404" i="4" a="1"/>
  <c r="W420" i="4" a="1"/>
  <c r="W436" i="4" a="1"/>
  <c r="W452" i="4" a="1"/>
  <c r="W468" i="4" a="1"/>
  <c r="W484" i="4" a="1"/>
  <c r="W500" i="4" a="1"/>
  <c r="X128" i="6" a="1"/>
  <c r="X11" i="6" a="1"/>
  <c r="X48" i="6" a="1"/>
  <c r="X104" i="6" a="1"/>
  <c r="X164" i="6" a="1"/>
  <c r="X33" i="6" a="1"/>
  <c r="X18" i="6" a="1"/>
  <c r="X66" i="6" a="1"/>
  <c r="X118" i="6" a="1"/>
  <c r="X178" i="6" a="1"/>
  <c r="X248" i="6" a="1"/>
  <c r="X304" i="6" a="1"/>
  <c r="X360" i="6" a="1"/>
  <c r="X430" i="6" a="1"/>
  <c r="X119" i="6" a="1"/>
  <c r="X225" i="6" a="1"/>
  <c r="X306" i="6" a="1"/>
  <c r="X375" i="6" a="1"/>
  <c r="X449" i="6" a="1"/>
  <c r="X35" i="6" a="1"/>
  <c r="X161" i="6" a="1"/>
  <c r="X249" i="6" a="1"/>
  <c r="X329" i="6" a="1"/>
  <c r="X398" i="6" a="1"/>
  <c r="X466" i="6" a="1"/>
  <c r="X85" i="6" a="1"/>
  <c r="X149" i="6" a="1"/>
  <c r="X224" i="6" a="1"/>
  <c r="X273" i="6" a="1"/>
  <c r="X321" i="6" a="1"/>
  <c r="X379" i="6" a="1"/>
  <c r="X423" i="6" a="1"/>
  <c r="X464" i="6" a="1"/>
  <c r="X107" i="6" a="1"/>
  <c r="X346" i="6" a="1"/>
  <c r="X491" i="6" a="1"/>
  <c r="X309" i="6" a="1"/>
  <c r="X479" i="6" a="1"/>
  <c r="X271" i="6" a="1"/>
  <c r="X483" i="6" a="1"/>
  <c r="X234" i="6" a="1"/>
  <c r="X437" i="6" a="1"/>
  <c r="Z34" i="5" a="1"/>
  <c r="Z66" i="5" a="1"/>
  <c r="Z94" i="5" a="1"/>
  <c r="Z126" i="5" a="1"/>
  <c r="Z150" i="5" a="1"/>
  <c r="Z178" i="5" a="1"/>
  <c r="Z210" i="5" a="1"/>
  <c r="Z238" i="5" a="1"/>
  <c r="Z262" i="5" a="1"/>
  <c r="Z294" i="5" a="1"/>
  <c r="Z322" i="5" a="1"/>
  <c r="Z350" i="5" a="1"/>
  <c r="Z15" i="5" a="1"/>
  <c r="Z43" i="5" a="1"/>
  <c r="Z87" i="5" a="1"/>
  <c r="Z151" i="5" a="1"/>
  <c r="Z207" i="5" a="1"/>
  <c r="Z251" i="5" a="1"/>
  <c r="Z315" i="5" a="1"/>
  <c r="Z371" i="5" a="1"/>
  <c r="Z28" i="5" a="1"/>
  <c r="Z68" i="5" a="1"/>
  <c r="Z92" i="5" a="1"/>
  <c r="Z120" i="5" a="1"/>
  <c r="Z152" i="5" a="1"/>
  <c r="Z172" i="5" a="1"/>
  <c r="Z196" i="5" a="1"/>
  <c r="Z216" i="5" a="1"/>
  <c r="Z236" i="5" a="1"/>
  <c r="Z260" i="5" a="1"/>
  <c r="Z280" i="5" a="1"/>
  <c r="Z300" i="5" a="1"/>
  <c r="Z324" i="5" a="1"/>
  <c r="Z344" i="5" a="1"/>
  <c r="Z364" i="5" a="1"/>
  <c r="Z382" i="5" a="1"/>
  <c r="Z406" i="5" a="1"/>
  <c r="Z426" i="5" a="1"/>
  <c r="Z446" i="5" a="1"/>
  <c r="Z470" i="5" a="1"/>
  <c r="Z490" i="5" a="1"/>
  <c r="Z39" i="5" a="1"/>
  <c r="Z99" i="5" a="1"/>
  <c r="Z139" i="5" a="1"/>
  <c r="Z179" i="5" a="1"/>
  <c r="Z227" i="5" a="1"/>
  <c r="Z271" i="5" a="1"/>
  <c r="Z307" i="5" a="1"/>
  <c r="Z343" i="5" a="1"/>
  <c r="Z387" i="5" a="1"/>
  <c r="Z407" i="5" a="1"/>
  <c r="Z431" i="5" a="1"/>
  <c r="Z451" i="5" a="1"/>
  <c r="Z471" i="5" a="1"/>
  <c r="Z495" i="5" a="1"/>
  <c r="Z380" i="5" a="1"/>
  <c r="Z400" i="5" a="1"/>
  <c r="Z424" i="5" a="1"/>
  <c r="Z444" i="5" a="1"/>
  <c r="Z464" i="5" a="1"/>
  <c r="Z488" i="5" a="1"/>
  <c r="W9" i="4" a="1"/>
  <c r="W28" i="4" a="1"/>
  <c r="W52" i="4" a="1"/>
  <c r="W73" i="4" a="1"/>
  <c r="W92" i="4" a="1"/>
  <c r="W116" i="4" a="1"/>
  <c r="W137" i="4" a="1"/>
  <c r="W156" i="4" a="1"/>
  <c r="W180" i="4" a="1"/>
  <c r="W201" i="4" a="1"/>
  <c r="W225" i="4" a="1"/>
  <c r="W260" i="4" a="1"/>
  <c r="W292" i="4" a="1"/>
  <c r="W7" i="4" a="1"/>
  <c r="W23" i="4" a="1"/>
  <c r="W39" i="4" a="1"/>
  <c r="W55" i="4" a="1"/>
  <c r="W71" i="4" a="1"/>
  <c r="W87" i="4" a="1"/>
  <c r="W103" i="4" a="1"/>
  <c r="W119" i="4" a="1"/>
  <c r="W135" i="4" a="1"/>
  <c r="W151" i="4" a="1"/>
  <c r="W167" i="4" a="1"/>
  <c r="W183" i="4" a="1"/>
  <c r="W199" i="4" a="1"/>
  <c r="W215" i="4" a="1"/>
  <c r="W231" i="4" a="1"/>
  <c r="W247" i="4" a="1"/>
  <c r="W263" i="4" a="1"/>
  <c r="W279" i="4" a="1"/>
  <c r="W295" i="4" a="1"/>
  <c r="W311" i="4" a="1"/>
  <c r="W327" i="4" a="1"/>
  <c r="W343" i="4" a="1"/>
  <c r="W359" i="4" a="1"/>
  <c r="W375" i="4" a="1"/>
  <c r="W391" i="4" a="1"/>
  <c r="W232" i="4" a="1"/>
  <c r="W13" i="4" a="1"/>
  <c r="W29" i="4" a="1"/>
  <c r="W45" i="4" a="1"/>
  <c r="W61" i="4" a="1"/>
  <c r="W77" i="4" a="1"/>
  <c r="W93" i="4" a="1"/>
  <c r="W109" i="4" a="1"/>
  <c r="W125" i="4" a="1"/>
  <c r="W141" i="4" a="1"/>
  <c r="W157" i="4" a="1"/>
  <c r="W173" i="4" a="1"/>
  <c r="W189" i="4" a="1"/>
  <c r="W205" i="4" a="1"/>
  <c r="W221" i="4" a="1"/>
  <c r="W240" i="4" a="1"/>
  <c r="W14" i="4" a="1"/>
  <c r="W30" i="4" a="1"/>
  <c r="W46" i="4" a="1"/>
  <c r="W62" i="4" a="1"/>
  <c r="W78" i="4" a="1"/>
  <c r="W94" i="4" a="1"/>
  <c r="W110" i="4" a="1"/>
  <c r="W126" i="4" a="1"/>
  <c r="W142" i="4" a="1"/>
  <c r="W158" i="4" a="1"/>
  <c r="W174" i="4" a="1"/>
  <c r="W190" i="4" a="1"/>
  <c r="W206" i="4" a="1"/>
  <c r="W222" i="4" a="1"/>
  <c r="W238" i="4" a="1"/>
  <c r="W254" i="4" a="1"/>
  <c r="W270" i="4" a="1"/>
  <c r="W286" i="4" a="1"/>
  <c r="W302" i="4" a="1"/>
  <c r="W318" i="4" a="1"/>
  <c r="W334" i="4" a="1"/>
  <c r="W350" i="4" a="1"/>
  <c r="W366" i="4" a="1"/>
  <c r="W382" i="4" a="1"/>
  <c r="W398" i="4" a="1"/>
  <c r="W241" i="4" a="1"/>
  <c r="W273" i="4" a="1"/>
  <c r="W305" i="4" a="1"/>
  <c r="W264" i="4" a="1"/>
  <c r="W325" i="4" a="1"/>
  <c r="W357" i="4" a="1"/>
  <c r="W389" i="4" a="1"/>
  <c r="W413" i="4" a="1"/>
  <c r="W429" i="4" a="1"/>
  <c r="W445" i="4" a="1"/>
  <c r="W461" i="4" a="1"/>
  <c r="W477" i="4" a="1"/>
  <c r="W501" i="4" a="1"/>
  <c r="W309" i="4" a="1"/>
  <c r="W348" i="4" a="1"/>
  <c r="W380" i="4" a="1"/>
  <c r="W406" i="4" a="1"/>
  <c r="W422" i="4" a="1"/>
  <c r="W438" i="4" a="1"/>
  <c r="W454" i="4" a="1"/>
  <c r="W470" i="4" a="1"/>
  <c r="W486" i="4" a="1"/>
  <c r="W3" i="4" a="1"/>
  <c r="W312" i="4" a="1"/>
  <c r="W349" i="4" a="1"/>
  <c r="W381" i="4" a="1"/>
  <c r="W411" i="4" a="1"/>
  <c r="W427" i="4" a="1"/>
  <c r="W443" i="4" a="1"/>
  <c r="W459" i="4" a="1"/>
  <c r="W475" i="4" a="1"/>
  <c r="W491" i="4" a="1"/>
  <c r="W497" i="4" a="1"/>
  <c r="W304" i="4" a="1"/>
  <c r="W345" i="4" a="1"/>
  <c r="W377" i="4" a="1"/>
  <c r="W408" i="4" a="1"/>
  <c r="W424" i="4" a="1"/>
  <c r="W440" i="4" a="1"/>
  <c r="W456" i="4" a="1"/>
  <c r="W472" i="4" a="1"/>
  <c r="W488" i="4" a="1"/>
  <c r="W493" i="4" a="1"/>
  <c r="X23" i="6" a="1"/>
  <c r="X68" i="6" a="1"/>
  <c r="X25" i="6" a="1"/>
  <c r="X192" i="6" a="1"/>
  <c r="X34" i="6" a="1"/>
  <c r="X150" i="6" a="1"/>
  <c r="X276" i="6" a="1"/>
  <c r="X388" i="6" a="1"/>
  <c r="X183" i="6" a="1"/>
  <c r="X338" i="6" a="1"/>
  <c r="X473" i="6" a="1"/>
  <c r="X220" i="6" a="1"/>
  <c r="X366" i="6" a="1"/>
  <c r="X494" i="6" a="1"/>
  <c r="X189" i="6" a="1"/>
  <c r="X299" i="6" a="1"/>
  <c r="X390" i="6" a="1"/>
  <c r="X484" i="6" a="1"/>
  <c r="X443" i="6" a="1"/>
  <c r="X394" i="6" a="1"/>
  <c r="X399" i="6" a="1"/>
  <c r="X341" i="6" a="1"/>
  <c r="Z46" i="5" a="1"/>
  <c r="Z110" i="5" a="1"/>
  <c r="Z166" i="5" a="1"/>
  <c r="Z222" i="5" a="1"/>
  <c r="Z278" i="5" a="1"/>
  <c r="Z338" i="5" a="1"/>
  <c r="Z23" i="5" a="1"/>
  <c r="Z119" i="5" a="1"/>
  <c r="Z239" i="5" a="1"/>
  <c r="Z355" i="5" a="1"/>
  <c r="Z52" i="5" a="1"/>
  <c r="Z108" i="5" a="1"/>
  <c r="Z164" i="5" a="1"/>
  <c r="Z204" i="5" a="1"/>
  <c r="Z248" i="5" a="1"/>
  <c r="Z292" i="5" a="1"/>
  <c r="Z332" i="5" a="1"/>
  <c r="Z374" i="5" a="1"/>
  <c r="Z414" i="5" a="1"/>
  <c r="Z458" i="5" a="1"/>
  <c r="Z2" i="5" a="1"/>
  <c r="Z115" i="5" a="1"/>
  <c r="Z203" i="5" a="1"/>
  <c r="Z291" i="5" a="1"/>
  <c r="Z375" i="5" a="1"/>
  <c r="Z419" i="5" a="1"/>
  <c r="Z463" i="5" a="1"/>
  <c r="Z32" i="5" a="1"/>
  <c r="Z412" i="5" a="1"/>
  <c r="Z456" i="5" a="1"/>
  <c r="Z496" i="5" a="1"/>
  <c r="W41" i="4" a="1"/>
  <c r="W84" i="4" a="1"/>
  <c r="W124" i="4" a="1"/>
  <c r="W169" i="4" a="1"/>
  <c r="W212" i="4" a="1"/>
  <c r="W276" i="4" a="1"/>
  <c r="W15" i="4" a="1"/>
  <c r="W47" i="4" a="1"/>
  <c r="W79" i="4" a="1"/>
  <c r="W111" i="4" a="1"/>
  <c r="W143" i="4" a="1"/>
  <c r="W175" i="4" a="1"/>
  <c r="W207" i="4" a="1"/>
  <c r="W239" i="4" a="1"/>
  <c r="W271" i="4" a="1"/>
  <c r="W303" i="4" a="1"/>
  <c r="W335" i="4" a="1"/>
  <c r="W367" i="4" a="1"/>
  <c r="W399" i="4" a="1"/>
  <c r="W21" i="4" a="1"/>
  <c r="W53" i="4" a="1"/>
  <c r="W85" i="4" a="1"/>
  <c r="W117" i="4" a="1"/>
  <c r="W149" i="4" a="1"/>
  <c r="W181" i="4" a="1"/>
  <c r="W213" i="4" a="1"/>
  <c r="W6" i="4" a="1"/>
  <c r="W38" i="4" a="1"/>
  <c r="W70" i="4" a="1"/>
  <c r="W102" i="4" a="1"/>
  <c r="W134" i="4" a="1"/>
  <c r="W166" i="4" a="1"/>
  <c r="W198" i="4" a="1"/>
  <c r="W230" i="4" a="1"/>
  <c r="W262" i="4" a="1"/>
  <c r="W294" i="4" a="1"/>
  <c r="W326" i="4" a="1"/>
  <c r="W358" i="4" a="1"/>
  <c r="W390" i="4" a="1"/>
  <c r="W257" i="4" a="1"/>
  <c r="W321" i="4" a="1"/>
  <c r="W341" i="4" a="1"/>
  <c r="W405" i="4" a="1"/>
  <c r="W437" i="4" a="1"/>
  <c r="W469" i="4" a="1"/>
  <c r="W277" i="4" a="1"/>
  <c r="W364" i="4" a="1"/>
  <c r="W414" i="4" a="1"/>
  <c r="W446" i="4" a="1"/>
  <c r="W478" i="4" a="1"/>
  <c r="W280" i="4" a="1"/>
  <c r="W365" i="4" a="1"/>
  <c r="W419" i="4" a="1"/>
  <c r="W451" i="4" a="1"/>
  <c r="W483" i="4" a="1"/>
  <c r="W272" i="4" a="1"/>
  <c r="W361" i="4" a="1"/>
  <c r="W416" i="4" a="1"/>
  <c r="W448" i="4" a="1"/>
  <c r="W480" i="4" a="1"/>
  <c r="Z137" i="5" a="1"/>
  <c r="X80" i="6" a="1"/>
  <c r="X57" i="6" a="1"/>
  <c r="X86" i="6" a="1"/>
  <c r="X198" i="6" a="1"/>
  <c r="X324" i="6" a="1"/>
  <c r="X47" i="6" a="1"/>
  <c r="X253" i="6" a="1"/>
  <c r="X402" i="6" a="1"/>
  <c r="X97" i="6" a="1"/>
  <c r="X281" i="6" a="1"/>
  <c r="X427" i="6" a="1"/>
  <c r="X93" i="6" a="1"/>
  <c r="X235" i="6" a="1"/>
  <c r="X337" i="6" a="1"/>
  <c r="X433" i="6" a="1"/>
  <c r="X139" i="6" a="1"/>
  <c r="X147" i="6" a="1"/>
  <c r="X55" i="6" a="1"/>
  <c r="X499" i="6" a="1"/>
  <c r="X495" i="6" a="1"/>
  <c r="Z10" i="5" a="1"/>
  <c r="Z70" i="5" a="1"/>
  <c r="Z130" i="5" a="1"/>
  <c r="Z190" i="5" a="1"/>
  <c r="Z242" i="5" a="1"/>
  <c r="Z302" i="5" a="1"/>
  <c r="Z358" i="5" a="1"/>
  <c r="Z51" i="5" a="1"/>
  <c r="Z159" i="5" a="1"/>
  <c r="Z279" i="5" a="1"/>
  <c r="Z3" i="5" a="1"/>
  <c r="Z72" i="5" a="1"/>
  <c r="Z132" i="5" a="1"/>
  <c r="Z180" i="5" a="1"/>
  <c r="Z220" i="5" a="1"/>
  <c r="Z264" i="5" a="1"/>
  <c r="Z308" i="5" a="1"/>
  <c r="Z348" i="5" a="1"/>
  <c r="Z390" i="5" a="1"/>
  <c r="Z430" i="5" a="1"/>
  <c r="Z474" i="5" a="1"/>
  <c r="Z67" i="5" a="1"/>
  <c r="Z147" i="5" a="1"/>
  <c r="Z235" i="5" a="1"/>
  <c r="Z323" i="5" a="1"/>
  <c r="Z391" i="5" a="1"/>
  <c r="Z435" i="5" a="1"/>
  <c r="Z479" i="5" a="1"/>
  <c r="Z384" i="5" a="1"/>
  <c r="Z428" i="5" a="1"/>
  <c r="Z472" i="5" a="1"/>
  <c r="W12" i="4" a="1"/>
  <c r="W57" i="4" a="1"/>
  <c r="W100" i="4" a="1"/>
  <c r="W140" i="4" a="1"/>
  <c r="W185" i="4" a="1"/>
  <c r="W236" i="4" a="1"/>
  <c r="W300" i="4" a="1"/>
  <c r="W26" i="4" a="1"/>
  <c r="W58" i="4" a="1"/>
  <c r="W90" i="4" a="1"/>
  <c r="W122" i="4" a="1"/>
  <c r="W154" i="4" a="1"/>
  <c r="W186" i="4" a="1"/>
  <c r="W218" i="4" a="1"/>
  <c r="W250" i="4" a="1"/>
  <c r="W282" i="4" a="1"/>
  <c r="W314" i="4" a="1"/>
  <c r="W346" i="4" a="1"/>
  <c r="W378" i="4" a="1"/>
  <c r="W245" i="4" a="1"/>
  <c r="W32" i="4" a="1"/>
  <c r="W64" i="4" a="1"/>
  <c r="W96" i="4" a="1"/>
  <c r="W128" i="4" a="1"/>
  <c r="W160" i="4" a="1"/>
  <c r="W192" i="4" a="1"/>
  <c r="W224" i="4" a="1"/>
  <c r="W19" i="4" a="1"/>
  <c r="W51" i="4" a="1"/>
  <c r="W83" i="4" a="1"/>
  <c r="W115" i="4" a="1"/>
  <c r="W147" i="4" a="1"/>
  <c r="W179" i="4" a="1"/>
  <c r="W211" i="4" a="1"/>
  <c r="W243" i="4" a="1"/>
  <c r="W275" i="4" a="1"/>
  <c r="W307" i="4" a="1"/>
  <c r="W339" i="4" a="1"/>
  <c r="W371" i="4" a="1"/>
  <c r="W403" i="4" a="1"/>
  <c r="W281" i="4" a="1"/>
  <c r="W285" i="4" a="1"/>
  <c r="W368" i="4" a="1"/>
  <c r="W417" i="4" a="1"/>
  <c r="W449" i="4" a="1"/>
  <c r="W481" i="4" a="1"/>
  <c r="W320" i="4" a="1"/>
  <c r="W385" i="4" a="1"/>
  <c r="W426" i="4" a="1"/>
  <c r="W458" i="4" a="1"/>
  <c r="W490" i="4" a="1"/>
  <c r="W328" i="4" a="1"/>
  <c r="W392" i="4" a="1"/>
  <c r="W431" i="4" a="1"/>
  <c r="W463" i="4" a="1"/>
  <c r="W495" i="4" a="1"/>
  <c r="W324" i="4" a="1"/>
  <c r="W388" i="4" a="1"/>
  <c r="W428" i="4" a="1"/>
  <c r="W460" i="4" a="1"/>
  <c r="W492" i="4" a="1"/>
  <c r="W496" i="4" a="1"/>
  <c r="Z145" i="5" a="1"/>
  <c r="X132" i="6" a="1"/>
  <c r="X4" i="6" a="1"/>
  <c r="X90" i="6" a="1"/>
  <c r="X202" i="6" a="1"/>
  <c r="X336" i="6" a="1"/>
  <c r="X71" i="6" a="1"/>
  <c r="X263" i="6" a="1"/>
  <c r="X418" i="6" a="1"/>
  <c r="X105" i="6" a="1"/>
  <c r="X286" i="6" a="1"/>
  <c r="X436" i="6" a="1"/>
  <c r="X125" i="6" a="1"/>
  <c r="X241" i="6" a="1"/>
  <c r="X347" i="6" a="1"/>
  <c r="X448" i="6" a="1"/>
  <c r="X239" i="6" a="1"/>
  <c r="X179" i="6" a="1"/>
  <c r="X187" i="6" a="1"/>
  <c r="X99" i="6" a="1"/>
  <c r="Z14" i="5" a="1"/>
  <c r="Z82" i="5" a="1"/>
  <c r="Z134" i="5" a="1"/>
  <c r="Z194" i="5" a="1"/>
  <c r="Z254" i="5" a="1"/>
  <c r="Z306" i="5" a="1"/>
  <c r="Z366" i="5" a="1"/>
  <c r="Z63" i="5" a="1"/>
  <c r="Z175" i="5" a="1"/>
  <c r="Z283" i="5" a="1"/>
  <c r="Z16" i="5" a="1"/>
  <c r="Z76" i="5" a="1"/>
  <c r="Z136" i="5" a="1"/>
  <c r="Z184" i="5" a="1"/>
  <c r="Z228" i="5" a="1"/>
  <c r="Z268" i="5" a="1"/>
  <c r="Z312" i="5" a="1"/>
  <c r="Z356" i="5" a="1"/>
  <c r="Z394" i="5" a="1"/>
  <c r="Z438" i="5" a="1"/>
  <c r="Z478" i="5" a="1"/>
  <c r="Z75" i="5" a="1"/>
  <c r="Z163" i="5" a="1"/>
  <c r="Z243" i="5" a="1"/>
  <c r="Z331" i="5" a="1"/>
  <c r="Z399" i="5" a="1"/>
  <c r="Z439" i="5" a="1"/>
  <c r="Z483" i="5" a="1"/>
  <c r="Z392" i="5" a="1"/>
  <c r="Z432" i="5" a="1"/>
  <c r="Z476" i="5" a="1"/>
  <c r="W20" i="4" a="1"/>
  <c r="W60" i="4" a="1"/>
  <c r="W105" i="4" a="1"/>
  <c r="W148" i="4" a="1"/>
  <c r="W188" i="4" a="1"/>
  <c r="W244" i="4" a="1"/>
  <c r="W308" i="4" a="1"/>
  <c r="W31" i="4" a="1"/>
  <c r="W63" i="4" a="1"/>
  <c r="W95" i="4" a="1"/>
  <c r="W127" i="4" a="1"/>
  <c r="W159" i="4" a="1"/>
  <c r="W191" i="4" a="1"/>
  <c r="W223" i="4" a="1"/>
  <c r="W255" i="4" a="1"/>
  <c r="W287" i="4" a="1"/>
  <c r="W319" i="4" a="1"/>
  <c r="W351" i="4" a="1"/>
  <c r="W383" i="4" a="1"/>
  <c r="W5" i="4" a="1"/>
  <c r="W37" i="4" a="1"/>
  <c r="W69" i="4" a="1"/>
  <c r="W101" i="4" a="1"/>
  <c r="W133" i="4" a="1"/>
  <c r="W165" i="4" a="1"/>
  <c r="W197" i="4" a="1"/>
  <c r="W229" i="4" a="1"/>
  <c r="W22" i="4" a="1"/>
  <c r="W54" i="4" a="1"/>
  <c r="W86" i="4" a="1"/>
  <c r="W118" i="4" a="1"/>
  <c r="W150" i="4" a="1"/>
  <c r="W182" i="4" a="1"/>
  <c r="W214" i="4" a="1"/>
  <c r="W246" i="4" a="1"/>
  <c r="W278" i="4" a="1"/>
  <c r="W310" i="4" a="1"/>
  <c r="W342" i="4" a="1"/>
  <c r="W374" i="4" a="1"/>
  <c r="W220" i="4" a="1"/>
  <c r="W289" i="4" a="1"/>
  <c r="W296" i="4" a="1"/>
  <c r="W373" i="4" a="1"/>
  <c r="W421" i="4" a="1"/>
  <c r="W453" i="4" a="1"/>
  <c r="W485" i="4" a="1"/>
  <c r="W332" i="4" a="1"/>
  <c r="W396" i="4" a="1"/>
  <c r="W430" i="4" a="1"/>
  <c r="W462" i="4" a="1"/>
  <c r="W494" i="4" a="1"/>
  <c r="W333" i="4" a="1"/>
  <c r="W397" i="4" a="1"/>
  <c r="W435" i="4" a="1"/>
  <c r="W467" i="4" a="1"/>
  <c r="W499" i="4" a="1"/>
  <c r="W329" i="4" a="1"/>
  <c r="W393" i="4" a="1"/>
  <c r="W432" i="4" a="1"/>
  <c r="W464" i="4" a="1"/>
  <c r="Z97" i="5" a="1"/>
  <c r="Z141" i="5" a="1"/>
  <c r="Z4" i="5" a="1"/>
  <c r="Z13" i="5" a="1"/>
  <c r="Z17" i="5" a="1"/>
  <c r="Z25" i="5" a="1"/>
  <c r="Z29" i="5" a="1"/>
  <c r="Z33" i="5" a="1"/>
  <c r="Z41" i="5" a="1"/>
  <c r="Z49" i="5" a="1"/>
  <c r="Z53" i="5" a="1"/>
  <c r="Z57" i="5" a="1"/>
  <c r="Z61" i="5" a="1"/>
  <c r="Z65" i="5" a="1"/>
  <c r="Z73" i="5" a="1"/>
  <c r="Z77" i="5" a="1"/>
  <c r="Z85" i="5" a="1"/>
  <c r="Z89" i="5" a="1"/>
  <c r="Z93" i="5" a="1"/>
  <c r="Z109" i="5" a="1"/>
  <c r="Z113" i="5" a="1"/>
  <c r="Z117" i="5" a="1"/>
  <c r="Z121" i="5" a="1"/>
  <c r="Z125" i="5" a="1"/>
  <c r="X184" i="6" a="1"/>
  <c r="X384" i="6" a="1"/>
  <c r="X201" i="6" a="1"/>
  <c r="X278" i="6" a="1"/>
  <c r="X351" i="6" a="1"/>
  <c r="Z101" i="5" a="1"/>
  <c r="Z214" i="5" a="1"/>
  <c r="Z111" i="5" a="1"/>
  <c r="Z100" i="5" a="1"/>
  <c r="Z284" i="5" a="1"/>
  <c r="Z454" i="5" a="1"/>
  <c r="Z275" i="5" a="1"/>
  <c r="Z499" i="5" a="1"/>
  <c r="W36" i="4" a="1"/>
  <c r="W204" i="4" a="1"/>
  <c r="W74" i="4" a="1"/>
  <c r="W202" i="4" a="1"/>
  <c r="W330" i="4" a="1"/>
  <c r="W48" i="4" a="1"/>
  <c r="W176" i="4" a="1"/>
  <c r="W67" i="4" a="1"/>
  <c r="W195" i="4" a="1"/>
  <c r="W323" i="4" a="1"/>
  <c r="W313" i="4" a="1"/>
  <c r="W465" i="4" a="1"/>
  <c r="W442" i="4" a="1"/>
  <c r="W415" i="4" a="1"/>
  <c r="W356" i="4" a="1"/>
  <c r="Z245" i="5" a="1"/>
  <c r="Z293" i="5" a="1"/>
  <c r="Z305" i="5" a="1"/>
  <c r="Z321" i="5" a="1"/>
  <c r="Z337" i="5" a="1"/>
  <c r="Z357" i="5" a="1"/>
  <c r="Z373" i="5" a="1"/>
  <c r="Z385" i="5" a="1"/>
  <c r="Z401" i="5" a="1"/>
  <c r="Z417" i="5" a="1"/>
  <c r="Z437" i="5" a="1"/>
  <c r="Z453" i="5" a="1"/>
  <c r="Z469" i="5" a="1"/>
  <c r="Z485" i="5" a="1"/>
  <c r="Z501" i="5" a="1"/>
  <c r="Z281" i="5" a="1"/>
  <c r="Z377" i="5" a="1"/>
  <c r="Z492" i="5" a="1"/>
  <c r="W298" i="4" a="1"/>
  <c r="W163" i="4" a="1"/>
  <c r="W410" i="4" a="1"/>
  <c r="W261" i="4" a="1"/>
  <c r="X28" i="6" a="1"/>
  <c r="X167" i="6" a="1"/>
  <c r="X355" i="6" a="1"/>
  <c r="X385" i="6" a="1"/>
  <c r="X335" i="6" a="1"/>
  <c r="Z153" i="5" a="1"/>
  <c r="Z42" i="5" a="1"/>
  <c r="Z274" i="5" a="1"/>
  <c r="Z215" i="5" a="1"/>
  <c r="Z156" i="5" a="1"/>
  <c r="Z328" i="5" a="1"/>
  <c r="Z494" i="5" a="1"/>
  <c r="Z347" i="5" a="1"/>
  <c r="Z408" i="5" a="1"/>
  <c r="W76" i="4" a="1"/>
  <c r="W268" i="4" a="1"/>
  <c r="W106" i="4" a="1"/>
  <c r="W234" i="4" a="1"/>
  <c r="W362" i="4" a="1"/>
  <c r="W80" i="4" a="1"/>
  <c r="W208" i="4" a="1"/>
  <c r="W99" i="4" a="1"/>
  <c r="W227" i="4" a="1"/>
  <c r="W355" i="4" a="1"/>
  <c r="W336" i="4" a="1"/>
  <c r="W256" i="4" a="1"/>
  <c r="W474" i="4" a="1"/>
  <c r="W447" i="4" a="1"/>
  <c r="W412" i="4" a="1"/>
  <c r="Z241" i="5" a="1"/>
  <c r="Z289" i="5" a="1"/>
  <c r="Z309" i="5" a="1"/>
  <c r="Z325" i="5" a="1"/>
  <c r="Z341" i="5" a="1"/>
  <c r="Z353" i="5" a="1"/>
  <c r="Z369" i="5" a="1"/>
  <c r="Z389" i="5" a="1"/>
  <c r="Z405" i="5" a="1"/>
  <c r="Z429" i="5" a="1"/>
  <c r="Z445" i="5" a="1"/>
  <c r="Z461" i="5" a="1"/>
  <c r="Z477" i="5" a="1"/>
  <c r="Z493" i="5" a="1"/>
  <c r="X181" i="6" a="1"/>
  <c r="Z44" i="5" a="1"/>
  <c r="Z455" i="5" a="1"/>
  <c r="W170" i="4" a="1"/>
  <c r="W35" i="4" a="1"/>
  <c r="W433" i="4" a="1"/>
  <c r="W476" i="4" a="1"/>
  <c r="X138" i="6" a="1"/>
  <c r="X333" i="6" a="1"/>
  <c r="X486" i="6" a="1"/>
  <c r="X480" i="6" a="1"/>
  <c r="X298" i="6" a="1"/>
  <c r="Z102" i="5" a="1"/>
  <c r="Z326" i="5" a="1"/>
  <c r="Z351" i="5" a="1"/>
  <c r="Z200" i="5" a="1"/>
  <c r="Z372" i="5" a="1"/>
  <c r="Z18" i="5" a="1"/>
  <c r="Z107" i="5" a="1"/>
  <c r="Z415" i="5" a="1"/>
  <c r="Z448" i="5" a="1"/>
  <c r="W121" i="4" a="1"/>
  <c r="W10" i="4" a="1"/>
  <c r="W138" i="4" a="1"/>
  <c r="W266" i="4" a="1"/>
  <c r="W394" i="4" a="1"/>
  <c r="W112" i="4" a="1"/>
  <c r="W248" i="4" a="1"/>
  <c r="W131" i="4" a="1"/>
  <c r="W259" i="4" a="1"/>
  <c r="W387" i="4" a="1"/>
  <c r="W400" i="4" a="1"/>
  <c r="W353" i="4" a="1"/>
  <c r="W269" i="4" a="1"/>
  <c r="W479" i="4" a="1"/>
  <c r="W444" i="4" a="1"/>
  <c r="Z205" i="5" a="1"/>
  <c r="Z229" i="5" a="1"/>
  <c r="Z233" i="5" a="1"/>
  <c r="Z253" i="5" a="1"/>
  <c r="Z257" i="5" a="1"/>
  <c r="Z265" i="5" a="1"/>
  <c r="Z277" i="5" a="1"/>
  <c r="Z285" i="5" a="1"/>
  <c r="Z301" i="5" a="1"/>
  <c r="Z317" i="5" a="1"/>
  <c r="Z333" i="5" a="1"/>
  <c r="Z349" i="5" a="1"/>
  <c r="Z365" i="5" a="1"/>
  <c r="Z381" i="5" a="1"/>
  <c r="Z397" i="5" a="1"/>
  <c r="Z413" i="5" a="1"/>
  <c r="Z433" i="5" a="1"/>
  <c r="Z449" i="5" a="1"/>
  <c r="Z481" i="5" a="1"/>
  <c r="Z497" i="5" a="1"/>
  <c r="X272" i="6" a="1"/>
  <c r="X367" i="6" a="1"/>
  <c r="Z158" i="5" a="1"/>
  <c r="Z244" i="5" a="1"/>
  <c r="Z195" i="5" a="1"/>
  <c r="W42" i="4" a="1"/>
  <c r="W144" i="4" a="1"/>
  <c r="W291" i="4" a="1"/>
  <c r="W360" i="4" a="1"/>
  <c r="Z9" i="5" a="1"/>
  <c r="Z21" i="5" a="1"/>
  <c r="Z45" i="5" a="1"/>
  <c r="Z69" i="5" a="1"/>
  <c r="Z81" i="5" a="1"/>
  <c r="Z105" i="5" a="1"/>
  <c r="Z129" i="5" a="1"/>
  <c r="Z133" i="5" a="1"/>
  <c r="Z149" i="5" a="1"/>
  <c r="Z157" i="5" a="1"/>
  <c r="Z161" i="5" a="1"/>
  <c r="Z165" i="5" a="1"/>
  <c r="Z169" i="5" a="1"/>
  <c r="Z173" i="5" a="1"/>
  <c r="Z177" i="5" a="1"/>
  <c r="Z181" i="5" a="1"/>
  <c r="Z185" i="5" a="1"/>
  <c r="Z189" i="5" a="1"/>
  <c r="Z193" i="5" a="1"/>
  <c r="Z197" i="5" a="1"/>
  <c r="Z201" i="5" a="1"/>
  <c r="Z209" i="5" a="1"/>
  <c r="Z217" i="5" a="1"/>
  <c r="Z221" i="5" a="1"/>
  <c r="Z225" i="5" a="1"/>
  <c r="Z237" i="5" a="1"/>
  <c r="Z249" i="5" a="1"/>
  <c r="Z261" i="5" a="1"/>
  <c r="Z269" i="5" a="1"/>
  <c r="Z273" i="5" a="1"/>
  <c r="Z297" i="5" a="1"/>
  <c r="Z313" i="5" a="1"/>
  <c r="Z329" i="5" a="1"/>
  <c r="Z361" i="5" a="1"/>
  <c r="Z393" i="5" a="1"/>
  <c r="Z409" i="5" a="1"/>
  <c r="Z425" i="5" a="1"/>
  <c r="Z441" i="5" a="1"/>
  <c r="Z457" i="5" a="1"/>
  <c r="Z473" i="5" a="1"/>
  <c r="Z489" i="5" a="1"/>
  <c r="X469" i="6" a="1"/>
  <c r="Z37" i="5" a="1"/>
  <c r="Z19" i="5" a="1"/>
  <c r="Z410" i="5" a="1"/>
  <c r="W164" i="4" a="1"/>
  <c r="W16" i="4" a="1"/>
  <c r="W249" i="4" a="1"/>
  <c r="Z213" i="5" a="1"/>
  <c r="Z345" i="5" a="1"/>
  <c r="Z421" i="5" a="1"/>
  <c r="Z465" i="5" a="1"/>
  <c r="W493" i="4" l="1"/>
  <c r="W500" i="4"/>
  <c r="W496" i="4"/>
  <c r="W492" i="4"/>
  <c r="W488" i="4"/>
  <c r="W484" i="4"/>
  <c r="W480" i="4"/>
  <c r="W476" i="4"/>
  <c r="W472" i="4"/>
  <c r="W468" i="4"/>
  <c r="W464" i="4"/>
  <c r="W460" i="4"/>
  <c r="W456" i="4"/>
  <c r="W452" i="4"/>
  <c r="W448" i="4"/>
  <c r="W444" i="4"/>
  <c r="W440" i="4"/>
  <c r="W436" i="4"/>
  <c r="W432" i="4"/>
  <c r="W428" i="4"/>
  <c r="W424" i="4"/>
  <c r="W420" i="4"/>
  <c r="W416" i="4"/>
  <c r="W412" i="4"/>
  <c r="W408" i="4"/>
  <c r="W404" i="4"/>
  <c r="W393" i="4"/>
  <c r="W388" i="4"/>
  <c r="W377" i="4"/>
  <c r="W372" i="4"/>
  <c r="W361" i="4"/>
  <c r="W356" i="4"/>
  <c r="W345" i="4"/>
  <c r="W340" i="4"/>
  <c r="W329" i="4"/>
  <c r="W324" i="4"/>
  <c r="W304" i="4"/>
  <c r="W293" i="4"/>
  <c r="W272" i="4"/>
  <c r="W261" i="4"/>
  <c r="W497" i="4"/>
  <c r="W2" i="4"/>
  <c r="W499" i="4"/>
  <c r="W495" i="4"/>
  <c r="W491" i="4"/>
  <c r="W487" i="4"/>
  <c r="W483" i="4"/>
  <c r="W479" i="4"/>
  <c r="W475" i="4"/>
  <c r="W471" i="4"/>
  <c r="W467" i="4"/>
  <c r="W463" i="4"/>
  <c r="W459" i="4"/>
  <c r="W455" i="4"/>
  <c r="W451" i="4"/>
  <c r="W447" i="4"/>
  <c r="W443" i="4"/>
  <c r="W439" i="4"/>
  <c r="W435" i="4"/>
  <c r="W431" i="4"/>
  <c r="W427" i="4"/>
  <c r="W423" i="4"/>
  <c r="W419" i="4"/>
  <c r="W415" i="4"/>
  <c r="W411" i="4"/>
  <c r="W407" i="4"/>
  <c r="W397" i="4"/>
  <c r="W392" i="4"/>
  <c r="W381" i="4"/>
  <c r="W376" i="4"/>
  <c r="W365" i="4"/>
  <c r="W360" i="4"/>
  <c r="W349" i="4"/>
  <c r="W344" i="4"/>
  <c r="W333" i="4"/>
  <c r="W328" i="4"/>
  <c r="W312" i="4"/>
  <c r="W301" i="4"/>
  <c r="W280" i="4"/>
  <c r="W269" i="4"/>
  <c r="W3" i="4"/>
  <c r="W498" i="4"/>
  <c r="W494" i="4"/>
  <c r="W490" i="4"/>
  <c r="W486" i="4"/>
  <c r="W482" i="4"/>
  <c r="W478" i="4"/>
  <c r="W474" i="4"/>
  <c r="W470" i="4"/>
  <c r="W466" i="4"/>
  <c r="W462" i="4"/>
  <c r="W458" i="4"/>
  <c r="W454" i="4"/>
  <c r="W450" i="4"/>
  <c r="W446" i="4"/>
  <c r="W442" i="4"/>
  <c r="W438" i="4"/>
  <c r="W434" i="4"/>
  <c r="W430" i="4"/>
  <c r="W426" i="4"/>
  <c r="W422" i="4"/>
  <c r="W418" i="4"/>
  <c r="W414" i="4"/>
  <c r="W410" i="4"/>
  <c r="W406" i="4"/>
  <c r="W401" i="4"/>
  <c r="W396" i="4"/>
  <c r="W385" i="4"/>
  <c r="W380" i="4"/>
  <c r="W369" i="4"/>
  <c r="W364" i="4"/>
  <c r="W353" i="4"/>
  <c r="W348" i="4"/>
  <c r="W337" i="4"/>
  <c r="W332" i="4"/>
  <c r="W320" i="4"/>
  <c r="W309" i="4"/>
  <c r="W288" i="4"/>
  <c r="W277" i="4"/>
  <c r="W256" i="4"/>
  <c r="W501" i="4"/>
  <c r="W489" i="4"/>
  <c r="W485" i="4"/>
  <c r="W481" i="4"/>
  <c r="W477" i="4"/>
  <c r="W473" i="4"/>
  <c r="W469" i="4"/>
  <c r="W465" i="4"/>
  <c r="W461" i="4"/>
  <c r="W457" i="4"/>
  <c r="W453" i="4"/>
  <c r="W449" i="4"/>
  <c r="W445" i="4"/>
  <c r="W441" i="4"/>
  <c r="W437" i="4"/>
  <c r="W433" i="4"/>
  <c r="W429" i="4"/>
  <c r="W425" i="4"/>
  <c r="W421" i="4"/>
  <c r="W417" i="4"/>
  <c r="W413" i="4"/>
  <c r="W409" i="4"/>
  <c r="W405" i="4"/>
  <c r="W400" i="4"/>
  <c r="W389" i="4"/>
  <c r="W384" i="4"/>
  <c r="W373" i="4"/>
  <c r="W368" i="4"/>
  <c r="W357" i="4"/>
  <c r="W352" i="4"/>
  <c r="W341" i="4"/>
  <c r="W336" i="4"/>
  <c r="W325" i="4"/>
  <c r="W317" i="4"/>
  <c r="W296" i="4"/>
  <c r="W285" i="4"/>
  <c r="W264" i="4"/>
  <c r="W253" i="4"/>
  <c r="W321" i="4"/>
  <c r="W313" i="4"/>
  <c r="W305" i="4"/>
  <c r="W297" i="4"/>
  <c r="W289" i="4"/>
  <c r="W281" i="4"/>
  <c r="W273" i="4"/>
  <c r="W265" i="4"/>
  <c r="W257" i="4"/>
  <c r="W249" i="4"/>
  <c r="W241" i="4"/>
  <c r="W233" i="4"/>
  <c r="W220" i="4"/>
  <c r="W403" i="4"/>
  <c r="W398" i="4"/>
  <c r="W395" i="4"/>
  <c r="W390" i="4"/>
  <c r="W387" i="4"/>
  <c r="W382" i="4"/>
  <c r="W379" i="4"/>
  <c r="W374" i="4"/>
  <c r="W371" i="4"/>
  <c r="W366" i="4"/>
  <c r="W363" i="4"/>
  <c r="W358" i="4"/>
  <c r="W355" i="4"/>
  <c r="W350" i="4"/>
  <c r="W347" i="4"/>
  <c r="W342" i="4"/>
  <c r="W339" i="4"/>
  <c r="W334" i="4"/>
  <c r="W331" i="4"/>
  <c r="W326" i="4"/>
  <c r="W323" i="4"/>
  <c r="W318" i="4"/>
  <c r="W315" i="4"/>
  <c r="W310" i="4"/>
  <c r="W307" i="4"/>
  <c r="W302" i="4"/>
  <c r="W299" i="4"/>
  <c r="W294" i="4"/>
  <c r="W291" i="4"/>
  <c r="W286" i="4"/>
  <c r="W283" i="4"/>
  <c r="W278" i="4"/>
  <c r="W275" i="4"/>
  <c r="W270" i="4"/>
  <c r="W267" i="4"/>
  <c r="W262" i="4"/>
  <c r="W259" i="4"/>
  <c r="W254" i="4"/>
  <c r="W251" i="4"/>
  <c r="W246" i="4"/>
  <c r="W243" i="4"/>
  <c r="W238" i="4"/>
  <c r="W235" i="4"/>
  <c r="W230" i="4"/>
  <c r="W227" i="4"/>
  <c r="W222" i="4"/>
  <c r="W219" i="4"/>
  <c r="W214" i="4"/>
  <c r="W211" i="4"/>
  <c r="W206" i="4"/>
  <c r="W203" i="4"/>
  <c r="W198" i="4"/>
  <c r="W195" i="4"/>
  <c r="W190" i="4"/>
  <c r="W187" i="4"/>
  <c r="W182" i="4"/>
  <c r="W179" i="4"/>
  <c r="W174" i="4"/>
  <c r="W171" i="4"/>
  <c r="W166" i="4"/>
  <c r="W163" i="4"/>
  <c r="W158" i="4"/>
  <c r="W155" i="4"/>
  <c r="W150" i="4"/>
  <c r="W147" i="4"/>
  <c r="W142" i="4"/>
  <c r="W139" i="4"/>
  <c r="W134" i="4"/>
  <c r="W131" i="4"/>
  <c r="W126" i="4"/>
  <c r="W123" i="4"/>
  <c r="W118" i="4"/>
  <c r="W115" i="4"/>
  <c r="W110" i="4"/>
  <c r="W107" i="4"/>
  <c r="W102" i="4"/>
  <c r="W99" i="4"/>
  <c r="W94" i="4"/>
  <c r="W91" i="4"/>
  <c r="W86" i="4"/>
  <c r="W83" i="4"/>
  <c r="W78" i="4"/>
  <c r="W75" i="4"/>
  <c r="W70" i="4"/>
  <c r="W67" i="4"/>
  <c r="W62" i="4"/>
  <c r="W59" i="4"/>
  <c r="W54" i="4"/>
  <c r="W51" i="4"/>
  <c r="W46" i="4"/>
  <c r="W43" i="4"/>
  <c r="W38" i="4"/>
  <c r="W35" i="4"/>
  <c r="W30" i="4"/>
  <c r="W27" i="4"/>
  <c r="W22" i="4"/>
  <c r="W19" i="4"/>
  <c r="W14" i="4"/>
  <c r="W11" i="4"/>
  <c r="W6" i="4"/>
  <c r="W248" i="4"/>
  <c r="W240" i="4"/>
  <c r="W237" i="4"/>
  <c r="W229" i="4"/>
  <c r="W224" i="4"/>
  <c r="W221" i="4"/>
  <c r="W216" i="4"/>
  <c r="W213" i="4"/>
  <c r="W208" i="4"/>
  <c r="W205" i="4"/>
  <c r="W200" i="4"/>
  <c r="W197" i="4"/>
  <c r="W192" i="4"/>
  <c r="W189" i="4"/>
  <c r="W184" i="4"/>
  <c r="W181" i="4"/>
  <c r="W176" i="4"/>
  <c r="W173" i="4"/>
  <c r="W168" i="4"/>
  <c r="W165" i="4"/>
  <c r="W160" i="4"/>
  <c r="W157" i="4"/>
  <c r="W152" i="4"/>
  <c r="W149" i="4"/>
  <c r="W144" i="4"/>
  <c r="W141" i="4"/>
  <c r="W136" i="4"/>
  <c r="W133" i="4"/>
  <c r="W128" i="4"/>
  <c r="W125" i="4"/>
  <c r="W120" i="4"/>
  <c r="W117" i="4"/>
  <c r="W112" i="4"/>
  <c r="W109" i="4"/>
  <c r="W104" i="4"/>
  <c r="W101" i="4"/>
  <c r="W96" i="4"/>
  <c r="W93" i="4"/>
  <c r="W88" i="4"/>
  <c r="W85" i="4"/>
  <c r="W80" i="4"/>
  <c r="W77" i="4"/>
  <c r="W72" i="4"/>
  <c r="W69" i="4"/>
  <c r="W64" i="4"/>
  <c r="W61" i="4"/>
  <c r="W56" i="4"/>
  <c r="W53" i="4"/>
  <c r="W48" i="4"/>
  <c r="W45" i="4"/>
  <c r="W40" i="4"/>
  <c r="W37" i="4"/>
  <c r="W32" i="4"/>
  <c r="W29" i="4"/>
  <c r="W24" i="4"/>
  <c r="W21" i="4"/>
  <c r="W16" i="4"/>
  <c r="W13" i="4"/>
  <c r="W8" i="4"/>
  <c r="W5" i="4"/>
  <c r="W245" i="4"/>
  <c r="W232" i="4"/>
  <c r="W402" i="4"/>
  <c r="W399" i="4"/>
  <c r="W394" i="4"/>
  <c r="W391" i="4"/>
  <c r="W386" i="4"/>
  <c r="W383" i="4"/>
  <c r="W378" i="4"/>
  <c r="W375" i="4"/>
  <c r="W370" i="4"/>
  <c r="W367" i="4"/>
  <c r="W362" i="4"/>
  <c r="W359" i="4"/>
  <c r="W354" i="4"/>
  <c r="W351" i="4"/>
  <c r="W346" i="4"/>
  <c r="W343" i="4"/>
  <c r="W338" i="4"/>
  <c r="W335" i="4"/>
  <c r="W330" i="4"/>
  <c r="W327" i="4"/>
  <c r="W322" i="4"/>
  <c r="W319" i="4"/>
  <c r="W314" i="4"/>
  <c r="W311" i="4"/>
  <c r="W306" i="4"/>
  <c r="W303" i="4"/>
  <c r="W298" i="4"/>
  <c r="W295" i="4"/>
  <c r="W290" i="4"/>
  <c r="W287" i="4"/>
  <c r="W282" i="4"/>
  <c r="W279" i="4"/>
  <c r="W274" i="4"/>
  <c r="W271" i="4"/>
  <c r="W266" i="4"/>
  <c r="W263" i="4"/>
  <c r="W258" i="4"/>
  <c r="W255" i="4"/>
  <c r="W250" i="4"/>
  <c r="W247" i="4"/>
  <c r="W242" i="4"/>
  <c r="W239" i="4"/>
  <c r="W234" i="4"/>
  <c r="W231" i="4"/>
  <c r="W226" i="4"/>
  <c r="W223" i="4"/>
  <c r="W218" i="4"/>
  <c r="W215" i="4"/>
  <c r="W210" i="4"/>
  <c r="W207" i="4"/>
  <c r="W202" i="4"/>
  <c r="W199" i="4"/>
  <c r="W194" i="4"/>
  <c r="W191" i="4"/>
  <c r="W186" i="4"/>
  <c r="W183" i="4"/>
  <c r="W178" i="4"/>
  <c r="W175" i="4"/>
  <c r="W170" i="4"/>
  <c r="W167" i="4"/>
  <c r="W162" i="4"/>
  <c r="W159" i="4"/>
  <c r="W154" i="4"/>
  <c r="W151" i="4"/>
  <c r="W146" i="4"/>
  <c r="W143" i="4"/>
  <c r="W138" i="4"/>
  <c r="W135" i="4"/>
  <c r="W130" i="4"/>
  <c r="W127" i="4"/>
  <c r="W122" i="4"/>
  <c r="W119" i="4"/>
  <c r="W114" i="4"/>
  <c r="W111" i="4"/>
  <c r="W106" i="4"/>
  <c r="W103" i="4"/>
  <c r="W98" i="4"/>
  <c r="W95" i="4"/>
  <c r="W90" i="4"/>
  <c r="W87" i="4"/>
  <c r="W82" i="4"/>
  <c r="W79" i="4"/>
  <c r="W74" i="4"/>
  <c r="W71" i="4"/>
  <c r="W66" i="4"/>
  <c r="W63" i="4"/>
  <c r="W58" i="4"/>
  <c r="W55" i="4"/>
  <c r="W50" i="4"/>
  <c r="W47" i="4"/>
  <c r="W42" i="4"/>
  <c r="W39" i="4"/>
  <c r="W34" i="4"/>
  <c r="W31" i="4"/>
  <c r="W26" i="4"/>
  <c r="W23" i="4"/>
  <c r="W18" i="4"/>
  <c r="W15" i="4"/>
  <c r="W10" i="4"/>
  <c r="W7" i="4"/>
  <c r="W316" i="4"/>
  <c r="W308" i="4"/>
  <c r="W300" i="4"/>
  <c r="W292" i="4"/>
  <c r="W284" i="4"/>
  <c r="W276" i="4"/>
  <c r="W268" i="4"/>
  <c r="W260" i="4"/>
  <c r="W252" i="4"/>
  <c r="W244" i="4"/>
  <c r="W236" i="4"/>
  <c r="W228" i="4"/>
  <c r="W225" i="4"/>
  <c r="W217" i="4"/>
  <c r="W212" i="4"/>
  <c r="W209" i="4"/>
  <c r="W204" i="4"/>
  <c r="W201" i="4"/>
  <c r="W196" i="4"/>
  <c r="W193" i="4"/>
  <c r="W188" i="4"/>
  <c r="W185" i="4"/>
  <c r="W180" i="4"/>
  <c r="W177" i="4"/>
  <c r="W172" i="4"/>
  <c r="W169" i="4"/>
  <c r="W164" i="4"/>
  <c r="W161" i="4"/>
  <c r="W156" i="4"/>
  <c r="W153" i="4"/>
  <c r="W148" i="4"/>
  <c r="W145" i="4"/>
  <c r="W140" i="4"/>
  <c r="W137" i="4"/>
  <c r="W132" i="4"/>
  <c r="W129" i="4"/>
  <c r="W124" i="4"/>
  <c r="W121" i="4"/>
  <c r="W116" i="4"/>
  <c r="W113" i="4"/>
  <c r="W108" i="4"/>
  <c r="W105" i="4"/>
  <c r="W100" i="4"/>
  <c r="W97" i="4"/>
  <c r="W92" i="4"/>
  <c r="W89" i="4"/>
  <c r="W84" i="4"/>
  <c r="W81" i="4"/>
  <c r="W76" i="4"/>
  <c r="W73" i="4"/>
  <c r="W68" i="4"/>
  <c r="W65" i="4"/>
  <c r="W60" i="4"/>
  <c r="W57" i="4"/>
  <c r="W52" i="4"/>
  <c r="W49" i="4"/>
  <c r="W44" i="4"/>
  <c r="W41" i="4"/>
  <c r="W36" i="4"/>
  <c r="W33" i="4"/>
  <c r="W28" i="4"/>
  <c r="W25" i="4"/>
  <c r="W20" i="4"/>
  <c r="W17" i="4"/>
  <c r="W12" i="4"/>
  <c r="W9" i="4"/>
  <c r="W4" i="4"/>
  <c r="Z500" i="5"/>
  <c r="Z496" i="5"/>
  <c r="Z492" i="5"/>
  <c r="Z488" i="5"/>
  <c r="Z484" i="5"/>
  <c r="Z480" i="5"/>
  <c r="Z476" i="5"/>
  <c r="Z472" i="5"/>
  <c r="Z468" i="5"/>
  <c r="Z464" i="5"/>
  <c r="Z460" i="5"/>
  <c r="Z456" i="5"/>
  <c r="Z452" i="5"/>
  <c r="Z448" i="5"/>
  <c r="Z444" i="5"/>
  <c r="Z440" i="5"/>
  <c r="Z436" i="5"/>
  <c r="Z432" i="5"/>
  <c r="Z428" i="5"/>
  <c r="Z424" i="5"/>
  <c r="Z420" i="5"/>
  <c r="Z416" i="5"/>
  <c r="Z412" i="5"/>
  <c r="Z408" i="5"/>
  <c r="Z404" i="5"/>
  <c r="Z400" i="5"/>
  <c r="Z396" i="5"/>
  <c r="Z392" i="5"/>
  <c r="Z388" i="5"/>
  <c r="Z384" i="5"/>
  <c r="Z380" i="5"/>
  <c r="Z376" i="5"/>
  <c r="Z36" i="5"/>
  <c r="Z32" i="5"/>
  <c r="Z499" i="5"/>
  <c r="Z495" i="5"/>
  <c r="Z491" i="5"/>
  <c r="Z487" i="5"/>
  <c r="Z483" i="5"/>
  <c r="Z479" i="5"/>
  <c r="Z475" i="5"/>
  <c r="Z471" i="5"/>
  <c r="Z467" i="5"/>
  <c r="Z463" i="5"/>
  <c r="Z459" i="5"/>
  <c r="Z455" i="5"/>
  <c r="Z451" i="5"/>
  <c r="Z447" i="5"/>
  <c r="Z443" i="5"/>
  <c r="Z439" i="5"/>
  <c r="Z435" i="5"/>
  <c r="Z431" i="5"/>
  <c r="Z427" i="5"/>
  <c r="Z423" i="5"/>
  <c r="Z419" i="5"/>
  <c r="Z415" i="5"/>
  <c r="Z411" i="5"/>
  <c r="Z407" i="5"/>
  <c r="Z403" i="5"/>
  <c r="Z399" i="5"/>
  <c r="Z395" i="5"/>
  <c r="Z391" i="5"/>
  <c r="Z387" i="5"/>
  <c r="Z383" i="5"/>
  <c r="Z379" i="5"/>
  <c r="Z375" i="5"/>
  <c r="Z347" i="5"/>
  <c r="Z343" i="5"/>
  <c r="Z339" i="5"/>
  <c r="Z335" i="5"/>
  <c r="Z331" i="5"/>
  <c r="Z323" i="5"/>
  <c r="Z319" i="5"/>
  <c r="Z307" i="5"/>
  <c r="Z303" i="5"/>
  <c r="Z291" i="5"/>
  <c r="Z287" i="5"/>
  <c r="Z275" i="5"/>
  <c r="Z271" i="5"/>
  <c r="Z259" i="5"/>
  <c r="Z255" i="5"/>
  <c r="Z243" i="5"/>
  <c r="Z235" i="5"/>
  <c r="Z227" i="5"/>
  <c r="Z219" i="5"/>
  <c r="Z211" i="5"/>
  <c r="Z203" i="5"/>
  <c r="Z195" i="5"/>
  <c r="Z187" i="5"/>
  <c r="Z179" i="5"/>
  <c r="Z171" i="5"/>
  <c r="Z163" i="5"/>
  <c r="Z155" i="5"/>
  <c r="Z147" i="5"/>
  <c r="Z139" i="5"/>
  <c r="Z131" i="5"/>
  <c r="Z123" i="5"/>
  <c r="Z115" i="5"/>
  <c r="Z107" i="5"/>
  <c r="Z99" i="5"/>
  <c r="Z91" i="5"/>
  <c r="Z83" i="5"/>
  <c r="Z75" i="5"/>
  <c r="Z67" i="5"/>
  <c r="Z59" i="5"/>
  <c r="Z39" i="5"/>
  <c r="Z6" i="5"/>
  <c r="Z2" i="5"/>
  <c r="Z498" i="5"/>
  <c r="Z494" i="5"/>
  <c r="Z490" i="5"/>
  <c r="Z486" i="5"/>
  <c r="Z482" i="5"/>
  <c r="Z478" i="5"/>
  <c r="Z474" i="5"/>
  <c r="Z470" i="5"/>
  <c r="Z466" i="5"/>
  <c r="Z462" i="5"/>
  <c r="Z458" i="5"/>
  <c r="Z454" i="5"/>
  <c r="Z450" i="5"/>
  <c r="Z446" i="5"/>
  <c r="Z442" i="5"/>
  <c r="Z438" i="5"/>
  <c r="Z434" i="5"/>
  <c r="Z430" i="5"/>
  <c r="Z426" i="5"/>
  <c r="Z422" i="5"/>
  <c r="Z418" i="5"/>
  <c r="Z414" i="5"/>
  <c r="Z410" i="5"/>
  <c r="Z406" i="5"/>
  <c r="Z402" i="5"/>
  <c r="Z398" i="5"/>
  <c r="Z394" i="5"/>
  <c r="Z390" i="5"/>
  <c r="Z386" i="5"/>
  <c r="Z382" i="5"/>
  <c r="Z378" i="5"/>
  <c r="Z374" i="5"/>
  <c r="Z50" i="5"/>
  <c r="Z18" i="5"/>
  <c r="Z501" i="5"/>
  <c r="Z497" i="5"/>
  <c r="Z493" i="5"/>
  <c r="Z489" i="5"/>
  <c r="Z485" i="5"/>
  <c r="Z481" i="5"/>
  <c r="Z477" i="5"/>
  <c r="Z473" i="5"/>
  <c r="Z469" i="5"/>
  <c r="Z465" i="5"/>
  <c r="Z461" i="5"/>
  <c r="Z457" i="5"/>
  <c r="Z453" i="5"/>
  <c r="Z449" i="5"/>
  <c r="Z445" i="5"/>
  <c r="Z441" i="5"/>
  <c r="Z437" i="5"/>
  <c r="Z433" i="5"/>
  <c r="Z429" i="5"/>
  <c r="Z425" i="5"/>
  <c r="Z421" i="5"/>
  <c r="Z417" i="5"/>
  <c r="Z413" i="5"/>
  <c r="Z409" i="5"/>
  <c r="Z405" i="5"/>
  <c r="Z401" i="5"/>
  <c r="Z397" i="5"/>
  <c r="Z393" i="5"/>
  <c r="Z389" i="5"/>
  <c r="Z385" i="5"/>
  <c r="Z381" i="5"/>
  <c r="Z377" i="5"/>
  <c r="Z373" i="5"/>
  <c r="Z321" i="5"/>
  <c r="Z305" i="5"/>
  <c r="Z289" i="5"/>
  <c r="Z273" i="5"/>
  <c r="Z257" i="5"/>
  <c r="Z53" i="5"/>
  <c r="Z25" i="5"/>
  <c r="Z21" i="5"/>
  <c r="Z372" i="5"/>
  <c r="Z368" i="5"/>
  <c r="Z364" i="5"/>
  <c r="Z360" i="5"/>
  <c r="Z356" i="5"/>
  <c r="Z352" i="5"/>
  <c r="Z348" i="5"/>
  <c r="Z344" i="5"/>
  <c r="Z340" i="5"/>
  <c r="Z336" i="5"/>
  <c r="Z332" i="5"/>
  <c r="Z328" i="5"/>
  <c r="Z324" i="5"/>
  <c r="Z320" i="5"/>
  <c r="Z316" i="5"/>
  <c r="Z312" i="5"/>
  <c r="Z308" i="5"/>
  <c r="Z304" i="5"/>
  <c r="Z300" i="5"/>
  <c r="Z296" i="5"/>
  <c r="Z292" i="5"/>
  <c r="Z288" i="5"/>
  <c r="Z284" i="5"/>
  <c r="Z280" i="5"/>
  <c r="Z276" i="5"/>
  <c r="Z272" i="5"/>
  <c r="Z268" i="5"/>
  <c r="Z264" i="5"/>
  <c r="Z260" i="5"/>
  <c r="Z256" i="5"/>
  <c r="Z252" i="5"/>
  <c r="Z248" i="5"/>
  <c r="Z244" i="5"/>
  <c r="Z240" i="5"/>
  <c r="Z236" i="5"/>
  <c r="Z232" i="5"/>
  <c r="Z228" i="5"/>
  <c r="Z224" i="5"/>
  <c r="Z220" i="5"/>
  <c r="Z216" i="5"/>
  <c r="Z212" i="5"/>
  <c r="Z208" i="5"/>
  <c r="Z204" i="5"/>
  <c r="Z200" i="5"/>
  <c r="Z196" i="5"/>
  <c r="Z192" i="5"/>
  <c r="Z188" i="5"/>
  <c r="Z184" i="5"/>
  <c r="Z180" i="5"/>
  <c r="Z176" i="5"/>
  <c r="Z172" i="5"/>
  <c r="Z168" i="5"/>
  <c r="Z164" i="5"/>
  <c r="Z160" i="5"/>
  <c r="Z156" i="5"/>
  <c r="Z152" i="5"/>
  <c r="Z148" i="5"/>
  <c r="Z144" i="5"/>
  <c r="Z140" i="5"/>
  <c r="Z136" i="5"/>
  <c r="Z132" i="5"/>
  <c r="Z128" i="5"/>
  <c r="Z124" i="5"/>
  <c r="Z120" i="5"/>
  <c r="Z116" i="5"/>
  <c r="Z112" i="5"/>
  <c r="Z108" i="5"/>
  <c r="Z104" i="5"/>
  <c r="Z100" i="5"/>
  <c r="Z96" i="5"/>
  <c r="Z92" i="5"/>
  <c r="Z88" i="5"/>
  <c r="Z84" i="5"/>
  <c r="Z80" i="5"/>
  <c r="Z76" i="5"/>
  <c r="Z72" i="5"/>
  <c r="Z68" i="5"/>
  <c r="Z64" i="5"/>
  <c r="Z60" i="5"/>
  <c r="Z56" i="5"/>
  <c r="Z52" i="5"/>
  <c r="Z48" i="5"/>
  <c r="Z44" i="5"/>
  <c r="Z40" i="5"/>
  <c r="Z28" i="5"/>
  <c r="Z24" i="5"/>
  <c r="Z20" i="5"/>
  <c r="Z16" i="5"/>
  <c r="Z12" i="5"/>
  <c r="Z8" i="5"/>
  <c r="Z3" i="5"/>
  <c r="Z371" i="5"/>
  <c r="Z367" i="5"/>
  <c r="Z363" i="5"/>
  <c r="Z359" i="5"/>
  <c r="Z355" i="5"/>
  <c r="Z351" i="5"/>
  <c r="Z327" i="5"/>
  <c r="Z315" i="5"/>
  <c r="Z311" i="5"/>
  <c r="Z299" i="5"/>
  <c r="Z295" i="5"/>
  <c r="Z283" i="5"/>
  <c r="Z279" i="5"/>
  <c r="Z267" i="5"/>
  <c r="Z263" i="5"/>
  <c r="Z251" i="5"/>
  <c r="Z247" i="5"/>
  <c r="Z239" i="5"/>
  <c r="Z231" i="5"/>
  <c r="Z223" i="5"/>
  <c r="Z215" i="5"/>
  <c r="Z207" i="5"/>
  <c r="Z199" i="5"/>
  <c r="Z191" i="5"/>
  <c r="Z183" i="5"/>
  <c r="Z175" i="5"/>
  <c r="Z167" i="5"/>
  <c r="Z159" i="5"/>
  <c r="Z151" i="5"/>
  <c r="Z143" i="5"/>
  <c r="Z135" i="5"/>
  <c r="Z127" i="5"/>
  <c r="Z119" i="5"/>
  <c r="Z111" i="5"/>
  <c r="Z103" i="5"/>
  <c r="Z95" i="5"/>
  <c r="Z87" i="5"/>
  <c r="Z79" i="5"/>
  <c r="Z71" i="5"/>
  <c r="Z63" i="5"/>
  <c r="Z55" i="5"/>
  <c r="Z51" i="5"/>
  <c r="Z47" i="5"/>
  <c r="Z43" i="5"/>
  <c r="Z35" i="5"/>
  <c r="Z31" i="5"/>
  <c r="Z27" i="5"/>
  <c r="Z23" i="5"/>
  <c r="Z19" i="5"/>
  <c r="Z15" i="5"/>
  <c r="Z11" i="5"/>
  <c r="Z7" i="5"/>
  <c r="Z370" i="5"/>
  <c r="Z366" i="5"/>
  <c r="Z362" i="5"/>
  <c r="Z358" i="5"/>
  <c r="Z354" i="5"/>
  <c r="Z350" i="5"/>
  <c r="Z346" i="5"/>
  <c r="Z342" i="5"/>
  <c r="Z338" i="5"/>
  <c r="Z334" i="5"/>
  <c r="Z330" i="5"/>
  <c r="Z326" i="5"/>
  <c r="Z322" i="5"/>
  <c r="Z318" i="5"/>
  <c r="Z314" i="5"/>
  <c r="Z310" i="5"/>
  <c r="Z306" i="5"/>
  <c r="Z302" i="5"/>
  <c r="Z298" i="5"/>
  <c r="Z294" i="5"/>
  <c r="Z290" i="5"/>
  <c r="Z286" i="5"/>
  <c r="Z282" i="5"/>
  <c r="Z278" i="5"/>
  <c r="Z274" i="5"/>
  <c r="Z270" i="5"/>
  <c r="Z266" i="5"/>
  <c r="Z262" i="5"/>
  <c r="Z258" i="5"/>
  <c r="Z254" i="5"/>
  <c r="Z250" i="5"/>
  <c r="Z246" i="5"/>
  <c r="Z242" i="5"/>
  <c r="Z238" i="5"/>
  <c r="Z234" i="5"/>
  <c r="Z230" i="5"/>
  <c r="Z226" i="5"/>
  <c r="Z222" i="5"/>
  <c r="Z218" i="5"/>
  <c r="Z214" i="5"/>
  <c r="Z210" i="5"/>
  <c r="Z206" i="5"/>
  <c r="Z202" i="5"/>
  <c r="Z198" i="5"/>
  <c r="Z194" i="5"/>
  <c r="Z190" i="5"/>
  <c r="Z186" i="5"/>
  <c r="Z182" i="5"/>
  <c r="Z178" i="5"/>
  <c r="Z174" i="5"/>
  <c r="Z170" i="5"/>
  <c r="Z166" i="5"/>
  <c r="Z162" i="5"/>
  <c r="Z158" i="5"/>
  <c r="Z154" i="5"/>
  <c r="Z150" i="5"/>
  <c r="Z146" i="5"/>
  <c r="Z142" i="5"/>
  <c r="Z138" i="5"/>
  <c r="Z134" i="5"/>
  <c r="Z130" i="5"/>
  <c r="Z126" i="5"/>
  <c r="Z122" i="5"/>
  <c r="Z118" i="5"/>
  <c r="Z114" i="5"/>
  <c r="Z110" i="5"/>
  <c r="Z106" i="5"/>
  <c r="Z102" i="5"/>
  <c r="Z98" i="5"/>
  <c r="Z94" i="5"/>
  <c r="Z90" i="5"/>
  <c r="Z86" i="5"/>
  <c r="Z82" i="5"/>
  <c r="Z78" i="5"/>
  <c r="Z74" i="5"/>
  <c r="Z70" i="5"/>
  <c r="Z66" i="5"/>
  <c r="Z62" i="5"/>
  <c r="Z58" i="5"/>
  <c r="Z54" i="5"/>
  <c r="Z46" i="5"/>
  <c r="Z42" i="5"/>
  <c r="Z38" i="5"/>
  <c r="Z34" i="5"/>
  <c r="Z30" i="5"/>
  <c r="Z26" i="5"/>
  <c r="Z22" i="5"/>
  <c r="Z14" i="5"/>
  <c r="Z10" i="5"/>
  <c r="Z5" i="5"/>
  <c r="Z369" i="5"/>
  <c r="Z365" i="5"/>
  <c r="Z361" i="5"/>
  <c r="Z357" i="5"/>
  <c r="Z353" i="5"/>
  <c r="Z349" i="5"/>
  <c r="Z345" i="5"/>
  <c r="Z341" i="5"/>
  <c r="Z337" i="5"/>
  <c r="Z333" i="5"/>
  <c r="Z329" i="5"/>
  <c r="Z325" i="5"/>
  <c r="Z317" i="5"/>
  <c r="Z313" i="5"/>
  <c r="Z309" i="5"/>
  <c r="Z301" i="5"/>
  <c r="Z297" i="5"/>
  <c r="Z293" i="5"/>
  <c r="Z285" i="5"/>
  <c r="Z281" i="5"/>
  <c r="Z277" i="5"/>
  <c r="Z269" i="5"/>
  <c r="Z265" i="5"/>
  <c r="Z261" i="5"/>
  <c r="Z253" i="5"/>
  <c r="Z249" i="5"/>
  <c r="Z245" i="5"/>
  <c r="Z241" i="5"/>
  <c r="Z237" i="5"/>
  <c r="Z233" i="5"/>
  <c r="Z229" i="5"/>
  <c r="Z225" i="5"/>
  <c r="Z221" i="5"/>
  <c r="Z217" i="5"/>
  <c r="Z213" i="5"/>
  <c r="Z209" i="5"/>
  <c r="Z205" i="5"/>
  <c r="Z201" i="5"/>
  <c r="Z197" i="5"/>
  <c r="Z193" i="5"/>
  <c r="Z189" i="5"/>
  <c r="Z185" i="5"/>
  <c r="Z181" i="5"/>
  <c r="Z177" i="5"/>
  <c r="Z173" i="5"/>
  <c r="Z169" i="5"/>
  <c r="Z165" i="5"/>
  <c r="Z161" i="5"/>
  <c r="Z157" i="5"/>
  <c r="Z153" i="5"/>
  <c r="Z149" i="5"/>
  <c r="Z145" i="5"/>
  <c r="Z141" i="5"/>
  <c r="Z137" i="5"/>
  <c r="Z133" i="5"/>
  <c r="Z129" i="5"/>
  <c r="Z125" i="5"/>
  <c r="Z121" i="5"/>
  <c r="Z117" i="5"/>
  <c r="Z113" i="5"/>
  <c r="Z109" i="5"/>
  <c r="Z105" i="5"/>
  <c r="Z101" i="5"/>
  <c r="Z97" i="5"/>
  <c r="Z93" i="5"/>
  <c r="Z89" i="5"/>
  <c r="Z85" i="5"/>
  <c r="Z81" i="5"/>
  <c r="Z77" i="5"/>
  <c r="Z73" i="5"/>
  <c r="Z69" i="5"/>
  <c r="Z65" i="5"/>
  <c r="Z61" i="5"/>
  <c r="Z57" i="5"/>
  <c r="Z49" i="5"/>
  <c r="Z45" i="5"/>
  <c r="Z41" i="5"/>
  <c r="Z37" i="5"/>
  <c r="Z33" i="5"/>
  <c r="Z29" i="5"/>
  <c r="Z17" i="5"/>
  <c r="Z13" i="5"/>
  <c r="Z9" i="5"/>
  <c r="Z4" i="5"/>
  <c r="X495" i="6"/>
  <c r="X487" i="6"/>
  <c r="X471" i="6"/>
  <c r="X455" i="6"/>
  <c r="X437" i="6"/>
  <c r="X405" i="6"/>
  <c r="X383" i="6"/>
  <c r="X362" i="6"/>
  <c r="X341" i="6"/>
  <c r="X319" i="6"/>
  <c r="X298" i="6"/>
  <c r="X277" i="6"/>
  <c r="X255" i="6"/>
  <c r="X234" i="6"/>
  <c r="X221" i="6"/>
  <c r="X195" i="6"/>
  <c r="X163" i="6"/>
  <c r="X131" i="6"/>
  <c r="X99" i="6"/>
  <c r="X67" i="6"/>
  <c r="X499" i="6"/>
  <c r="X483" i="6"/>
  <c r="X467" i="6"/>
  <c r="X451" i="6"/>
  <c r="X432" i="6"/>
  <c r="X420" i="6"/>
  <c r="X399" i="6"/>
  <c r="X378" i="6"/>
  <c r="X357" i="6"/>
  <c r="X335" i="6"/>
  <c r="X314" i="6"/>
  <c r="X293" i="6"/>
  <c r="X271" i="6"/>
  <c r="X250" i="6"/>
  <c r="X229" i="6"/>
  <c r="X217" i="6"/>
  <c r="X187" i="6"/>
  <c r="X155" i="6"/>
  <c r="X123" i="6"/>
  <c r="X91" i="6"/>
  <c r="X55" i="6"/>
  <c r="X479" i="6"/>
  <c r="X463" i="6"/>
  <c r="X447" i="6"/>
  <c r="X428" i="6"/>
  <c r="X415" i="6"/>
  <c r="X394" i="6"/>
  <c r="X373" i="6"/>
  <c r="X351" i="6"/>
  <c r="X330" i="6"/>
  <c r="X309" i="6"/>
  <c r="X287" i="6"/>
  <c r="X266" i="6"/>
  <c r="X245" i="6"/>
  <c r="X226" i="6"/>
  <c r="X211" i="6"/>
  <c r="X179" i="6"/>
  <c r="X147" i="6"/>
  <c r="X115" i="6"/>
  <c r="X83" i="6"/>
  <c r="X39" i="6"/>
  <c r="X491" i="6"/>
  <c r="X475" i="6"/>
  <c r="X459" i="6"/>
  <c r="X443" i="6"/>
  <c r="X425" i="6"/>
  <c r="X410" i="6"/>
  <c r="X389" i="6"/>
  <c r="X367" i="6"/>
  <c r="X346" i="6"/>
  <c r="X325" i="6"/>
  <c r="X303" i="6"/>
  <c r="X282" i="6"/>
  <c r="X261" i="6"/>
  <c r="X239" i="6"/>
  <c r="X203" i="6"/>
  <c r="X171" i="6"/>
  <c r="X139" i="6"/>
  <c r="X107" i="6"/>
  <c r="X75" i="6"/>
  <c r="X500" i="6"/>
  <c r="X496" i="6"/>
  <c r="X492" i="6"/>
  <c r="X488" i="6"/>
  <c r="X484" i="6"/>
  <c r="X480" i="6"/>
  <c r="X476" i="6"/>
  <c r="X472" i="6"/>
  <c r="X468" i="6"/>
  <c r="X464" i="6"/>
  <c r="X460" i="6"/>
  <c r="X456" i="6"/>
  <c r="X452" i="6"/>
  <c r="X448" i="6"/>
  <c r="X444" i="6"/>
  <c r="X439" i="6"/>
  <c r="X433" i="6"/>
  <c r="X426" i="6"/>
  <c r="X423" i="6"/>
  <c r="X417" i="6"/>
  <c r="X411" i="6"/>
  <c r="X406" i="6"/>
  <c r="X401" i="6"/>
  <c r="X395" i="6"/>
  <c r="X390" i="6"/>
  <c r="X385" i="6"/>
  <c r="X379" i="6"/>
  <c r="X374" i="6"/>
  <c r="X369" i="6"/>
  <c r="X363" i="6"/>
  <c r="X358" i="6"/>
  <c r="X353" i="6"/>
  <c r="X347" i="6"/>
  <c r="X342" i="6"/>
  <c r="X337" i="6"/>
  <c r="X331" i="6"/>
  <c r="X326" i="6"/>
  <c r="X321" i="6"/>
  <c r="X315" i="6"/>
  <c r="X310" i="6"/>
  <c r="X305" i="6"/>
  <c r="X299" i="6"/>
  <c r="X294" i="6"/>
  <c r="X289" i="6"/>
  <c r="X283" i="6"/>
  <c r="X278" i="6"/>
  <c r="X273" i="6"/>
  <c r="X267" i="6"/>
  <c r="X262" i="6"/>
  <c r="X257" i="6"/>
  <c r="X251" i="6"/>
  <c r="X246" i="6"/>
  <c r="X241" i="6"/>
  <c r="X235" i="6"/>
  <c r="X230" i="6"/>
  <c r="X227" i="6"/>
  <c r="X224" i="6"/>
  <c r="X218" i="6"/>
  <c r="X213" i="6"/>
  <c r="X205" i="6"/>
  <c r="X197" i="6"/>
  <c r="X189" i="6"/>
  <c r="X181" i="6"/>
  <c r="X173" i="6"/>
  <c r="X165" i="6"/>
  <c r="X157" i="6"/>
  <c r="X149" i="6"/>
  <c r="X141" i="6"/>
  <c r="X133" i="6"/>
  <c r="X125" i="6"/>
  <c r="X117" i="6"/>
  <c r="X109" i="6"/>
  <c r="X101" i="6"/>
  <c r="X93" i="6"/>
  <c r="X85" i="6"/>
  <c r="X77" i="6"/>
  <c r="X69" i="6"/>
  <c r="X59" i="6"/>
  <c r="X43" i="6"/>
  <c r="X2" i="6"/>
  <c r="X2" i="2"/>
  <c r="X498" i="6"/>
  <c r="X494" i="6"/>
  <c r="X490" i="6"/>
  <c r="X486" i="6"/>
  <c r="X482" i="6"/>
  <c r="X478" i="6"/>
  <c r="X474" i="6"/>
  <c r="X470" i="6"/>
  <c r="X466" i="6"/>
  <c r="X462" i="6"/>
  <c r="X458" i="6"/>
  <c r="X454" i="6"/>
  <c r="X450" i="6"/>
  <c r="X446" i="6"/>
  <c r="X441" i="6"/>
  <c r="X436" i="6"/>
  <c r="X431" i="6"/>
  <c r="X427" i="6"/>
  <c r="X422" i="6"/>
  <c r="X419" i="6"/>
  <c r="X414" i="6"/>
  <c r="X409" i="6"/>
  <c r="X403" i="6"/>
  <c r="X398" i="6"/>
  <c r="X393" i="6"/>
  <c r="X387" i="6"/>
  <c r="X382" i="6"/>
  <c r="X377" i="6"/>
  <c r="X371" i="6"/>
  <c r="X366" i="6"/>
  <c r="X361" i="6"/>
  <c r="X355" i="6"/>
  <c r="X350" i="6"/>
  <c r="X345" i="6"/>
  <c r="X339" i="6"/>
  <c r="X334" i="6"/>
  <c r="X329" i="6"/>
  <c r="X323" i="6"/>
  <c r="X318" i="6"/>
  <c r="X313" i="6"/>
  <c r="X307" i="6"/>
  <c r="X302" i="6"/>
  <c r="X297" i="6"/>
  <c r="X291" i="6"/>
  <c r="X286" i="6"/>
  <c r="X281" i="6"/>
  <c r="X275" i="6"/>
  <c r="X270" i="6"/>
  <c r="X265" i="6"/>
  <c r="X259" i="6"/>
  <c r="X254" i="6"/>
  <c r="X249" i="6"/>
  <c r="X243" i="6"/>
  <c r="X238" i="6"/>
  <c r="X233" i="6"/>
  <c r="X228" i="6"/>
  <c r="X223" i="6"/>
  <c r="X220" i="6"/>
  <c r="X216" i="6"/>
  <c r="X209" i="6"/>
  <c r="X201" i="6"/>
  <c r="X193" i="6"/>
  <c r="X185" i="6"/>
  <c r="X177" i="6"/>
  <c r="X169" i="6"/>
  <c r="X161" i="6"/>
  <c r="X153" i="6"/>
  <c r="X145" i="6"/>
  <c r="X137" i="6"/>
  <c r="X129" i="6"/>
  <c r="X121" i="6"/>
  <c r="X113" i="6"/>
  <c r="X105" i="6"/>
  <c r="X97" i="6"/>
  <c r="X89" i="6"/>
  <c r="X81" i="6"/>
  <c r="X73" i="6"/>
  <c r="X65" i="6"/>
  <c r="X51" i="6"/>
  <c r="X35" i="6"/>
  <c r="X501" i="6"/>
  <c r="X497" i="6"/>
  <c r="X493" i="6"/>
  <c r="X489" i="6"/>
  <c r="X485" i="6"/>
  <c r="X481" i="6"/>
  <c r="X477" i="6"/>
  <c r="X473" i="6"/>
  <c r="X469" i="6"/>
  <c r="X465" i="6"/>
  <c r="X461" i="6"/>
  <c r="X457" i="6"/>
  <c r="X453" i="6"/>
  <c r="X449" i="6"/>
  <c r="X445" i="6"/>
  <c r="X440" i="6"/>
  <c r="X435" i="6"/>
  <c r="X429" i="6"/>
  <c r="X424" i="6"/>
  <c r="X421" i="6"/>
  <c r="X418" i="6"/>
  <c r="X413" i="6"/>
  <c r="X407" i="6"/>
  <c r="X402" i="6"/>
  <c r="X397" i="6"/>
  <c r="X391" i="6"/>
  <c r="X386" i="6"/>
  <c r="X381" i="6"/>
  <c r="X375" i="6"/>
  <c r="X370" i="6"/>
  <c r="X365" i="6"/>
  <c r="X359" i="6"/>
  <c r="X354" i="6"/>
  <c r="X349" i="6"/>
  <c r="X343" i="6"/>
  <c r="X338" i="6"/>
  <c r="X333" i="6"/>
  <c r="X327" i="6"/>
  <c r="X322" i="6"/>
  <c r="X317" i="6"/>
  <c r="X311" i="6"/>
  <c r="X306" i="6"/>
  <c r="X301" i="6"/>
  <c r="X295" i="6"/>
  <c r="X290" i="6"/>
  <c r="X285" i="6"/>
  <c r="X279" i="6"/>
  <c r="X274" i="6"/>
  <c r="X269" i="6"/>
  <c r="X263" i="6"/>
  <c r="X258" i="6"/>
  <c r="X253" i="6"/>
  <c r="X247" i="6"/>
  <c r="X242" i="6"/>
  <c r="X237" i="6"/>
  <c r="X231" i="6"/>
  <c r="X225" i="6"/>
  <c r="X222" i="6"/>
  <c r="X219" i="6"/>
  <c r="X215" i="6"/>
  <c r="X207" i="6"/>
  <c r="X199" i="6"/>
  <c r="X191" i="6"/>
  <c r="X183" i="6"/>
  <c r="X175" i="6"/>
  <c r="X167" i="6"/>
  <c r="X159" i="6"/>
  <c r="X151" i="6"/>
  <c r="X143" i="6"/>
  <c r="X135" i="6"/>
  <c r="X127" i="6"/>
  <c r="X119" i="6"/>
  <c r="X111" i="6"/>
  <c r="X103" i="6"/>
  <c r="X95" i="6"/>
  <c r="X87" i="6"/>
  <c r="X79" i="6"/>
  <c r="X71" i="6"/>
  <c r="X63" i="6"/>
  <c r="X47" i="6"/>
  <c r="X31" i="6"/>
  <c r="X442" i="6"/>
  <c r="X438" i="6"/>
  <c r="X434" i="6"/>
  <c r="X430" i="6"/>
  <c r="X416" i="6"/>
  <c r="X412" i="6"/>
  <c r="X408" i="6"/>
  <c r="X404" i="6"/>
  <c r="X400" i="6"/>
  <c r="X396" i="6"/>
  <c r="X392" i="6"/>
  <c r="X388" i="6"/>
  <c r="X384" i="6"/>
  <c r="X380" i="6"/>
  <c r="X376" i="6"/>
  <c r="X372" i="6"/>
  <c r="X368" i="6"/>
  <c r="X364" i="6"/>
  <c r="X360" i="6"/>
  <c r="X356" i="6"/>
  <c r="X352" i="6"/>
  <c r="X348" i="6"/>
  <c r="X344" i="6"/>
  <c r="X340" i="6"/>
  <c r="X336" i="6"/>
  <c r="X332" i="6"/>
  <c r="X328" i="6"/>
  <c r="X324" i="6"/>
  <c r="X320" i="6"/>
  <c r="X316" i="6"/>
  <c r="X312" i="6"/>
  <c r="X308" i="6"/>
  <c r="X304" i="6"/>
  <c r="X300" i="6"/>
  <c r="X296" i="6"/>
  <c r="X292" i="6"/>
  <c r="X288" i="6"/>
  <c r="X284" i="6"/>
  <c r="X280" i="6"/>
  <c r="X276" i="6"/>
  <c r="X272" i="6"/>
  <c r="X268" i="6"/>
  <c r="X264" i="6"/>
  <c r="X260" i="6"/>
  <c r="X256" i="6"/>
  <c r="X252" i="6"/>
  <c r="X248" i="6"/>
  <c r="X244" i="6"/>
  <c r="X240" i="6"/>
  <c r="X236" i="6"/>
  <c r="X232" i="6"/>
  <c r="X214" i="6"/>
  <c r="X210" i="6"/>
  <c r="X206" i="6"/>
  <c r="X202" i="6"/>
  <c r="X198" i="6"/>
  <c r="X194" i="6"/>
  <c r="X190" i="6"/>
  <c r="X186" i="6"/>
  <c r="X182" i="6"/>
  <c r="X178" i="6"/>
  <c r="X174" i="6"/>
  <c r="X170" i="6"/>
  <c r="X166" i="6"/>
  <c r="X162" i="6"/>
  <c r="X158" i="6"/>
  <c r="X154" i="6"/>
  <c r="X150" i="6"/>
  <c r="X146" i="6"/>
  <c r="X142" i="6"/>
  <c r="X138" i="6"/>
  <c r="X134" i="6"/>
  <c r="X130" i="6"/>
  <c r="X126" i="6"/>
  <c r="X122" i="6"/>
  <c r="X118" i="6"/>
  <c r="X114" i="6"/>
  <c r="X110" i="6"/>
  <c r="X106" i="6"/>
  <c r="X102" i="6"/>
  <c r="X98" i="6"/>
  <c r="X94" i="6"/>
  <c r="X90" i="6"/>
  <c r="X86" i="6"/>
  <c r="X82" i="6"/>
  <c r="X78" i="6"/>
  <c r="X74" i="6"/>
  <c r="X70" i="6"/>
  <c r="X66" i="6"/>
  <c r="X62" i="6"/>
  <c r="X58" i="6"/>
  <c r="X54" i="6"/>
  <c r="X50" i="6"/>
  <c r="X46" i="6"/>
  <c r="X42" i="6"/>
  <c r="X38" i="6"/>
  <c r="X34" i="6"/>
  <c r="X30" i="6"/>
  <c r="X28" i="6"/>
  <c r="X26" i="6"/>
  <c r="X24" i="6"/>
  <c r="X22" i="6"/>
  <c r="X20" i="6"/>
  <c r="X18" i="6"/>
  <c r="X16" i="6"/>
  <c r="X14" i="6"/>
  <c r="X12" i="6"/>
  <c r="X10" i="6"/>
  <c r="X8" i="6"/>
  <c r="X6" i="6"/>
  <c r="X4" i="6"/>
  <c r="X61" i="6"/>
  <c r="X57" i="6"/>
  <c r="X53" i="6"/>
  <c r="X49" i="6"/>
  <c r="X45" i="6"/>
  <c r="X41" i="6"/>
  <c r="X37" i="6"/>
  <c r="X33" i="6"/>
  <c r="X212" i="6"/>
  <c r="X208" i="6"/>
  <c r="X204" i="6"/>
  <c r="X200" i="6"/>
  <c r="X196" i="6"/>
  <c r="X192" i="6"/>
  <c r="X188" i="6"/>
  <c r="X184" i="6"/>
  <c r="X180" i="6"/>
  <c r="X176" i="6"/>
  <c r="X172" i="6"/>
  <c r="X168" i="6"/>
  <c r="X164" i="6"/>
  <c r="X160" i="6"/>
  <c r="X156" i="6"/>
  <c r="X152" i="6"/>
  <c r="X148" i="6"/>
  <c r="X144" i="6"/>
  <c r="X140" i="6"/>
  <c r="X136" i="6"/>
  <c r="X132" i="6"/>
  <c r="X128" i="6"/>
  <c r="X124" i="6"/>
  <c r="X120" i="6"/>
  <c r="X116" i="6"/>
  <c r="X112" i="6"/>
  <c r="X108" i="6"/>
  <c r="X104" i="6"/>
  <c r="X100" i="6"/>
  <c r="X96" i="6"/>
  <c r="X92" i="6"/>
  <c r="X88" i="6"/>
  <c r="X84" i="6"/>
  <c r="X80" i="6"/>
  <c r="X76" i="6"/>
  <c r="X72" i="6"/>
  <c r="X68" i="6"/>
  <c r="X64" i="6"/>
  <c r="X60" i="6"/>
  <c r="X56" i="6"/>
  <c r="X52" i="6"/>
  <c r="X48" i="6"/>
  <c r="X44" i="6"/>
  <c r="X40" i="6"/>
  <c r="X36" i="6"/>
  <c r="X32" i="6"/>
  <c r="X29" i="6"/>
  <c r="X27" i="6"/>
  <c r="X25" i="6"/>
  <c r="X23" i="6"/>
  <c r="X21" i="6"/>
  <c r="X19" i="6"/>
  <c r="X17" i="6"/>
  <c r="X15" i="6"/>
  <c r="X13" i="6"/>
  <c r="X11" i="6"/>
  <c r="X9" i="6"/>
  <c r="X7" i="6"/>
  <c r="X5" i="6"/>
  <c r="X3" i="6"/>
  <c r="AB8" i="9"/>
  <c r="AB10" i="9"/>
  <c r="AB501" i="6"/>
  <c r="AA501" i="6"/>
  <c r="Z501" i="6"/>
  <c r="Y501" i="6"/>
  <c r="AB500" i="6"/>
  <c r="AA500" i="6"/>
  <c r="Z500" i="6"/>
  <c r="Y500" i="6"/>
  <c r="AB499" i="6"/>
  <c r="AA499" i="6"/>
  <c r="Z499" i="6"/>
  <c r="Y499" i="6"/>
  <c r="AB498" i="6"/>
  <c r="AA498" i="6"/>
  <c r="Z498" i="6"/>
  <c r="Y498" i="6"/>
  <c r="AB497" i="6"/>
  <c r="AA497" i="6"/>
  <c r="Z497" i="6"/>
  <c r="Y497" i="6"/>
  <c r="AB496" i="6"/>
  <c r="AA496" i="6"/>
  <c r="Z496" i="6"/>
  <c r="Y496" i="6"/>
  <c r="AB495" i="6"/>
  <c r="AA495" i="6"/>
  <c r="Z495" i="6"/>
  <c r="Y495" i="6"/>
  <c r="AB494" i="6"/>
  <c r="AA494" i="6"/>
  <c r="Z494" i="6"/>
  <c r="Y494" i="6"/>
  <c r="AB493" i="6"/>
  <c r="AA493" i="6"/>
  <c r="Z493" i="6"/>
  <c r="Y493" i="6"/>
  <c r="AB492" i="6"/>
  <c r="AA492" i="6"/>
  <c r="Z492" i="6"/>
  <c r="Y492" i="6"/>
  <c r="AB491" i="6"/>
  <c r="AA491" i="6"/>
  <c r="Z491" i="6"/>
  <c r="Y491" i="6"/>
  <c r="AB490" i="6"/>
  <c r="AA490" i="6"/>
  <c r="Z490" i="6"/>
  <c r="Y490" i="6"/>
  <c r="AB489" i="6"/>
  <c r="AA489" i="6"/>
  <c r="Z489" i="6"/>
  <c r="Y489" i="6"/>
  <c r="AB488" i="6"/>
  <c r="AA488" i="6"/>
  <c r="Z488" i="6"/>
  <c r="Y488" i="6"/>
  <c r="AB487" i="6"/>
  <c r="AA487" i="6"/>
  <c r="Z487" i="6"/>
  <c r="Y487" i="6"/>
  <c r="AB486" i="6"/>
  <c r="AA486" i="6"/>
  <c r="Z486" i="6"/>
  <c r="Y486" i="6"/>
  <c r="AB485" i="6"/>
  <c r="AA485" i="6"/>
  <c r="Z485" i="6"/>
  <c r="Y485" i="6"/>
  <c r="AB484" i="6"/>
  <c r="AA484" i="6"/>
  <c r="Z484" i="6"/>
  <c r="Y484" i="6"/>
  <c r="AB483" i="6"/>
  <c r="AA483" i="6"/>
  <c r="Z483" i="6"/>
  <c r="Y483" i="6"/>
  <c r="AB482" i="6"/>
  <c r="AA482" i="6"/>
  <c r="Z482" i="6"/>
  <c r="Y482" i="6"/>
  <c r="AB481" i="6"/>
  <c r="AA481" i="6"/>
  <c r="Z481" i="6"/>
  <c r="Y481" i="6"/>
  <c r="AB480" i="6"/>
  <c r="AA480" i="6"/>
  <c r="Z480" i="6"/>
  <c r="Y480" i="6"/>
  <c r="AB479" i="6"/>
  <c r="AA479" i="6"/>
  <c r="Z479" i="6"/>
  <c r="Y479" i="6"/>
  <c r="AB478" i="6"/>
  <c r="AA478" i="6"/>
  <c r="Z478" i="6"/>
  <c r="Y478" i="6"/>
  <c r="AB477" i="6"/>
  <c r="AA477" i="6"/>
  <c r="Z477" i="6"/>
  <c r="Y477" i="6"/>
  <c r="AB476" i="6"/>
  <c r="AA476" i="6"/>
  <c r="Z476" i="6"/>
  <c r="Y476" i="6"/>
  <c r="AB475" i="6"/>
  <c r="AA475" i="6"/>
  <c r="Z475" i="6"/>
  <c r="Y475" i="6"/>
  <c r="AB474" i="6"/>
  <c r="AA474" i="6"/>
  <c r="Z474" i="6"/>
  <c r="Y474" i="6"/>
  <c r="AB473" i="6"/>
  <c r="AA473" i="6"/>
  <c r="Z473" i="6"/>
  <c r="Y473" i="6"/>
  <c r="AB472" i="6"/>
  <c r="AA472" i="6"/>
  <c r="Z472" i="6"/>
  <c r="Y472" i="6"/>
  <c r="AB471" i="6"/>
  <c r="AA471" i="6"/>
  <c r="Z471" i="6"/>
  <c r="Y471" i="6"/>
  <c r="AB470" i="6"/>
  <c r="AA470" i="6"/>
  <c r="Z470" i="6"/>
  <c r="Y470" i="6"/>
  <c r="AB469" i="6"/>
  <c r="AA469" i="6"/>
  <c r="Z469" i="6"/>
  <c r="Y469" i="6"/>
  <c r="AB468" i="6"/>
  <c r="AA468" i="6"/>
  <c r="Z468" i="6"/>
  <c r="Y468" i="6"/>
  <c r="AB467" i="6"/>
  <c r="AA467" i="6"/>
  <c r="Z467" i="6"/>
  <c r="Y467" i="6"/>
  <c r="AB466" i="6"/>
  <c r="AA466" i="6"/>
  <c r="Z466" i="6"/>
  <c r="Y466" i="6"/>
  <c r="AB465" i="6"/>
  <c r="AA465" i="6"/>
  <c r="Z465" i="6"/>
  <c r="Y465" i="6"/>
  <c r="AB464" i="6"/>
  <c r="AA464" i="6"/>
  <c r="Z464" i="6"/>
  <c r="Y464" i="6"/>
  <c r="AB463" i="6"/>
  <c r="AA463" i="6"/>
  <c r="Z463" i="6"/>
  <c r="Y463" i="6"/>
  <c r="AB462" i="6"/>
  <c r="AA462" i="6"/>
  <c r="Z462" i="6"/>
  <c r="Y462" i="6"/>
  <c r="AB461" i="6"/>
  <c r="AA461" i="6"/>
  <c r="Z461" i="6"/>
  <c r="Y461" i="6"/>
  <c r="AB460" i="6"/>
  <c r="AA460" i="6"/>
  <c r="Z460" i="6"/>
  <c r="Y460" i="6"/>
  <c r="AB459" i="6"/>
  <c r="AA459" i="6"/>
  <c r="Z459" i="6"/>
  <c r="Y459" i="6"/>
  <c r="AB458" i="6"/>
  <c r="AA458" i="6"/>
  <c r="Z458" i="6"/>
  <c r="Y458" i="6"/>
  <c r="AB457" i="6"/>
  <c r="AA457" i="6"/>
  <c r="Z457" i="6"/>
  <c r="Y457" i="6"/>
  <c r="AB456" i="6"/>
  <c r="AA456" i="6"/>
  <c r="Z456" i="6"/>
  <c r="Y456" i="6"/>
  <c r="AB455" i="6"/>
  <c r="AA455" i="6"/>
  <c r="Z455" i="6"/>
  <c r="Y455" i="6"/>
  <c r="AB454" i="6"/>
  <c r="AA454" i="6"/>
  <c r="Z454" i="6"/>
  <c r="Y454" i="6"/>
  <c r="AB453" i="6"/>
  <c r="AA453" i="6"/>
  <c r="Z453" i="6"/>
  <c r="Y453" i="6"/>
  <c r="AB452" i="6"/>
  <c r="AA452" i="6"/>
  <c r="Z452" i="6"/>
  <c r="Y452" i="6"/>
  <c r="AB451" i="6"/>
  <c r="AA451" i="6"/>
  <c r="Z451" i="6"/>
  <c r="Y451" i="6"/>
  <c r="AB450" i="6"/>
  <c r="AA450" i="6"/>
  <c r="Z450" i="6"/>
  <c r="Y450" i="6"/>
  <c r="AB449" i="6"/>
  <c r="AA449" i="6"/>
  <c r="Z449" i="6"/>
  <c r="Y449" i="6"/>
  <c r="AB448" i="6"/>
  <c r="AA448" i="6"/>
  <c r="Z448" i="6"/>
  <c r="Y448" i="6"/>
  <c r="AB447" i="6"/>
  <c r="AA447" i="6"/>
  <c r="Z447" i="6"/>
  <c r="Y447" i="6"/>
  <c r="AB446" i="6"/>
  <c r="AA446" i="6"/>
  <c r="Z446" i="6"/>
  <c r="Y446" i="6"/>
  <c r="AB445" i="6"/>
  <c r="AA445" i="6"/>
  <c r="Z445" i="6"/>
  <c r="Y445" i="6"/>
  <c r="AB444" i="6"/>
  <c r="AA444" i="6"/>
  <c r="Z444" i="6"/>
  <c r="Y444" i="6"/>
  <c r="AB443" i="6"/>
  <c r="AA443" i="6"/>
  <c r="Z443" i="6"/>
  <c r="Y443" i="6"/>
  <c r="AB442" i="6"/>
  <c r="AA442" i="6"/>
  <c r="Z442" i="6"/>
  <c r="Y442" i="6"/>
  <c r="AB441" i="6"/>
  <c r="AA441" i="6"/>
  <c r="Z441" i="6"/>
  <c r="Y441" i="6"/>
  <c r="AB440" i="6"/>
  <c r="AA440" i="6"/>
  <c r="Z440" i="6"/>
  <c r="Y440" i="6"/>
  <c r="AB439" i="6"/>
  <c r="AA439" i="6"/>
  <c r="Z439" i="6"/>
  <c r="Y439" i="6"/>
  <c r="AB438" i="6"/>
  <c r="AA438" i="6"/>
  <c r="Z438" i="6"/>
  <c r="Y438" i="6"/>
  <c r="AB437" i="6"/>
  <c r="AA437" i="6"/>
  <c r="Z437" i="6"/>
  <c r="Y437" i="6"/>
  <c r="AB436" i="6"/>
  <c r="AA436" i="6"/>
  <c r="Z436" i="6"/>
  <c r="Y436" i="6"/>
  <c r="AB435" i="6"/>
  <c r="AA435" i="6"/>
  <c r="Z435" i="6"/>
  <c r="Y435" i="6"/>
  <c r="AB434" i="6"/>
  <c r="AA434" i="6"/>
  <c r="Z434" i="6"/>
  <c r="Y434" i="6"/>
  <c r="AB433" i="6"/>
  <c r="AA433" i="6"/>
  <c r="Z433" i="6"/>
  <c r="Y433" i="6"/>
  <c r="AB432" i="6"/>
  <c r="AA432" i="6"/>
  <c r="Z432" i="6"/>
  <c r="Y432" i="6"/>
  <c r="AB431" i="6"/>
  <c r="AA431" i="6"/>
  <c r="Z431" i="6"/>
  <c r="Y431" i="6"/>
  <c r="AB430" i="6"/>
  <c r="AA430" i="6"/>
  <c r="Z430" i="6"/>
  <c r="Y430" i="6"/>
  <c r="AB429" i="6"/>
  <c r="AA429" i="6"/>
  <c r="Z429" i="6"/>
  <c r="Y429" i="6"/>
  <c r="AB428" i="6"/>
  <c r="AA428" i="6"/>
  <c r="Z428" i="6"/>
  <c r="Y428" i="6"/>
  <c r="AB427" i="6"/>
  <c r="AA427" i="6"/>
  <c r="Z427" i="6"/>
  <c r="Y427" i="6"/>
  <c r="AB426" i="6"/>
  <c r="AA426" i="6"/>
  <c r="Z426" i="6"/>
  <c r="Y426" i="6"/>
  <c r="AB425" i="6"/>
  <c r="AA425" i="6"/>
  <c r="Z425" i="6"/>
  <c r="Y425" i="6"/>
  <c r="AB424" i="6"/>
  <c r="AA424" i="6"/>
  <c r="Z424" i="6"/>
  <c r="Y424" i="6"/>
  <c r="AB423" i="6"/>
  <c r="AA423" i="6"/>
  <c r="Z423" i="6"/>
  <c r="Y423" i="6"/>
  <c r="AB422" i="6"/>
  <c r="AA422" i="6"/>
  <c r="Z422" i="6"/>
  <c r="Y422" i="6"/>
  <c r="AB421" i="6"/>
  <c r="AA421" i="6"/>
  <c r="Z421" i="6"/>
  <c r="Y421" i="6"/>
  <c r="AB420" i="6"/>
  <c r="AA420" i="6"/>
  <c r="Z420" i="6"/>
  <c r="Y420" i="6"/>
  <c r="AB419" i="6"/>
  <c r="AA419" i="6"/>
  <c r="Z419" i="6"/>
  <c r="Y419" i="6"/>
  <c r="AB418" i="6"/>
  <c r="AA418" i="6"/>
  <c r="Z418" i="6"/>
  <c r="Y418" i="6"/>
  <c r="AB417" i="6"/>
  <c r="AA417" i="6"/>
  <c r="Z417" i="6"/>
  <c r="Y417" i="6"/>
  <c r="AB416" i="6"/>
  <c r="AA416" i="6"/>
  <c r="Z416" i="6"/>
  <c r="Y416" i="6"/>
  <c r="AB415" i="6"/>
  <c r="AA415" i="6"/>
  <c r="Z415" i="6"/>
  <c r="Y415" i="6"/>
  <c r="AB414" i="6"/>
  <c r="AA414" i="6"/>
  <c r="Z414" i="6"/>
  <c r="Y414" i="6"/>
  <c r="AB413" i="6"/>
  <c r="AA413" i="6"/>
  <c r="Z413" i="6"/>
  <c r="Y413" i="6"/>
  <c r="AB412" i="6"/>
  <c r="AA412" i="6"/>
  <c r="Z412" i="6"/>
  <c r="Y412" i="6"/>
  <c r="AB411" i="6"/>
  <c r="AA411" i="6"/>
  <c r="Z411" i="6"/>
  <c r="Y411" i="6"/>
  <c r="AB410" i="6"/>
  <c r="AA410" i="6"/>
  <c r="Z410" i="6"/>
  <c r="Y410" i="6"/>
  <c r="AB409" i="6"/>
  <c r="AA409" i="6"/>
  <c r="Z409" i="6"/>
  <c r="Y409" i="6"/>
  <c r="AB408" i="6"/>
  <c r="AA408" i="6"/>
  <c r="Z408" i="6"/>
  <c r="Y408" i="6"/>
  <c r="AB407" i="6"/>
  <c r="AA407" i="6"/>
  <c r="Z407" i="6"/>
  <c r="Y407" i="6"/>
  <c r="AB406" i="6"/>
  <c r="AA406" i="6"/>
  <c r="Z406" i="6"/>
  <c r="Y406" i="6"/>
  <c r="AB405" i="6"/>
  <c r="AA405" i="6"/>
  <c r="Z405" i="6"/>
  <c r="Y405" i="6"/>
  <c r="AB404" i="6"/>
  <c r="AA404" i="6"/>
  <c r="Z404" i="6"/>
  <c r="Y404" i="6"/>
  <c r="AB403" i="6"/>
  <c r="AA403" i="6"/>
  <c r="Z403" i="6"/>
  <c r="Y403" i="6"/>
  <c r="AB402" i="6"/>
  <c r="AA402" i="6"/>
  <c r="Z402" i="6"/>
  <c r="Y402" i="6"/>
  <c r="AB401" i="6"/>
  <c r="AA401" i="6"/>
  <c r="Z401" i="6"/>
  <c r="Y401" i="6"/>
  <c r="AB400" i="6"/>
  <c r="AA400" i="6"/>
  <c r="Z400" i="6"/>
  <c r="Y400" i="6"/>
  <c r="AB399" i="6"/>
  <c r="AA399" i="6"/>
  <c r="Z399" i="6"/>
  <c r="Y399" i="6"/>
  <c r="AB398" i="6"/>
  <c r="AA398" i="6"/>
  <c r="Z398" i="6"/>
  <c r="Y398" i="6"/>
  <c r="AB397" i="6"/>
  <c r="AA397" i="6"/>
  <c r="Z397" i="6"/>
  <c r="Y397" i="6"/>
  <c r="AB396" i="6"/>
  <c r="AA396" i="6"/>
  <c r="Z396" i="6"/>
  <c r="Y396" i="6"/>
  <c r="AB395" i="6"/>
  <c r="AA395" i="6"/>
  <c r="Z395" i="6"/>
  <c r="Y395" i="6"/>
  <c r="AB394" i="6"/>
  <c r="AA394" i="6"/>
  <c r="Z394" i="6"/>
  <c r="Y394" i="6"/>
  <c r="AB393" i="6"/>
  <c r="AA393" i="6"/>
  <c r="Z393" i="6"/>
  <c r="Y393" i="6"/>
  <c r="AB392" i="6"/>
  <c r="AA392" i="6"/>
  <c r="Z392" i="6"/>
  <c r="Y392" i="6"/>
  <c r="AB391" i="6"/>
  <c r="AA391" i="6"/>
  <c r="Z391" i="6"/>
  <c r="Y391" i="6"/>
  <c r="AB390" i="6"/>
  <c r="AA390" i="6"/>
  <c r="Z390" i="6"/>
  <c r="Y390" i="6"/>
  <c r="AB389" i="6"/>
  <c r="AA389" i="6"/>
  <c r="Z389" i="6"/>
  <c r="Y389" i="6"/>
  <c r="AB388" i="6"/>
  <c r="AA388" i="6"/>
  <c r="Z388" i="6"/>
  <c r="Y388" i="6"/>
  <c r="AB387" i="6"/>
  <c r="AA387" i="6"/>
  <c r="Z387" i="6"/>
  <c r="Y387" i="6"/>
  <c r="AB386" i="6"/>
  <c r="AA386" i="6"/>
  <c r="Z386" i="6"/>
  <c r="Y386" i="6"/>
  <c r="AB385" i="6"/>
  <c r="AA385" i="6"/>
  <c r="Z385" i="6"/>
  <c r="Y385" i="6"/>
  <c r="AB384" i="6"/>
  <c r="AA384" i="6"/>
  <c r="Z384" i="6"/>
  <c r="Y384" i="6"/>
  <c r="AB383" i="6"/>
  <c r="AA383" i="6"/>
  <c r="Z383" i="6"/>
  <c r="Y383" i="6"/>
  <c r="AB382" i="6"/>
  <c r="AA382" i="6"/>
  <c r="Z382" i="6"/>
  <c r="Y382" i="6"/>
  <c r="AB381" i="6"/>
  <c r="AA381" i="6"/>
  <c r="Z381" i="6"/>
  <c r="Y381" i="6"/>
  <c r="AB380" i="6"/>
  <c r="AA380" i="6"/>
  <c r="Z380" i="6"/>
  <c r="Y380" i="6"/>
  <c r="AB379" i="6"/>
  <c r="AA379" i="6"/>
  <c r="Z379" i="6"/>
  <c r="Y379" i="6"/>
  <c r="AB378" i="6"/>
  <c r="AA378" i="6"/>
  <c r="Z378" i="6"/>
  <c r="Y378" i="6"/>
  <c r="AB377" i="6"/>
  <c r="AA377" i="6"/>
  <c r="Z377" i="6"/>
  <c r="Y377" i="6"/>
  <c r="AB376" i="6"/>
  <c r="AA376" i="6"/>
  <c r="Z376" i="6"/>
  <c r="Y376" i="6"/>
  <c r="AB375" i="6"/>
  <c r="AA375" i="6"/>
  <c r="Z375" i="6"/>
  <c r="Y375" i="6"/>
  <c r="AB374" i="6"/>
  <c r="AA374" i="6"/>
  <c r="Z374" i="6"/>
  <c r="Y374" i="6"/>
  <c r="AB373" i="6"/>
  <c r="AA373" i="6"/>
  <c r="Z373" i="6"/>
  <c r="Y373" i="6"/>
  <c r="AB372" i="6"/>
  <c r="AA372" i="6"/>
  <c r="Z372" i="6"/>
  <c r="Y372" i="6"/>
  <c r="AB371" i="6"/>
  <c r="AA371" i="6"/>
  <c r="Z371" i="6"/>
  <c r="Y371" i="6"/>
  <c r="AB370" i="6"/>
  <c r="AA370" i="6"/>
  <c r="Z370" i="6"/>
  <c r="Y370" i="6"/>
  <c r="AB369" i="6"/>
  <c r="AA369" i="6"/>
  <c r="Z369" i="6"/>
  <c r="Y369" i="6"/>
  <c r="AB368" i="6"/>
  <c r="AA368" i="6"/>
  <c r="Z368" i="6"/>
  <c r="Y368" i="6"/>
  <c r="AB367" i="6"/>
  <c r="AA367" i="6"/>
  <c r="Z367" i="6"/>
  <c r="Y367" i="6"/>
  <c r="AB366" i="6"/>
  <c r="AA366" i="6"/>
  <c r="Z366" i="6"/>
  <c r="Y366" i="6"/>
  <c r="AB365" i="6"/>
  <c r="AA365" i="6"/>
  <c r="Z365" i="6"/>
  <c r="Y365" i="6"/>
  <c r="AB364" i="6"/>
  <c r="AA364" i="6"/>
  <c r="Z364" i="6"/>
  <c r="Y364" i="6"/>
  <c r="AB363" i="6"/>
  <c r="AA363" i="6"/>
  <c r="Z363" i="6"/>
  <c r="Y363" i="6"/>
  <c r="AB362" i="6"/>
  <c r="AA362" i="6"/>
  <c r="Z362" i="6"/>
  <c r="Y362" i="6"/>
  <c r="AB361" i="6"/>
  <c r="AA361" i="6"/>
  <c r="Z361" i="6"/>
  <c r="Y361" i="6"/>
  <c r="AB360" i="6"/>
  <c r="AA360" i="6"/>
  <c r="Z360" i="6"/>
  <c r="Y360" i="6"/>
  <c r="AB359" i="6"/>
  <c r="AA359" i="6"/>
  <c r="Z359" i="6"/>
  <c r="Y359" i="6"/>
  <c r="AB358" i="6"/>
  <c r="AA358" i="6"/>
  <c r="Z358" i="6"/>
  <c r="Y358" i="6"/>
  <c r="AB357" i="6"/>
  <c r="AA357" i="6"/>
  <c r="Z357" i="6"/>
  <c r="Y357" i="6"/>
  <c r="AB356" i="6"/>
  <c r="AA356" i="6"/>
  <c r="Z356" i="6"/>
  <c r="Y356" i="6"/>
  <c r="AB355" i="6"/>
  <c r="AA355" i="6"/>
  <c r="Z355" i="6"/>
  <c r="Y355" i="6"/>
  <c r="AB354" i="6"/>
  <c r="AA354" i="6"/>
  <c r="Z354" i="6"/>
  <c r="Y354" i="6"/>
  <c r="AB353" i="6"/>
  <c r="AA353" i="6"/>
  <c r="Z353" i="6"/>
  <c r="Y353" i="6"/>
  <c r="AB352" i="6"/>
  <c r="AA352" i="6"/>
  <c r="Z352" i="6"/>
  <c r="Y352" i="6"/>
  <c r="AB351" i="6"/>
  <c r="AA351" i="6"/>
  <c r="Z351" i="6"/>
  <c r="Y351" i="6"/>
  <c r="AB350" i="6"/>
  <c r="AA350" i="6"/>
  <c r="Z350" i="6"/>
  <c r="Y350" i="6"/>
  <c r="AB349" i="6"/>
  <c r="AA349" i="6"/>
  <c r="Z349" i="6"/>
  <c r="Y349" i="6"/>
  <c r="AB348" i="6"/>
  <c r="AA348" i="6"/>
  <c r="Z348" i="6"/>
  <c r="Y348" i="6"/>
  <c r="AB347" i="6"/>
  <c r="AA347" i="6"/>
  <c r="Z347" i="6"/>
  <c r="Y347" i="6"/>
  <c r="AB346" i="6"/>
  <c r="AA346" i="6"/>
  <c r="Z346" i="6"/>
  <c r="Y346" i="6"/>
  <c r="AB345" i="6"/>
  <c r="AA345" i="6"/>
  <c r="Z345" i="6"/>
  <c r="Y345" i="6"/>
  <c r="AB344" i="6"/>
  <c r="AA344" i="6"/>
  <c r="Z344" i="6"/>
  <c r="Y344" i="6"/>
  <c r="AB343" i="6"/>
  <c r="AA343" i="6"/>
  <c r="Z343" i="6"/>
  <c r="Y343" i="6"/>
  <c r="AB342" i="6"/>
  <c r="AA342" i="6"/>
  <c r="Z342" i="6"/>
  <c r="Y342" i="6"/>
  <c r="AB341" i="6"/>
  <c r="AA341" i="6"/>
  <c r="Z341" i="6"/>
  <c r="Y341" i="6"/>
  <c r="AB340" i="6"/>
  <c r="AA340" i="6"/>
  <c r="Z340" i="6"/>
  <c r="Y340" i="6"/>
  <c r="AB339" i="6"/>
  <c r="AA339" i="6"/>
  <c r="Z339" i="6"/>
  <c r="Y339" i="6"/>
  <c r="AB338" i="6"/>
  <c r="AA338" i="6"/>
  <c r="Z338" i="6"/>
  <c r="Y338" i="6"/>
  <c r="AB337" i="6"/>
  <c r="AA337" i="6"/>
  <c r="Z337" i="6"/>
  <c r="Y337" i="6"/>
  <c r="AB336" i="6"/>
  <c r="AA336" i="6"/>
  <c r="Z336" i="6"/>
  <c r="Y336" i="6"/>
  <c r="AB335" i="6"/>
  <c r="AA335" i="6"/>
  <c r="Z335" i="6"/>
  <c r="Y335" i="6"/>
  <c r="AB334" i="6"/>
  <c r="AA334" i="6"/>
  <c r="Z334" i="6"/>
  <c r="Y334" i="6"/>
  <c r="AB333" i="6"/>
  <c r="AA333" i="6"/>
  <c r="Z333" i="6"/>
  <c r="Y333" i="6"/>
  <c r="AB332" i="6"/>
  <c r="AA332" i="6"/>
  <c r="Z332" i="6"/>
  <c r="Y332" i="6"/>
  <c r="AB331" i="6"/>
  <c r="AA331" i="6"/>
  <c r="Z331" i="6"/>
  <c r="Y331" i="6"/>
  <c r="AB330" i="6"/>
  <c r="AA330" i="6"/>
  <c r="Z330" i="6"/>
  <c r="Y330" i="6"/>
  <c r="AB329" i="6"/>
  <c r="AA329" i="6"/>
  <c r="Z329" i="6"/>
  <c r="Y329" i="6"/>
  <c r="AB328" i="6"/>
  <c r="AA328" i="6"/>
  <c r="Z328" i="6"/>
  <c r="Y328" i="6"/>
  <c r="AB327" i="6"/>
  <c r="AA327" i="6"/>
  <c r="Z327" i="6"/>
  <c r="Y327" i="6"/>
  <c r="AB326" i="6"/>
  <c r="AA326" i="6"/>
  <c r="Z326" i="6"/>
  <c r="Y326" i="6"/>
  <c r="AB325" i="6"/>
  <c r="AA325" i="6"/>
  <c r="Z325" i="6"/>
  <c r="Y325" i="6"/>
  <c r="AB324" i="6"/>
  <c r="AA324" i="6"/>
  <c r="Z324" i="6"/>
  <c r="Y324" i="6"/>
  <c r="AB323" i="6"/>
  <c r="AA323" i="6"/>
  <c r="Z323" i="6"/>
  <c r="Y323" i="6"/>
  <c r="AB322" i="6"/>
  <c r="AA322" i="6"/>
  <c r="Z322" i="6"/>
  <c r="Y322" i="6"/>
  <c r="AB321" i="6"/>
  <c r="AA321" i="6"/>
  <c r="Z321" i="6"/>
  <c r="Y321" i="6"/>
  <c r="AB320" i="6"/>
  <c r="AA320" i="6"/>
  <c r="Z320" i="6"/>
  <c r="Y320" i="6"/>
  <c r="AB319" i="6"/>
  <c r="AA319" i="6"/>
  <c r="Z319" i="6"/>
  <c r="Y319" i="6"/>
  <c r="AB318" i="6"/>
  <c r="AA318" i="6"/>
  <c r="Z318" i="6"/>
  <c r="Y318" i="6"/>
  <c r="AB317" i="6"/>
  <c r="AA317" i="6"/>
  <c r="Z317" i="6"/>
  <c r="Y317" i="6"/>
  <c r="AB316" i="6"/>
  <c r="AA316" i="6"/>
  <c r="Z316" i="6"/>
  <c r="Y316" i="6"/>
  <c r="AB315" i="6"/>
  <c r="AA315" i="6"/>
  <c r="Z315" i="6"/>
  <c r="Y315" i="6"/>
  <c r="AB314" i="6"/>
  <c r="AA314" i="6"/>
  <c r="Z314" i="6"/>
  <c r="Y314" i="6"/>
  <c r="AB313" i="6"/>
  <c r="AA313" i="6"/>
  <c r="Z313" i="6"/>
  <c r="Y313" i="6"/>
  <c r="AB312" i="6"/>
  <c r="AA312" i="6"/>
  <c r="Z312" i="6"/>
  <c r="Y312" i="6"/>
  <c r="AB311" i="6"/>
  <c r="AA311" i="6"/>
  <c r="Z311" i="6"/>
  <c r="Y311" i="6"/>
  <c r="AB310" i="6"/>
  <c r="AA310" i="6"/>
  <c r="Z310" i="6"/>
  <c r="Y310" i="6"/>
  <c r="AB309" i="6"/>
  <c r="AA309" i="6"/>
  <c r="Z309" i="6"/>
  <c r="Y309" i="6"/>
  <c r="AB308" i="6"/>
  <c r="AA308" i="6"/>
  <c r="Z308" i="6"/>
  <c r="Y308" i="6"/>
  <c r="AB307" i="6"/>
  <c r="AA307" i="6"/>
  <c r="Z307" i="6"/>
  <c r="Y307" i="6"/>
  <c r="AB306" i="6"/>
  <c r="AA306" i="6"/>
  <c r="Z306" i="6"/>
  <c r="Y306" i="6"/>
  <c r="AB305" i="6"/>
  <c r="AA305" i="6"/>
  <c r="Z305" i="6"/>
  <c r="Y305" i="6"/>
  <c r="AB304" i="6"/>
  <c r="AA304" i="6"/>
  <c r="Z304" i="6"/>
  <c r="Y304" i="6"/>
  <c r="AB303" i="6"/>
  <c r="AA303" i="6"/>
  <c r="Z303" i="6"/>
  <c r="Y303" i="6"/>
  <c r="AB302" i="6"/>
  <c r="AA302" i="6"/>
  <c r="Z302" i="6"/>
  <c r="Y302" i="6"/>
  <c r="AB301" i="6"/>
  <c r="AA301" i="6"/>
  <c r="Z301" i="6"/>
  <c r="Y301" i="6"/>
  <c r="AB300" i="6"/>
  <c r="AA300" i="6"/>
  <c r="Z300" i="6"/>
  <c r="Y300" i="6"/>
  <c r="AB299" i="6"/>
  <c r="AA299" i="6"/>
  <c r="Z299" i="6"/>
  <c r="Y299" i="6"/>
  <c r="AB298" i="6"/>
  <c r="AA298" i="6"/>
  <c r="Z298" i="6"/>
  <c r="Y298" i="6"/>
  <c r="AB297" i="6"/>
  <c r="AA297" i="6"/>
  <c r="Z297" i="6"/>
  <c r="Y297" i="6"/>
  <c r="AB296" i="6"/>
  <c r="AA296" i="6"/>
  <c r="Z296" i="6"/>
  <c r="Y296" i="6"/>
  <c r="AB295" i="6"/>
  <c r="AA295" i="6"/>
  <c r="Z295" i="6"/>
  <c r="Y295" i="6"/>
  <c r="AB294" i="6"/>
  <c r="AA294" i="6"/>
  <c r="Z294" i="6"/>
  <c r="Y294" i="6"/>
  <c r="AB293" i="6"/>
  <c r="AA293" i="6"/>
  <c r="Z293" i="6"/>
  <c r="Y293" i="6"/>
  <c r="AB292" i="6"/>
  <c r="AA292" i="6"/>
  <c r="Z292" i="6"/>
  <c r="Y292" i="6"/>
  <c r="AB291" i="6"/>
  <c r="AA291" i="6"/>
  <c r="Z291" i="6"/>
  <c r="Y291" i="6"/>
  <c r="AB290" i="6"/>
  <c r="AA290" i="6"/>
  <c r="Z290" i="6"/>
  <c r="Y290" i="6"/>
  <c r="AB289" i="6"/>
  <c r="AA289" i="6"/>
  <c r="Z289" i="6"/>
  <c r="Y289" i="6"/>
  <c r="AB288" i="6"/>
  <c r="AA288" i="6"/>
  <c r="Z288" i="6"/>
  <c r="Y288" i="6"/>
  <c r="AB287" i="6"/>
  <c r="AA287" i="6"/>
  <c r="Z287" i="6"/>
  <c r="Y287" i="6"/>
  <c r="AB286" i="6"/>
  <c r="AA286" i="6"/>
  <c r="Z286" i="6"/>
  <c r="Y286" i="6"/>
  <c r="AB285" i="6"/>
  <c r="AA285" i="6"/>
  <c r="Z285" i="6"/>
  <c r="Y285" i="6"/>
  <c r="AB284" i="6"/>
  <c r="AA284" i="6"/>
  <c r="Z284" i="6"/>
  <c r="Y284" i="6"/>
  <c r="AB283" i="6"/>
  <c r="AA283" i="6"/>
  <c r="Z283" i="6"/>
  <c r="Y283" i="6"/>
  <c r="AB282" i="6"/>
  <c r="AA282" i="6"/>
  <c r="Z282" i="6"/>
  <c r="Y282" i="6"/>
  <c r="AB281" i="6"/>
  <c r="AA281" i="6"/>
  <c r="Z281" i="6"/>
  <c r="Y281" i="6"/>
  <c r="AB280" i="6"/>
  <c r="AA280" i="6"/>
  <c r="Z280" i="6"/>
  <c r="Y280" i="6"/>
  <c r="AB279" i="6"/>
  <c r="AA279" i="6"/>
  <c r="Z279" i="6"/>
  <c r="Y279" i="6"/>
  <c r="AB278" i="6"/>
  <c r="AA278" i="6"/>
  <c r="Z278" i="6"/>
  <c r="Y278" i="6"/>
  <c r="AB277" i="6"/>
  <c r="AA277" i="6"/>
  <c r="Z277" i="6"/>
  <c r="Y277" i="6"/>
  <c r="AB276" i="6"/>
  <c r="AA276" i="6"/>
  <c r="Z276" i="6"/>
  <c r="Y276" i="6"/>
  <c r="AB275" i="6"/>
  <c r="AA275" i="6"/>
  <c r="Z275" i="6"/>
  <c r="Y275" i="6"/>
  <c r="AB274" i="6"/>
  <c r="AA274" i="6"/>
  <c r="Z274" i="6"/>
  <c r="Y274" i="6"/>
  <c r="AB273" i="6"/>
  <c r="AA273" i="6"/>
  <c r="Z273" i="6"/>
  <c r="Y273" i="6"/>
  <c r="AB272" i="6"/>
  <c r="AA272" i="6"/>
  <c r="Z272" i="6"/>
  <c r="Y272" i="6"/>
  <c r="AB271" i="6"/>
  <c r="AA271" i="6"/>
  <c r="Z271" i="6"/>
  <c r="Y271" i="6"/>
  <c r="AB270" i="6"/>
  <c r="AA270" i="6"/>
  <c r="Z270" i="6"/>
  <c r="Y270" i="6"/>
  <c r="AB269" i="6"/>
  <c r="AA269" i="6"/>
  <c r="Z269" i="6"/>
  <c r="Y269" i="6"/>
  <c r="AB268" i="6"/>
  <c r="AA268" i="6"/>
  <c r="Z268" i="6"/>
  <c r="Y268" i="6"/>
  <c r="AB267" i="6"/>
  <c r="AA267" i="6"/>
  <c r="Z267" i="6"/>
  <c r="Y267" i="6"/>
  <c r="AB266" i="6"/>
  <c r="AA266" i="6"/>
  <c r="Z266" i="6"/>
  <c r="Y266" i="6"/>
  <c r="AB265" i="6"/>
  <c r="AA265" i="6"/>
  <c r="Z265" i="6"/>
  <c r="Y265" i="6"/>
  <c r="AB264" i="6"/>
  <c r="AA264" i="6"/>
  <c r="Z264" i="6"/>
  <c r="Y264" i="6"/>
  <c r="AB263" i="6"/>
  <c r="AA263" i="6"/>
  <c r="Z263" i="6"/>
  <c r="Y263" i="6"/>
  <c r="AB262" i="6"/>
  <c r="AA262" i="6"/>
  <c r="Z262" i="6"/>
  <c r="Y262" i="6"/>
  <c r="AB261" i="6"/>
  <c r="AA261" i="6"/>
  <c r="Z261" i="6"/>
  <c r="Y261" i="6"/>
  <c r="AB260" i="6"/>
  <c r="AA260" i="6"/>
  <c r="Z260" i="6"/>
  <c r="Y260" i="6"/>
  <c r="AB259" i="6"/>
  <c r="AA259" i="6"/>
  <c r="Z259" i="6"/>
  <c r="Y259" i="6"/>
  <c r="AB258" i="6"/>
  <c r="AA258" i="6"/>
  <c r="Z258" i="6"/>
  <c r="Y258" i="6"/>
  <c r="AB257" i="6"/>
  <c r="AA257" i="6"/>
  <c r="Z257" i="6"/>
  <c r="Y257" i="6"/>
  <c r="AB256" i="6"/>
  <c r="AA256" i="6"/>
  <c r="Z256" i="6"/>
  <c r="Y256" i="6"/>
  <c r="AB255" i="6"/>
  <c r="AA255" i="6"/>
  <c r="Z255" i="6"/>
  <c r="Y255" i="6"/>
  <c r="AB254" i="6"/>
  <c r="AA254" i="6"/>
  <c r="Z254" i="6"/>
  <c r="Y254" i="6"/>
  <c r="AB253" i="6"/>
  <c r="AA253" i="6"/>
  <c r="Z253" i="6"/>
  <c r="Y253" i="6"/>
  <c r="AB252" i="6"/>
  <c r="AA252" i="6"/>
  <c r="Z252" i="6"/>
  <c r="Y252" i="6"/>
  <c r="AB251" i="6"/>
  <c r="AA251" i="6"/>
  <c r="Z251" i="6"/>
  <c r="Y251" i="6"/>
  <c r="AB250" i="6"/>
  <c r="AA250" i="6"/>
  <c r="Z250" i="6"/>
  <c r="Y250" i="6"/>
  <c r="AB249" i="6"/>
  <c r="AA249" i="6"/>
  <c r="Z249" i="6"/>
  <c r="Y249" i="6"/>
  <c r="AB248" i="6"/>
  <c r="AA248" i="6"/>
  <c r="Z248" i="6"/>
  <c r="Y248" i="6"/>
  <c r="AB247" i="6"/>
  <c r="AA247" i="6"/>
  <c r="Z247" i="6"/>
  <c r="Y247" i="6"/>
  <c r="AB246" i="6"/>
  <c r="AA246" i="6"/>
  <c r="Z246" i="6"/>
  <c r="Y246" i="6"/>
  <c r="AB245" i="6"/>
  <c r="AA245" i="6"/>
  <c r="Z245" i="6"/>
  <c r="Y245" i="6"/>
  <c r="AB244" i="6"/>
  <c r="AA244" i="6"/>
  <c r="Z244" i="6"/>
  <c r="Y244" i="6"/>
  <c r="AB243" i="6"/>
  <c r="AA243" i="6"/>
  <c r="Z243" i="6"/>
  <c r="Y243" i="6"/>
  <c r="AB242" i="6"/>
  <c r="AA242" i="6"/>
  <c r="Z242" i="6"/>
  <c r="Y242" i="6"/>
  <c r="AB241" i="6"/>
  <c r="AA241" i="6"/>
  <c r="Z241" i="6"/>
  <c r="Y241" i="6"/>
  <c r="AB240" i="6"/>
  <c r="AA240" i="6"/>
  <c r="Z240" i="6"/>
  <c r="Y240" i="6"/>
  <c r="AB239" i="6"/>
  <c r="AA239" i="6"/>
  <c r="Z239" i="6"/>
  <c r="Y239" i="6"/>
  <c r="AB238" i="6"/>
  <c r="AA238" i="6"/>
  <c r="Z238" i="6"/>
  <c r="Y238" i="6"/>
  <c r="AB237" i="6"/>
  <c r="AA237" i="6"/>
  <c r="Z237" i="6"/>
  <c r="Y237" i="6"/>
  <c r="AB236" i="6"/>
  <c r="AA236" i="6"/>
  <c r="Z236" i="6"/>
  <c r="Y236" i="6"/>
  <c r="AB235" i="6"/>
  <c r="AA235" i="6"/>
  <c r="Z235" i="6"/>
  <c r="Y235" i="6"/>
  <c r="AB234" i="6"/>
  <c r="AA234" i="6"/>
  <c r="Z234" i="6"/>
  <c r="Y234" i="6"/>
  <c r="AB233" i="6"/>
  <c r="AA233" i="6"/>
  <c r="Z233" i="6"/>
  <c r="Y233" i="6"/>
  <c r="AB232" i="6"/>
  <c r="AA232" i="6"/>
  <c r="Z232" i="6"/>
  <c r="Y232" i="6"/>
  <c r="AB231" i="6"/>
  <c r="AA231" i="6"/>
  <c r="Z231" i="6"/>
  <c r="Y231" i="6"/>
  <c r="AB230" i="6"/>
  <c r="AA230" i="6"/>
  <c r="Z230" i="6"/>
  <c r="Y230" i="6"/>
  <c r="AB229" i="6"/>
  <c r="AA229" i="6"/>
  <c r="Z229" i="6"/>
  <c r="Y229" i="6"/>
  <c r="AB228" i="6"/>
  <c r="AA228" i="6"/>
  <c r="Z228" i="6"/>
  <c r="Y228" i="6"/>
  <c r="AB227" i="6"/>
  <c r="AA227" i="6"/>
  <c r="Z227" i="6"/>
  <c r="Y227" i="6"/>
  <c r="AB226" i="6"/>
  <c r="AA226" i="6"/>
  <c r="Z226" i="6"/>
  <c r="Y226" i="6"/>
  <c r="AB225" i="6"/>
  <c r="AA225" i="6"/>
  <c r="Z225" i="6"/>
  <c r="Y225" i="6"/>
  <c r="AB224" i="6"/>
  <c r="AA224" i="6"/>
  <c r="Z224" i="6"/>
  <c r="Y224" i="6"/>
  <c r="AB223" i="6"/>
  <c r="AA223" i="6"/>
  <c r="Z223" i="6"/>
  <c r="Y223" i="6"/>
  <c r="AB222" i="6"/>
  <c r="AA222" i="6"/>
  <c r="Z222" i="6"/>
  <c r="Y222" i="6"/>
  <c r="AB221" i="6"/>
  <c r="AA221" i="6"/>
  <c r="Z221" i="6"/>
  <c r="Y221" i="6"/>
  <c r="AB220" i="6"/>
  <c r="AA220" i="6"/>
  <c r="Z220" i="6"/>
  <c r="Y220" i="6"/>
  <c r="AB219" i="6"/>
  <c r="AA219" i="6"/>
  <c r="Z219" i="6"/>
  <c r="Y219" i="6"/>
  <c r="AB218" i="6"/>
  <c r="AA218" i="6"/>
  <c r="Z218" i="6"/>
  <c r="Y218" i="6"/>
  <c r="AB217" i="6"/>
  <c r="AA217" i="6"/>
  <c r="Z217" i="6"/>
  <c r="Y217" i="6"/>
  <c r="AB216" i="6"/>
  <c r="AA216" i="6"/>
  <c r="Z216" i="6"/>
  <c r="Y216" i="6"/>
  <c r="AB215" i="6"/>
  <c r="AA215" i="6"/>
  <c r="Z215" i="6"/>
  <c r="Y215" i="6"/>
  <c r="AB214" i="6"/>
  <c r="AA214" i="6"/>
  <c r="Z214" i="6"/>
  <c r="Y214" i="6"/>
  <c r="AB213" i="6"/>
  <c r="AA213" i="6"/>
  <c r="Z213" i="6"/>
  <c r="Y213" i="6"/>
  <c r="AB212" i="6"/>
  <c r="AA212" i="6"/>
  <c r="Z212" i="6"/>
  <c r="Y212" i="6"/>
  <c r="AB211" i="6"/>
  <c r="AA211" i="6"/>
  <c r="Z211" i="6"/>
  <c r="Y211" i="6"/>
  <c r="AB210" i="6"/>
  <c r="AA210" i="6"/>
  <c r="Z210" i="6"/>
  <c r="Y210" i="6"/>
  <c r="AB209" i="6"/>
  <c r="AA209" i="6"/>
  <c r="Z209" i="6"/>
  <c r="Y209" i="6"/>
  <c r="AB208" i="6"/>
  <c r="AA208" i="6"/>
  <c r="Z208" i="6"/>
  <c r="Y208" i="6"/>
  <c r="AB207" i="6"/>
  <c r="AA207" i="6"/>
  <c r="Z207" i="6"/>
  <c r="Y207" i="6"/>
  <c r="AB206" i="6"/>
  <c r="AA206" i="6"/>
  <c r="Z206" i="6"/>
  <c r="Y206" i="6"/>
  <c r="AB205" i="6"/>
  <c r="AA205" i="6"/>
  <c r="Z205" i="6"/>
  <c r="Y205" i="6"/>
  <c r="AB204" i="6"/>
  <c r="AA204" i="6"/>
  <c r="Z204" i="6"/>
  <c r="Y204" i="6"/>
  <c r="AB203" i="6"/>
  <c r="AA203" i="6"/>
  <c r="Z203" i="6"/>
  <c r="Y203" i="6"/>
  <c r="AB202" i="6"/>
  <c r="AA202" i="6"/>
  <c r="Z202" i="6"/>
  <c r="Y202" i="6"/>
  <c r="AB201" i="6"/>
  <c r="AA201" i="6"/>
  <c r="Z201" i="6"/>
  <c r="Y201" i="6"/>
  <c r="AB200" i="6"/>
  <c r="AA200" i="6"/>
  <c r="Z200" i="6"/>
  <c r="Y200" i="6"/>
  <c r="AB199" i="6"/>
  <c r="AA199" i="6"/>
  <c r="Z199" i="6"/>
  <c r="Y199" i="6"/>
  <c r="AB198" i="6"/>
  <c r="AA198" i="6"/>
  <c r="Z198" i="6"/>
  <c r="Y198" i="6"/>
  <c r="AB197" i="6"/>
  <c r="AA197" i="6"/>
  <c r="Z197" i="6"/>
  <c r="Y197" i="6"/>
  <c r="AB196" i="6"/>
  <c r="AA196" i="6"/>
  <c r="Z196" i="6"/>
  <c r="Y196" i="6"/>
  <c r="AB195" i="6"/>
  <c r="AA195" i="6"/>
  <c r="Z195" i="6"/>
  <c r="Y195" i="6"/>
  <c r="AB194" i="6"/>
  <c r="AA194" i="6"/>
  <c r="Z194" i="6"/>
  <c r="Y194" i="6"/>
  <c r="AB193" i="6"/>
  <c r="AA193" i="6"/>
  <c r="Z193" i="6"/>
  <c r="Y193" i="6"/>
  <c r="AB192" i="6"/>
  <c r="AA192" i="6"/>
  <c r="Z192" i="6"/>
  <c r="Y192" i="6"/>
  <c r="AB191" i="6"/>
  <c r="AA191" i="6"/>
  <c r="Z191" i="6"/>
  <c r="Y191" i="6"/>
  <c r="AB190" i="6"/>
  <c r="AA190" i="6"/>
  <c r="Z190" i="6"/>
  <c r="Y190" i="6"/>
  <c r="AB189" i="6"/>
  <c r="AA189" i="6"/>
  <c r="Z189" i="6"/>
  <c r="Y189" i="6"/>
  <c r="AB188" i="6"/>
  <c r="AA188" i="6"/>
  <c r="Z188" i="6"/>
  <c r="Y188" i="6"/>
  <c r="AB187" i="6"/>
  <c r="AA187" i="6"/>
  <c r="Z187" i="6"/>
  <c r="Y187" i="6"/>
  <c r="AB186" i="6"/>
  <c r="AA186" i="6"/>
  <c r="Z186" i="6"/>
  <c r="Y186" i="6"/>
  <c r="AB185" i="6"/>
  <c r="AA185" i="6"/>
  <c r="Z185" i="6"/>
  <c r="Y185" i="6"/>
  <c r="AB184" i="6"/>
  <c r="AA184" i="6"/>
  <c r="Z184" i="6"/>
  <c r="Y184" i="6"/>
  <c r="AB183" i="6"/>
  <c r="AA183" i="6"/>
  <c r="Z183" i="6"/>
  <c r="Y183" i="6"/>
  <c r="AB182" i="6"/>
  <c r="AA182" i="6"/>
  <c r="Z182" i="6"/>
  <c r="Y182" i="6"/>
  <c r="AB181" i="6"/>
  <c r="AA181" i="6"/>
  <c r="Z181" i="6"/>
  <c r="Y181" i="6"/>
  <c r="AB180" i="6"/>
  <c r="AA180" i="6"/>
  <c r="Z180" i="6"/>
  <c r="Y180" i="6"/>
  <c r="AB179" i="6"/>
  <c r="AA179" i="6"/>
  <c r="Z179" i="6"/>
  <c r="Y179" i="6"/>
  <c r="AB178" i="6"/>
  <c r="AA178" i="6"/>
  <c r="Z178" i="6"/>
  <c r="Y178" i="6"/>
  <c r="AB177" i="6"/>
  <c r="AA177" i="6"/>
  <c r="Z177" i="6"/>
  <c r="Y177" i="6"/>
  <c r="AB176" i="6"/>
  <c r="AA176" i="6"/>
  <c r="Z176" i="6"/>
  <c r="Y176" i="6"/>
  <c r="AB175" i="6"/>
  <c r="AA175" i="6"/>
  <c r="Z175" i="6"/>
  <c r="Y175" i="6"/>
  <c r="AB174" i="6"/>
  <c r="AA174" i="6"/>
  <c r="Z174" i="6"/>
  <c r="Y174" i="6"/>
  <c r="AB173" i="6"/>
  <c r="AA173" i="6"/>
  <c r="Z173" i="6"/>
  <c r="Y173" i="6"/>
  <c r="AB172" i="6"/>
  <c r="AA172" i="6"/>
  <c r="Z172" i="6"/>
  <c r="Y172" i="6"/>
  <c r="AB171" i="6"/>
  <c r="AA171" i="6"/>
  <c r="Z171" i="6"/>
  <c r="Y171" i="6"/>
  <c r="AB170" i="6"/>
  <c r="AA170" i="6"/>
  <c r="Z170" i="6"/>
  <c r="Y170" i="6"/>
  <c r="AB169" i="6"/>
  <c r="AA169" i="6"/>
  <c r="Z169" i="6"/>
  <c r="Y169" i="6"/>
  <c r="AB168" i="6"/>
  <c r="AA168" i="6"/>
  <c r="Z168" i="6"/>
  <c r="Y168" i="6"/>
  <c r="AB167" i="6"/>
  <c r="AA167" i="6"/>
  <c r="Z167" i="6"/>
  <c r="Y167" i="6"/>
  <c r="AB166" i="6"/>
  <c r="AA166" i="6"/>
  <c r="Z166" i="6"/>
  <c r="Y166" i="6"/>
  <c r="AB165" i="6"/>
  <c r="AA165" i="6"/>
  <c r="Z165" i="6"/>
  <c r="Y165" i="6"/>
  <c r="AB164" i="6"/>
  <c r="AA164" i="6"/>
  <c r="Z164" i="6"/>
  <c r="Y164" i="6"/>
  <c r="AB163" i="6"/>
  <c r="AA163" i="6"/>
  <c r="Z163" i="6"/>
  <c r="Y163" i="6"/>
  <c r="AB162" i="6"/>
  <c r="AA162" i="6"/>
  <c r="Z162" i="6"/>
  <c r="Y162" i="6"/>
  <c r="AB161" i="6"/>
  <c r="AA161" i="6"/>
  <c r="Z161" i="6"/>
  <c r="Y161" i="6"/>
  <c r="AB160" i="6"/>
  <c r="AA160" i="6"/>
  <c r="Z160" i="6"/>
  <c r="Y160" i="6"/>
  <c r="AB159" i="6"/>
  <c r="AA159" i="6"/>
  <c r="Z159" i="6"/>
  <c r="Y159" i="6"/>
  <c r="AB158" i="6"/>
  <c r="AA158" i="6"/>
  <c r="Z158" i="6"/>
  <c r="Y158" i="6"/>
  <c r="AB157" i="6"/>
  <c r="AA157" i="6"/>
  <c r="Z157" i="6"/>
  <c r="Y157" i="6"/>
  <c r="AB156" i="6"/>
  <c r="AA156" i="6"/>
  <c r="Z156" i="6"/>
  <c r="Y156" i="6"/>
  <c r="AB155" i="6"/>
  <c r="AA155" i="6"/>
  <c r="Z155" i="6"/>
  <c r="Y155" i="6"/>
  <c r="AB154" i="6"/>
  <c r="AA154" i="6"/>
  <c r="Z154" i="6"/>
  <c r="Y154" i="6"/>
  <c r="AB153" i="6"/>
  <c r="AA153" i="6"/>
  <c r="Z153" i="6"/>
  <c r="Y153" i="6"/>
  <c r="AB152" i="6"/>
  <c r="AA152" i="6"/>
  <c r="Z152" i="6"/>
  <c r="Y152" i="6"/>
  <c r="AB151" i="6"/>
  <c r="AA151" i="6"/>
  <c r="Z151" i="6"/>
  <c r="Y151" i="6"/>
  <c r="AB150" i="6"/>
  <c r="AA150" i="6"/>
  <c r="Z150" i="6"/>
  <c r="Y150" i="6"/>
  <c r="AB149" i="6"/>
  <c r="AA149" i="6"/>
  <c r="Z149" i="6"/>
  <c r="Y149" i="6"/>
  <c r="AB148" i="6"/>
  <c r="AA148" i="6"/>
  <c r="Z148" i="6"/>
  <c r="Y148" i="6"/>
  <c r="AB147" i="6"/>
  <c r="AA147" i="6"/>
  <c r="Z147" i="6"/>
  <c r="Y147" i="6"/>
  <c r="AB146" i="6"/>
  <c r="AA146" i="6"/>
  <c r="Z146" i="6"/>
  <c r="Y146" i="6"/>
  <c r="AB145" i="6"/>
  <c r="AA145" i="6"/>
  <c r="Z145" i="6"/>
  <c r="Y145" i="6"/>
  <c r="AB144" i="6"/>
  <c r="AA144" i="6"/>
  <c r="Z144" i="6"/>
  <c r="Y144" i="6"/>
  <c r="AB143" i="6"/>
  <c r="AA143" i="6"/>
  <c r="Z143" i="6"/>
  <c r="Y143" i="6"/>
  <c r="AB142" i="6"/>
  <c r="AA142" i="6"/>
  <c r="Z142" i="6"/>
  <c r="Y142" i="6"/>
  <c r="AB141" i="6"/>
  <c r="AA141" i="6"/>
  <c r="Z141" i="6"/>
  <c r="Y141" i="6"/>
  <c r="AB140" i="6"/>
  <c r="AA140" i="6"/>
  <c r="Z140" i="6"/>
  <c r="Y140" i="6"/>
  <c r="AB139" i="6"/>
  <c r="AA139" i="6"/>
  <c r="Z139" i="6"/>
  <c r="Y139" i="6"/>
  <c r="AB138" i="6"/>
  <c r="AA138" i="6"/>
  <c r="Z138" i="6"/>
  <c r="Y138" i="6"/>
  <c r="AB137" i="6"/>
  <c r="AA137" i="6"/>
  <c r="Z137" i="6"/>
  <c r="Y137" i="6"/>
  <c r="AB136" i="6"/>
  <c r="AA136" i="6"/>
  <c r="Z136" i="6"/>
  <c r="Y136" i="6"/>
  <c r="AB135" i="6"/>
  <c r="AA135" i="6"/>
  <c r="Z135" i="6"/>
  <c r="Y135" i="6"/>
  <c r="AB134" i="6"/>
  <c r="AA134" i="6"/>
  <c r="Z134" i="6"/>
  <c r="Y134" i="6"/>
  <c r="AB133" i="6"/>
  <c r="AA133" i="6"/>
  <c r="Z133" i="6"/>
  <c r="Y133" i="6"/>
  <c r="AB132" i="6"/>
  <c r="AA132" i="6"/>
  <c r="Z132" i="6"/>
  <c r="Y132" i="6"/>
  <c r="AB131" i="6"/>
  <c r="AA131" i="6"/>
  <c r="Z131" i="6"/>
  <c r="Y131" i="6"/>
  <c r="AB130" i="6"/>
  <c r="AA130" i="6"/>
  <c r="Z130" i="6"/>
  <c r="Y130" i="6"/>
  <c r="AB129" i="6"/>
  <c r="AA129" i="6"/>
  <c r="Z129" i="6"/>
  <c r="Y129" i="6"/>
  <c r="AB128" i="6"/>
  <c r="AA128" i="6"/>
  <c r="Z128" i="6"/>
  <c r="Y128" i="6"/>
  <c r="AB127" i="6"/>
  <c r="AA127" i="6"/>
  <c r="Z127" i="6"/>
  <c r="Y127" i="6"/>
  <c r="AB126" i="6"/>
  <c r="AA126" i="6"/>
  <c r="Z126" i="6"/>
  <c r="Y126" i="6"/>
  <c r="AB125" i="6"/>
  <c r="AA125" i="6"/>
  <c r="Z125" i="6"/>
  <c r="Y125" i="6"/>
  <c r="AB124" i="6"/>
  <c r="AA124" i="6"/>
  <c r="Z124" i="6"/>
  <c r="Y124" i="6"/>
  <c r="AB123" i="6"/>
  <c r="AA123" i="6"/>
  <c r="Z123" i="6"/>
  <c r="Y123" i="6"/>
  <c r="AB122" i="6"/>
  <c r="AA122" i="6"/>
  <c r="Z122" i="6"/>
  <c r="Y122" i="6"/>
  <c r="AB121" i="6"/>
  <c r="AA121" i="6"/>
  <c r="Z121" i="6"/>
  <c r="Y121" i="6"/>
  <c r="AB120" i="6"/>
  <c r="AA120" i="6"/>
  <c r="Z120" i="6"/>
  <c r="Y120" i="6"/>
  <c r="AB119" i="6"/>
  <c r="AA119" i="6"/>
  <c r="Z119" i="6"/>
  <c r="Y119" i="6"/>
  <c r="AB118" i="6"/>
  <c r="AA118" i="6"/>
  <c r="Z118" i="6"/>
  <c r="Y118" i="6"/>
  <c r="AB117" i="6"/>
  <c r="AA117" i="6"/>
  <c r="Z117" i="6"/>
  <c r="Y117" i="6"/>
  <c r="AB116" i="6"/>
  <c r="AA116" i="6"/>
  <c r="Z116" i="6"/>
  <c r="Y116" i="6"/>
  <c r="AB115" i="6"/>
  <c r="AA115" i="6"/>
  <c r="Z115" i="6"/>
  <c r="Y115" i="6"/>
  <c r="AB114" i="6"/>
  <c r="AA114" i="6"/>
  <c r="Z114" i="6"/>
  <c r="Y114" i="6"/>
  <c r="AB113" i="6"/>
  <c r="AA113" i="6"/>
  <c r="Z113" i="6"/>
  <c r="Y113" i="6"/>
  <c r="AB112" i="6"/>
  <c r="AA112" i="6"/>
  <c r="Z112" i="6"/>
  <c r="Y112" i="6"/>
  <c r="AB111" i="6"/>
  <c r="AA111" i="6"/>
  <c r="Z111" i="6"/>
  <c r="Y111" i="6"/>
  <c r="AB110" i="6"/>
  <c r="AA110" i="6"/>
  <c r="Z110" i="6"/>
  <c r="Y110" i="6"/>
  <c r="AB109" i="6"/>
  <c r="AA109" i="6"/>
  <c r="Z109" i="6"/>
  <c r="Y109" i="6"/>
  <c r="AB108" i="6"/>
  <c r="AA108" i="6"/>
  <c r="Z108" i="6"/>
  <c r="Y108" i="6"/>
  <c r="AB107" i="6"/>
  <c r="AA107" i="6"/>
  <c r="Z107" i="6"/>
  <c r="Y107" i="6"/>
  <c r="AB106" i="6"/>
  <c r="AA106" i="6"/>
  <c r="Z106" i="6"/>
  <c r="Y106" i="6"/>
  <c r="AB105" i="6"/>
  <c r="AA105" i="6"/>
  <c r="Z105" i="6"/>
  <c r="Y105" i="6"/>
  <c r="AB104" i="6"/>
  <c r="AA104" i="6"/>
  <c r="Z104" i="6"/>
  <c r="Y104" i="6"/>
  <c r="AB103" i="6"/>
  <c r="AA103" i="6"/>
  <c r="Z103" i="6"/>
  <c r="Y103" i="6"/>
  <c r="AB102" i="6"/>
  <c r="AA102" i="6"/>
  <c r="Z102" i="6"/>
  <c r="Y102" i="6"/>
  <c r="AB101" i="6"/>
  <c r="AA101" i="6"/>
  <c r="Z101" i="6"/>
  <c r="Y101" i="6"/>
  <c r="AB100" i="6"/>
  <c r="AA100" i="6"/>
  <c r="Z100" i="6"/>
  <c r="Y100" i="6"/>
  <c r="AB99" i="6"/>
  <c r="AA99" i="6"/>
  <c r="Z99" i="6"/>
  <c r="Y99" i="6"/>
  <c r="AB98" i="6"/>
  <c r="AA98" i="6"/>
  <c r="Z98" i="6"/>
  <c r="Y98" i="6"/>
  <c r="AB97" i="6"/>
  <c r="AA97" i="6"/>
  <c r="Z97" i="6"/>
  <c r="Y97" i="6"/>
  <c r="AB96" i="6"/>
  <c r="AA96" i="6"/>
  <c r="Z96" i="6"/>
  <c r="Y96" i="6"/>
  <c r="AB95" i="6"/>
  <c r="AA95" i="6"/>
  <c r="Z95" i="6"/>
  <c r="Y95" i="6"/>
  <c r="AB94" i="6"/>
  <c r="AA94" i="6"/>
  <c r="Z94" i="6"/>
  <c r="Y94" i="6"/>
  <c r="AB93" i="6"/>
  <c r="AA93" i="6"/>
  <c r="Z93" i="6"/>
  <c r="Y93" i="6"/>
  <c r="AB92" i="6"/>
  <c r="AA92" i="6"/>
  <c r="Z92" i="6"/>
  <c r="Y92" i="6"/>
  <c r="AB91" i="6"/>
  <c r="AA91" i="6"/>
  <c r="Z91" i="6"/>
  <c r="Y91" i="6"/>
  <c r="AB90" i="6"/>
  <c r="AA90" i="6"/>
  <c r="Z90" i="6"/>
  <c r="Y90" i="6"/>
  <c r="AB89" i="6"/>
  <c r="AA89" i="6"/>
  <c r="Z89" i="6"/>
  <c r="Y89" i="6"/>
  <c r="AB88" i="6"/>
  <c r="AA88" i="6"/>
  <c r="Z88" i="6"/>
  <c r="Y88" i="6"/>
  <c r="AB87" i="6"/>
  <c r="AA87" i="6"/>
  <c r="Z87" i="6"/>
  <c r="Y87" i="6"/>
  <c r="AB86" i="6"/>
  <c r="AA86" i="6"/>
  <c r="Z86" i="6"/>
  <c r="Y86" i="6"/>
  <c r="AB85" i="6"/>
  <c r="AA85" i="6"/>
  <c r="Z85" i="6"/>
  <c r="Y85" i="6"/>
  <c r="AB84" i="6"/>
  <c r="AA84" i="6"/>
  <c r="Z84" i="6"/>
  <c r="Y84" i="6"/>
  <c r="AB83" i="6"/>
  <c r="AA83" i="6"/>
  <c r="Z83" i="6"/>
  <c r="Y83" i="6"/>
  <c r="AB82" i="6"/>
  <c r="AA82" i="6"/>
  <c r="Z82" i="6"/>
  <c r="Y82" i="6"/>
  <c r="AB81" i="6"/>
  <c r="AA81" i="6"/>
  <c r="Z81" i="6"/>
  <c r="Y81" i="6"/>
  <c r="AB80" i="6"/>
  <c r="AA80" i="6"/>
  <c r="Z80" i="6"/>
  <c r="Y80" i="6"/>
  <c r="AB79" i="6"/>
  <c r="AA79" i="6"/>
  <c r="Z79" i="6"/>
  <c r="Y79" i="6"/>
  <c r="AB78" i="6"/>
  <c r="AA78" i="6"/>
  <c r="Z78" i="6"/>
  <c r="Y78" i="6"/>
  <c r="AB77" i="6"/>
  <c r="AA77" i="6"/>
  <c r="Z77" i="6"/>
  <c r="Y77" i="6"/>
  <c r="AB76" i="6"/>
  <c r="AA76" i="6"/>
  <c r="Z76" i="6"/>
  <c r="Y76" i="6"/>
  <c r="AB75" i="6"/>
  <c r="AA75" i="6"/>
  <c r="Z75" i="6"/>
  <c r="Y75" i="6"/>
  <c r="AB74" i="6"/>
  <c r="AA74" i="6"/>
  <c r="Z74" i="6"/>
  <c r="Y74" i="6"/>
  <c r="AB73" i="6"/>
  <c r="AA73" i="6"/>
  <c r="Z73" i="6"/>
  <c r="Y73" i="6"/>
  <c r="AB72" i="6"/>
  <c r="AA72" i="6"/>
  <c r="Z72" i="6"/>
  <c r="Y72" i="6"/>
  <c r="AB71" i="6"/>
  <c r="AA71" i="6"/>
  <c r="Z71" i="6"/>
  <c r="Y71" i="6"/>
  <c r="AB70" i="6"/>
  <c r="AA70" i="6"/>
  <c r="Z70" i="6"/>
  <c r="Y70" i="6"/>
  <c r="AB69" i="6"/>
  <c r="AA69" i="6"/>
  <c r="Z69" i="6"/>
  <c r="Y69" i="6"/>
  <c r="AB68" i="6"/>
  <c r="AA68" i="6"/>
  <c r="Z68" i="6"/>
  <c r="Y68" i="6"/>
  <c r="AB67" i="6"/>
  <c r="AA67" i="6"/>
  <c r="Z67" i="6"/>
  <c r="Y67" i="6"/>
  <c r="AB66" i="6"/>
  <c r="AA66" i="6"/>
  <c r="Z66" i="6"/>
  <c r="Y66" i="6"/>
  <c r="AB65" i="6"/>
  <c r="AA65" i="6"/>
  <c r="Z65" i="6"/>
  <c r="Y65" i="6"/>
  <c r="AB64" i="6"/>
  <c r="AA64" i="6"/>
  <c r="Z64" i="6"/>
  <c r="Y64" i="6"/>
  <c r="AB63" i="6"/>
  <c r="AA63" i="6"/>
  <c r="Z63" i="6"/>
  <c r="Y63" i="6"/>
  <c r="AB62" i="6"/>
  <c r="AA62" i="6"/>
  <c r="Z62" i="6"/>
  <c r="Y62" i="6"/>
  <c r="AB61" i="6"/>
  <c r="AA61" i="6"/>
  <c r="Z61" i="6"/>
  <c r="Y61" i="6"/>
  <c r="AB60" i="6"/>
  <c r="AA60" i="6"/>
  <c r="Z60" i="6"/>
  <c r="Y60" i="6"/>
  <c r="AB59" i="6"/>
  <c r="AA59" i="6"/>
  <c r="Z59" i="6"/>
  <c r="Y59" i="6"/>
  <c r="AB58" i="6"/>
  <c r="AA58" i="6"/>
  <c r="Z58" i="6"/>
  <c r="Y58" i="6"/>
  <c r="AB57" i="6"/>
  <c r="AA57" i="6"/>
  <c r="Z57" i="6"/>
  <c r="Y57" i="6"/>
  <c r="AB56" i="6"/>
  <c r="AA56" i="6"/>
  <c r="Z56" i="6"/>
  <c r="Y56" i="6"/>
  <c r="AB55" i="6"/>
  <c r="AA55" i="6"/>
  <c r="Z55" i="6"/>
  <c r="Y55" i="6"/>
  <c r="AB54" i="6"/>
  <c r="AA54" i="6"/>
  <c r="Z54" i="6"/>
  <c r="Y54" i="6"/>
  <c r="AB53" i="6"/>
  <c r="AA53" i="6"/>
  <c r="Z53" i="6"/>
  <c r="Y53" i="6"/>
  <c r="AB52" i="6"/>
  <c r="AA52" i="6"/>
  <c r="Z52" i="6"/>
  <c r="Y52" i="6"/>
  <c r="AB51" i="6"/>
  <c r="AA51" i="6"/>
  <c r="Z51" i="6"/>
  <c r="Y51" i="6"/>
  <c r="AB50" i="6"/>
  <c r="AA50" i="6"/>
  <c r="Z50" i="6"/>
  <c r="Y50" i="6"/>
  <c r="AB49" i="6"/>
  <c r="AA49" i="6"/>
  <c r="Z49" i="6"/>
  <c r="Y49" i="6"/>
  <c r="AB48" i="6"/>
  <c r="AA48" i="6"/>
  <c r="Z48" i="6"/>
  <c r="Y48" i="6"/>
  <c r="AB47" i="6"/>
  <c r="AA47" i="6"/>
  <c r="Z47" i="6"/>
  <c r="Y47" i="6"/>
  <c r="AB46" i="6"/>
  <c r="AA46" i="6"/>
  <c r="Z46" i="6"/>
  <c r="Y46" i="6"/>
  <c r="AB45" i="6"/>
  <c r="AA45" i="6"/>
  <c r="Z45" i="6"/>
  <c r="Y45" i="6"/>
  <c r="AB44" i="6"/>
  <c r="AA44" i="6"/>
  <c r="Z44" i="6"/>
  <c r="Y44" i="6"/>
  <c r="AB43" i="6"/>
  <c r="AA43" i="6"/>
  <c r="Z43" i="6"/>
  <c r="Y43" i="6"/>
  <c r="AB42" i="6"/>
  <c r="AA42" i="6"/>
  <c r="Z42" i="6"/>
  <c r="Y42" i="6"/>
  <c r="AB41" i="6"/>
  <c r="AA41" i="6"/>
  <c r="Z41" i="6"/>
  <c r="Y41" i="6"/>
  <c r="AB40" i="6"/>
  <c r="AA40" i="6"/>
  <c r="Z40" i="6"/>
  <c r="Y40" i="6"/>
  <c r="AB39" i="6"/>
  <c r="AA39" i="6"/>
  <c r="Z39" i="6"/>
  <c r="Y39" i="6"/>
  <c r="AB38" i="6"/>
  <c r="AA38" i="6"/>
  <c r="Z38" i="6"/>
  <c r="Y38" i="6"/>
  <c r="AB37" i="6"/>
  <c r="AA37" i="6"/>
  <c r="Z37" i="6"/>
  <c r="Y37" i="6"/>
  <c r="AB36" i="6"/>
  <c r="AA36" i="6"/>
  <c r="Z36" i="6"/>
  <c r="Y36" i="6"/>
  <c r="AB35" i="6"/>
  <c r="AA35" i="6"/>
  <c r="Z35" i="6"/>
  <c r="Y35" i="6"/>
  <c r="AB34" i="6"/>
  <c r="AA34" i="6"/>
  <c r="Z34" i="6"/>
  <c r="Y34" i="6"/>
  <c r="AB33" i="6"/>
  <c r="AA33" i="6"/>
  <c r="Z33" i="6"/>
  <c r="Y33" i="6"/>
  <c r="AB32" i="6"/>
  <c r="AA32" i="6"/>
  <c r="Z32" i="6"/>
  <c r="Y32" i="6"/>
  <c r="AB31" i="6"/>
  <c r="AA31" i="6"/>
  <c r="Z31" i="6"/>
  <c r="Y31" i="6"/>
  <c r="AB30" i="6"/>
  <c r="AA30" i="6"/>
  <c r="Z30" i="6"/>
  <c r="Y30" i="6"/>
  <c r="AB29" i="6"/>
  <c r="AA29" i="6"/>
  <c r="Z29" i="6"/>
  <c r="Y29" i="6"/>
  <c r="AB28" i="6"/>
  <c r="AA28" i="6"/>
  <c r="Z28" i="6"/>
  <c r="Y28" i="6"/>
  <c r="AB27" i="6"/>
  <c r="AA27" i="6"/>
  <c r="Z27" i="6"/>
  <c r="Y27" i="6"/>
  <c r="AB26" i="6"/>
  <c r="AA26" i="6"/>
  <c r="Z26" i="6"/>
  <c r="Y26" i="6"/>
  <c r="AB25" i="6"/>
  <c r="AA25" i="6"/>
  <c r="Z25" i="6"/>
  <c r="Y25" i="6"/>
  <c r="AB24" i="6"/>
  <c r="AA24" i="6"/>
  <c r="Z24" i="6"/>
  <c r="Y24" i="6"/>
  <c r="AB23" i="6"/>
  <c r="AA23" i="6"/>
  <c r="Z23" i="6"/>
  <c r="Y23" i="6"/>
  <c r="AB22" i="6"/>
  <c r="AA22" i="6"/>
  <c r="Z22" i="6"/>
  <c r="Y22" i="6"/>
  <c r="AB21" i="6"/>
  <c r="AA21" i="6"/>
  <c r="Z21" i="6"/>
  <c r="Y21" i="6"/>
  <c r="AB20" i="6"/>
  <c r="AA20" i="6"/>
  <c r="Z20" i="6"/>
  <c r="Y20" i="6"/>
  <c r="AB19" i="6"/>
  <c r="AA19" i="6"/>
  <c r="Z19" i="6"/>
  <c r="Y19" i="6"/>
  <c r="AB18" i="6"/>
  <c r="AA18" i="6"/>
  <c r="Z18" i="6"/>
  <c r="Y18" i="6"/>
  <c r="AB17" i="6"/>
  <c r="AA17" i="6"/>
  <c r="Z17" i="6"/>
  <c r="Y17" i="6"/>
  <c r="AB16" i="6"/>
  <c r="AA16" i="6"/>
  <c r="Z16" i="6"/>
  <c r="Y16" i="6"/>
  <c r="AB15" i="6"/>
  <c r="AA15" i="6"/>
  <c r="Z15" i="6"/>
  <c r="Y15" i="6"/>
  <c r="AB14" i="6"/>
  <c r="AA14" i="6"/>
  <c r="Z14" i="6"/>
  <c r="Y14" i="6"/>
  <c r="AB13" i="6"/>
  <c r="AA13" i="6"/>
  <c r="Z13" i="6"/>
  <c r="Y13" i="6"/>
  <c r="AB12" i="6"/>
  <c r="AA12" i="6"/>
  <c r="Z12" i="6"/>
  <c r="Y12" i="6"/>
  <c r="AB11" i="6"/>
  <c r="AA11" i="6"/>
  <c r="Z11" i="6"/>
  <c r="Y11" i="6"/>
  <c r="AB10" i="6"/>
  <c r="AA10" i="6"/>
  <c r="Z10" i="6"/>
  <c r="Y10" i="6"/>
  <c r="AB9" i="6"/>
  <c r="AA9" i="6"/>
  <c r="Z9" i="6"/>
  <c r="Y9" i="6"/>
  <c r="AB8" i="6"/>
  <c r="AA8" i="6"/>
  <c r="Z8" i="6"/>
  <c r="Y8" i="6"/>
  <c r="AB7" i="6"/>
  <c r="AA7" i="6"/>
  <c r="Z7" i="6"/>
  <c r="Y7" i="6"/>
  <c r="AB6" i="6"/>
  <c r="AA6" i="6"/>
  <c r="Z6" i="6"/>
  <c r="Y6" i="6"/>
  <c r="AB5" i="6"/>
  <c r="AA5" i="6"/>
  <c r="Z5" i="6"/>
  <c r="Y5" i="6"/>
  <c r="AB4" i="6"/>
  <c r="AA4" i="6"/>
  <c r="Z4" i="6"/>
  <c r="Y4" i="6"/>
  <c r="AB3" i="6"/>
  <c r="AA3" i="6"/>
  <c r="Z3" i="6"/>
  <c r="Y3" i="6"/>
  <c r="AB2" i="6"/>
  <c r="AA2" i="6"/>
  <c r="Z2" i="6"/>
  <c r="Y2"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<sst xmlns="http://schemas.openxmlformats.org/spreadsheetml/2006/main" count="75261" uniqueCount="2148">
  <si>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</si>
  <si>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</si>
  <si>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</si>
  <si>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</si>
  <si>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</si>
  <si>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</si>
  <si>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</si>
  <si>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</si>
  <si>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</si>
  <si>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</si>
  <si>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</si>
  <si>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</si>
  <si>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</si>
  <si>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</si>
  <si>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</si>
  <si>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</si>
  <si>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</si>
  <si>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</si>
  <si>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</si>
  <si>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</si>
  <si>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</si>
  <si>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</si>
  <si>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Customer_classification</t>
  </si>
  <si>
    <t>proper customer name</t>
  </si>
  <si>
    <t>Customer_code</t>
  </si>
  <si>
    <t>Standardized email-id</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</si>
  <si>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</si>
  <si>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</si>
  <si>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</si>
  <si>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</si>
  <si>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</si>
  <si>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</si>
  <si>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</si>
  <si>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</si>
  <si>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</si>
  <si>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</si>
  <si>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</si>
  <si>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</si>
  <si>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</si>
  <si>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</si>
  <si>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</si>
  <si>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</si>
  <si>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</si>
  <si>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</si>
  <si>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</si>
  <si>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</si>
  <si>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</si>
  <si>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</si>
  <si>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</si>
  <si>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</si>
  <si>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</si>
  <si>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</si>
  <si>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</si>
  <si>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</si>
  <si>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</si>
  <si>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</si>
  <si>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</si>
  <si>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</si>
  <si>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</si>
  <si>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</si>
  <si>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</si>
  <si>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</si>
  <si>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</si>
  <si>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</si>
  <si>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</si>
  <si>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</si>
  <si>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</si>
  <si>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</si>
  <si>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</si>
  <si>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</si>
  <si>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</si>
  <si>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</si>
  <si>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</si>
  <si>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</si>
  <si>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</si>
  <si>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</si>
  <si>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</si>
  <si>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</si>
  <si>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</si>
  <si>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</si>
  <si>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</si>
  <si>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</si>
  <si>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</si>
  <si>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</si>
  <si>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</si>
  <si>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</si>
  <si>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</si>
  <si>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</si>
  <si>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</si>
  <si>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</si>
  <si>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</si>
  <si>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</si>
  <si>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</si>
  <si>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</si>
  <si>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</si>
  <si>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</si>
  <si>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</si>
  <si>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</si>
  <si>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</si>
  <si>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</si>
  <si>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</si>
  <si>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</si>
  <si>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</si>
  <si>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</si>
  <si>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</si>
  <si>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</si>
  <si>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</si>
  <si>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</si>
  <si>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</si>
  <si>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</si>
  <si>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</si>
  <si>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</si>
  <si>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</si>
  <si>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</si>
  <si>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</si>
  <si>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</si>
  <si>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</si>
  <si>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</si>
  <si>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</si>
  <si>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</si>
  <si>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</si>
  <si>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</si>
  <si>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</si>
  <si>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</si>
  <si>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</si>
  <si>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</si>
  <si>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</si>
  <si>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</si>
  <si>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</si>
  <si>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</si>
  <si>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</si>
  <si>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</si>
  <si>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</si>
  <si>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</si>
  <si>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</si>
  <si>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</si>
  <si>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</si>
  <si>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</si>
  <si>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</si>
  <si>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</si>
  <si>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</si>
  <si>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</si>
  <si>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</si>
  <si>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</si>
  <si>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</si>
  <si>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</si>
  <si>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</si>
  <si>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</si>
  <si>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</si>
  <si>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</si>
  <si>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</si>
  <si>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</si>
  <si>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</si>
  <si>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</si>
  <si>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</si>
  <si>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</si>
  <si>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</si>
  <si>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</si>
  <si>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</si>
  <si>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</si>
  <si>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</si>
  <si>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</si>
  <si>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</si>
  <si>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</si>
  <si>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</si>
  <si>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</si>
  <si>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</si>
  <si>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</si>
  <si>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</si>
  <si>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</si>
  <si>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</si>
  <si>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</si>
  <si>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</si>
  <si>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</si>
  <si>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</si>
  <si>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</si>
  <si>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</si>
  <si>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</si>
  <si>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</si>
  <si>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</si>
  <si>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</si>
  <si>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</si>
  <si>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</si>
  <si>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</si>
  <si>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</si>
  <si>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</si>
  <si>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</si>
  <si>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</si>
  <si>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</si>
  <si>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</si>
  <si>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</si>
  <si>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</si>
  <si>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</si>
  <si>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</si>
  <si>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</si>
  <si>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</si>
  <si>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</si>
  <si>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</si>
  <si>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</si>
  <si>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</si>
  <si>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</si>
  <si>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</si>
  <si>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</si>
  <si>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</si>
  <si>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</si>
  <si>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</si>
  <si>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</si>
  <si>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</si>
  <si>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</si>
  <si>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</si>
  <si>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</si>
  <si>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</si>
  <si>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</si>
  <si>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</si>
  <si>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</si>
  <si>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</si>
  <si>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</si>
  <si>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</si>
  <si>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</si>
  <si>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</si>
  <si>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</si>
  <si>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</si>
  <si>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</si>
  <si>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</si>
  <si>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</si>
  <si>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</si>
  <si>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</si>
  <si>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</si>
  <si>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</si>
  <si>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</si>
  <si>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</si>
  <si>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</si>
  <si>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</si>
  <si>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</si>
  <si>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</si>
  <si>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</si>
  <si>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</si>
  <si>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</si>
  <si>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</si>
  <si>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</si>
  <si>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</si>
  <si>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</si>
  <si>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</si>
  <si>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</si>
  <si>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</si>
  <si>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</si>
  <si>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</si>
  <si>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</si>
  <si>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</si>
  <si>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</si>
  <si>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</si>
  <si>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</si>
  <si>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</si>
  <si>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</si>
  <si>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</si>
  <si>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</si>
  <si>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</si>
  <si>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</si>
  <si>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</si>
  <si>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</si>
  <si>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</si>
  <si>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</si>
  <si>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</si>
  <si>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</si>
  <si>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</si>
  <si>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</si>
  <si>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</si>
  <si>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</si>
  <si>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</si>
  <si>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</si>
  <si>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</si>
  <si>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</si>
  <si>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</si>
  <si>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</si>
  <si>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</si>
  <si>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</si>
  <si>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</si>
  <si>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</si>
  <si>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</si>
  <si>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</si>
  <si>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</si>
  <si>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</si>
  <si>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</si>
  <si>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</si>
  <si>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</si>
  <si>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</si>
  <si>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</si>
  <si>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</si>
  <si>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</si>
  <si>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</si>
  <si>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</si>
  <si>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</si>
  <si>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</si>
  <si>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</si>
  <si>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</si>
  <si>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</si>
  <si>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</si>
  <si>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</si>
  <si>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</si>
  <si>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</si>
  <si>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</si>
  <si>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</si>
  <si>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</si>
  <si>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</si>
  <si>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</si>
  <si>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</si>
  <si>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</si>
  <si>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</si>
  <si>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</si>
  <si>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</si>
  <si>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</si>
  <si>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</si>
  <si>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</si>
  <si>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</si>
  <si>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</si>
  <si>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</si>
  <si>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</si>
  <si>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</si>
  <si>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</si>
  <si>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</si>
  <si>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</si>
  <si>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</si>
  <si>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</si>
  <si>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</si>
  <si>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</si>
  <si>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</si>
  <si>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</si>
  <si>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</si>
  <si>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</si>
  <si>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</si>
  <si>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</si>
  <si>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</si>
  <si>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</si>
  <si>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</si>
  <si>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</si>
  <si>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</si>
  <si>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</si>
  <si>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</si>
  <si>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</si>
  <si>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</si>
  <si>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</si>
  <si>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</si>
  <si>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</si>
  <si>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</si>
  <si>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</si>
  <si>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</si>
  <si>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</si>
  <si>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</si>
  <si>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</si>
  <si>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</si>
  <si>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</si>
  <si>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</si>
  <si>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</si>
  <si>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</si>
  <si>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</si>
  <si>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</si>
  <si>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</si>
  <si>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</si>
  <si>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</si>
  <si>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</si>
  <si>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</si>
  <si>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</si>
  <si>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</si>
  <si>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</si>
  <si>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</si>
  <si>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</si>
  <si>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</si>
  <si>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</si>
  <si>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</si>
  <si>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</si>
  <si>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</si>
  <si>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</si>
  <si>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</si>
  <si>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</si>
  <si>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</si>
  <si>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</si>
  <si>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</si>
  <si>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</si>
  <si>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</si>
  <si>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</si>
  <si>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</si>
  <si>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</si>
  <si>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</si>
  <si>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</si>
  <si>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</si>
  <si>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</si>
  <si>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</si>
  <si>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</si>
  <si>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</si>
  <si>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</si>
  <si>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</si>
  <si>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</si>
  <si>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</si>
  <si>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</si>
  <si>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</si>
  <si>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</si>
  <si>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</si>
  <si>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</si>
  <si>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</si>
  <si>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</si>
  <si>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</si>
  <si>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</si>
  <si>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</si>
  <si>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</si>
  <si>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</si>
  <si>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</si>
  <si>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</si>
  <si>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</si>
  <si>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</si>
  <si>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</si>
  <si>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</si>
  <si>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</si>
  <si>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</si>
  <si>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</si>
  <si>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</si>
  <si>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</si>
  <si>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</si>
  <si>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</si>
  <si>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</si>
  <si>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</si>
  <si>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</si>
  <si>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</si>
  <si>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</si>
  <si>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</si>
  <si>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</si>
  <si>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</si>
  <si>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</si>
  <si>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</si>
  <si>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</si>
  <si>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</si>
  <si>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</si>
  <si>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</si>
  <si>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</si>
  <si>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</si>
  <si>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</si>
  <si>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</si>
  <si>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</si>
  <si>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</si>
  <si>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</si>
  <si>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</si>
  <si>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</si>
  <si>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</si>
  <si>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</si>
  <si>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</si>
  <si>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</si>
  <si>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</si>
  <si>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</si>
  <si>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</si>
  <si>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</si>
  <si>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</si>
  <si>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</si>
  <si>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</si>
  <si>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</si>
  <si>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</si>
  <si>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</si>
  <si>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</si>
  <si>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</si>
  <si>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</si>
  <si>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</si>
  <si>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</si>
  <si>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</si>
  <si>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</si>
  <si>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</si>
  <si>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</si>
  <si>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</si>
  <si>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</si>
  <si>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</si>
  <si>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</si>
  <si>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</si>
  <si>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</si>
  <si>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</si>
  <si>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</si>
  <si>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</si>
  <si>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</si>
  <si>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</si>
  <si>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</si>
  <si>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</si>
  <si>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</si>
  <si>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</si>
  <si>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</si>
  <si>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</si>
  <si>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</si>
  <si>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</si>
  <si>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</si>
  <si>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</si>
  <si>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</si>
  <si>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</si>
  <si>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</si>
  <si>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</si>
  <si>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</si>
  <si>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</si>
  <si>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</si>
  <si>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</si>
  <si>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</si>
  <si>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</si>
  <si>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</si>
  <si>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</si>
  <si>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</si>
  <si>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</si>
  <si>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</si>
  <si>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</si>
  <si>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</si>
  <si>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</si>
  <si>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</si>
  <si>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</si>
  <si>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</si>
  <si>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</si>
  <si>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</si>
  <si>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</si>
  <si>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</si>
  <si>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</si>
  <si>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</si>
  <si>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</si>
  <si>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</si>
  <si>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</si>
  <si>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</si>
  <si>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</si>
  <si>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</si>
  <si>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</si>
  <si>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</si>
  <si>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</si>
  <si>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</si>
  <si>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</si>
  <si>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</si>
  <si>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</si>
  <si>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</si>
  <si>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</si>
  <si>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</si>
  <si>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</si>
  <si>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</si>
  <si>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</si>
  <si>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</si>
  <si>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</si>
  <si>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</si>
  <si>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</si>
  <si>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</si>
  <si>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</si>
  <si>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</si>
  <si>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</si>
  <si>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</si>
  <si>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</si>
  <si>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</si>
  <si>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</si>
  <si>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</si>
  <si>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</si>
  <si>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</si>
  <si>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</si>
  <si>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</si>
  <si>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</si>
  <si>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</si>
  <si>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</si>
  <si>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</si>
  <si>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</si>
  <si>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</si>
  <si>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</si>
  <si>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</si>
  <si>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</si>
  <si>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</si>
  <si>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</si>
  <si>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</si>
  <si>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</si>
  <si>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</si>
  <si>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</si>
  <si>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</si>
  <si>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</si>
  <si>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</si>
  <si>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</si>
  <si>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</si>
  <si>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</si>
  <si>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</si>
  <si>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</si>
  <si>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</si>
  <si>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</si>
  <si>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</si>
  <si>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</si>
  <si>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</si>
  <si>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</si>
  <si>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</si>
  <si>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</si>
  <si>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</si>
  <si>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</si>
  <si>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</si>
  <si>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</si>
  <si>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</si>
  <si>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</si>
  <si>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</si>
  <si>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</si>
  <si>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</si>
  <si>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</si>
  <si>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</si>
  <si>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</si>
  <si>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</si>
  <si>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</si>
  <si>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</si>
  <si>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</si>
  <si>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</si>
  <si>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</si>
  <si>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</si>
  <si>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</si>
  <si>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</si>
  <si>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</si>
  <si>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</si>
  <si>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</si>
  <si>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</si>
  <si>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</si>
  <si>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</si>
  <si>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</si>
  <si>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</si>
  <si>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</si>
  <si>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</si>
  <si>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</si>
  <si>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</si>
  <si>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</si>
  <si>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</si>
  <si>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</si>
  <si>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</si>
  <si>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</si>
  <si>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</si>
  <si>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</si>
  <si>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</si>
  <si>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</si>
  <si>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</si>
  <si>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</si>
  <si>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</si>
  <si>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</si>
  <si>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</si>
  <si>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</si>
  <si>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</si>
  <si>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</si>
  <si>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</si>
  <si>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</si>
  <si>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</si>
  <si>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</si>
  <si>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</si>
  <si>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</si>
  <si>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</si>
  <si>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</si>
  <si>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</si>
  <si>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</si>
  <si>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</si>
  <si>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</si>
  <si>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</si>
  <si>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</si>
  <si>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</si>
  <si>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</si>
  <si>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</si>
  <si>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</si>
  <si>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</si>
  <si>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</si>
  <si>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</si>
  <si>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</si>
  <si>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</si>
  <si>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</si>
  <si>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</si>
  <si>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</si>
  <si>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</si>
  <si>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</si>
  <si>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</si>
  <si>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</si>
  <si>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</si>
  <si>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</si>
  <si>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</si>
  <si>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</si>
  <si>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</si>
  <si>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</si>
  <si>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</si>
  <si>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</si>
  <si>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</si>
  <si>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</si>
  <si>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</si>
  <si>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</si>
  <si>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</si>
  <si>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</si>
  <si>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</si>
  <si>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</si>
  <si>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</si>
  <si>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</si>
  <si>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</si>
  <si>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</si>
  <si>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</si>
  <si>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</si>
  <si>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</si>
  <si>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</si>
  <si>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</si>
  <si>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</si>
  <si>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</si>
  <si>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</si>
  <si>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</si>
  <si>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</si>
  <si>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</si>
  <si>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</si>
  <si>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</si>
  <si>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</si>
  <si>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</si>
  <si>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</si>
  <si>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</si>
  <si>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</si>
  <si>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</si>
  <si>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</si>
  <si>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</si>
  <si>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</si>
  <si>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</si>
  <si>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</si>
  <si>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</si>
  <si>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</si>
  <si>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</si>
  <si>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</si>
  <si>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</si>
  <si>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</si>
  <si>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</si>
  <si>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</si>
  <si>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</si>
  <si>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</si>
  <si>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</si>
  <si>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</si>
  <si>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</si>
  <si>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</si>
  <si>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</si>
  <si>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</si>
  <si>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</si>
  <si>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</si>
  <si>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</si>
  <si>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</si>
  <si>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</si>
  <si>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</si>
  <si>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</si>
  <si>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</si>
  <si>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</si>
  <si>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</si>
  <si>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</si>
  <si>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</si>
  <si>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</si>
  <si>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</si>
  <si>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</si>
  <si>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</si>
  <si>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</si>
  <si>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</si>
  <si>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</si>
  <si>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</si>
  <si>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</si>
  <si>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</si>
  <si>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</si>
  <si>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</si>
  <si>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</si>
  <si>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</si>
  <si>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</si>
  <si>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</si>
  <si>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</si>
  <si>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</si>
  <si>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</si>
  <si>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</si>
  <si>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</si>
  <si>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</si>
  <si>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</si>
  <si>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</si>
  <si>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</si>
  <si>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</si>
  <si>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</si>
  <si>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</si>
  <si>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</si>
  <si>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</si>
  <si>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</si>
  <si>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</si>
  <si>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</si>
  <si>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</si>
  <si>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</si>
  <si>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</si>
  <si>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</si>
  <si>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</si>
  <si>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</si>
  <si>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</si>
  <si>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</si>
  <si>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</si>
  <si>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</si>
  <si>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</si>
  <si>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</si>
  <si>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</si>
  <si>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</si>
  <si>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</si>
  <si>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</si>
  <si>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</si>
  <si>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</si>
  <si>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</si>
  <si>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</si>
  <si>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</si>
  <si>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</si>
  <si>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</si>
  <si>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</si>
  <si>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</si>
  <si>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</si>
  <si>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</si>
  <si>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</si>
  <si>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</si>
  <si>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</si>
  <si>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</si>
  <si>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</si>
  <si>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</si>
  <si>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</si>
  <si>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</si>
  <si>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</si>
  <si>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</si>
  <si>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</si>
  <si>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</si>
  <si>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</si>
  <si>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</si>
  <si>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</si>
  <si>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</si>
  <si>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</si>
  <si>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</si>
  <si>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</si>
  <si>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</si>
  <si>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</si>
  <si>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</si>
  <si>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</si>
  <si>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</si>
  <si>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</si>
  <si>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</si>
  <si>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</si>
  <si>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</si>
  <si>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</si>
  <si>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</si>
  <si>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</si>
  <si>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</si>
  <si>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</si>
  <si>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</si>
  <si>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</si>
  <si>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</si>
  <si>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</si>
  <si>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</si>
  <si>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</si>
  <si>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</si>
  <si>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</si>
  <si>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</si>
  <si>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</si>
  <si>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</si>
  <si>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</si>
  <si>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</si>
  <si>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</si>
  <si>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</si>
  <si>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</si>
  <si>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</si>
  <si>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</si>
  <si>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</si>
  <si>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</si>
  <si>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</si>
  <si>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</si>
  <si>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</si>
  <si>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</si>
  <si>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</si>
  <si>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</si>
  <si>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</si>
  <si>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</si>
  <si>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</si>
  <si>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</si>
  <si>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</si>
  <si>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</si>
  <si>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</si>
  <si>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</si>
  <si>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</si>
  <si>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</si>
  <si>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</si>
  <si>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</si>
  <si>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</si>
  <si>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</si>
  <si>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</si>
  <si>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</si>
  <si>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</si>
  <si>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</si>
  <si>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</si>
  <si>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</si>
  <si>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</si>
  <si>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</si>
  <si>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</si>
  <si>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</si>
  <si>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</si>
  <si>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</si>
  <si>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</si>
  <si>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</si>
  <si>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</si>
  <si>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</si>
  <si>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</si>
  <si>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</si>
  <si>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</si>
  <si>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</si>
  <si>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</si>
  <si>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</si>
  <si>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</si>
  <si>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</si>
  <si>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</si>
  <si>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</si>
  <si>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</si>
  <si>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</si>
  <si>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</si>
  <si>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</si>
  <si>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</si>
  <si>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</si>
  <si>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</si>
  <si>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</si>
  <si>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</si>
  <si>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</si>
  <si>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</si>
  <si>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</si>
  <si>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</si>
  <si>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</si>
  <si>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</si>
  <si>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</si>
  <si>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</si>
  <si>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</si>
  <si>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</si>
  <si>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</si>
  <si>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</si>
  <si>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</si>
  <si>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</si>
  <si>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</si>
  <si>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</si>
  <si>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</si>
  <si>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</si>
  <si>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</si>
  <si>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</si>
  <si>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</si>
  <si>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</si>
  <si>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</si>
  <si>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</si>
  <si>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</si>
  <si>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</si>
  <si>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</si>
  <si>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</si>
  <si>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</si>
  <si>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</si>
  <si>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</si>
  <si>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</si>
  <si>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</si>
  <si>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</si>
  <si>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</si>
  <si>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</si>
  <si>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</si>
  <si>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</si>
  <si>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</si>
  <si>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</si>
  <si>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</si>
  <si>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</si>
  <si>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</si>
  <si>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</si>
  <si>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</si>
  <si>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</si>
  <si>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</si>
  <si>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</si>
  <si>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</si>
  <si>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</si>
  <si>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</si>
  <si>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</si>
  <si>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</si>
  <si>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</si>
  <si>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</si>
  <si>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</si>
  <si>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</si>
  <si>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</si>
  <si>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</si>
  <si>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</si>
  <si>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</si>
  <si>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</si>
  <si>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</si>
  <si>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</si>
  <si>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</si>
  <si>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</si>
  <si>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</si>
  <si>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</si>
  <si>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</si>
  <si>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</si>
  <si>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</si>
  <si>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</si>
  <si>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</si>
  <si>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</si>
  <si>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</si>
  <si>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</si>
  <si>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</si>
  <si>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</si>
  <si>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</si>
  <si>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</si>
  <si>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</si>
  <si>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</si>
  <si>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</si>
  <si>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</si>
  <si>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</si>
  <si>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</si>
  <si>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</si>
  <si>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</si>
  <si>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</si>
  <si>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</si>
  <si>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</si>
  <si>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</si>
  <si>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</si>
  <si>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</si>
  <si>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</si>
  <si>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</si>
  <si>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</si>
  <si>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</si>
  <si>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</si>
  <si>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</si>
  <si>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</si>
  <si>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</si>
  <si>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</si>
  <si>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</si>
  <si>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</si>
  <si>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</si>
  <si>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</si>
  <si>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</si>
  <si>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</si>
  <si>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</si>
  <si>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</si>
  <si>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</si>
  <si>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</si>
  <si>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</si>
  <si>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</si>
  <si>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</si>
  <si>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</si>
  <si>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</si>
  <si>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</si>
  <si>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</si>
  <si>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</si>
  <si>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</si>
  <si>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</si>
  <si>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</si>
  <si>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</si>
  <si>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</si>
  <si>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</si>
  <si>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</si>
  <si>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</si>
  <si>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</si>
  <si>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</si>
  <si>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</si>
  <si>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</si>
  <si>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</si>
  <si>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</si>
  <si>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</si>
  <si>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</si>
  <si>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</si>
  <si>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</si>
  <si>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</si>
  <si>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</si>
  <si>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</si>
  <si>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</si>
  <si>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</si>
  <si>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</si>
  <si>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</si>
  <si>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</si>
  <si>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</si>
  <si>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</si>
  <si>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</si>
  <si>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</si>
  <si>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</si>
  <si>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</si>
  <si>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</si>
  <si>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</si>
  <si>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</si>
  <si>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</si>
  <si>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</si>
  <si>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</si>
  <si>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</si>
  <si>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</si>
  <si>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</si>
  <si>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</si>
  <si>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</si>
  <si>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</si>
  <si>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</si>
  <si>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</si>
  <si>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</si>
  <si>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</si>
  <si>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</si>
  <si>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</si>
  <si>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</si>
  <si>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</si>
  <si>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</si>
  <si>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</si>
  <si>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</si>
  <si>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</si>
  <si>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</si>
  <si>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</si>
  <si>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</si>
  <si>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</si>
  <si>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</si>
  <si>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</si>
  <si>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</si>
  <si>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</si>
  <si>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</si>
  <si>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</si>
  <si>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</si>
  <si>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</si>
  <si>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</si>
  <si>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</si>
  <si>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</si>
  <si>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</si>
  <si>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</si>
  <si>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</si>
  <si>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</si>
  <si>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</si>
  <si>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</si>
  <si>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</si>
  <si>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</si>
  <si>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</si>
  <si>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</si>
  <si>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</si>
  <si>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</si>
  <si>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</si>
  <si>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</si>
  <si>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</si>
  <si>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</si>
  <si>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</si>
  <si>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</si>
  <si>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</si>
  <si>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</si>
  <si>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</si>
  <si>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</si>
  <si>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</si>
  <si>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</si>
  <si>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</si>
  <si>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</si>
  <si>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</si>
  <si>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</si>
  <si>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</si>
  <si>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</si>
  <si>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</si>
  <si>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</si>
  <si>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</si>
  <si>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</si>
  <si>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</si>
  <si>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</si>
  <si>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</si>
  <si>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</si>
  <si>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</si>
  <si>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</si>
  <si>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</si>
  <si>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</si>
  <si>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</si>
  <si>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</si>
  <si>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</si>
  <si>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</si>
  <si>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</si>
  <si>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</si>
  <si>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</si>
  <si>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</si>
  <si>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</si>
  <si>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</si>
  <si>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</si>
  <si>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</si>
  <si>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</si>
  <si>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</si>
  <si>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</si>
  <si>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</si>
  <si>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</si>
  <si>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</si>
  <si>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</si>
  <si>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</si>
  <si>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</si>
  <si>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</si>
  <si>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</si>
  <si>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</si>
  <si>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</si>
  <si>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</si>
  <si>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</si>
  <si>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</si>
  <si>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</si>
  <si>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</si>
  <si>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</si>
  <si>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</si>
  <si>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</si>
  <si>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</si>
  <si>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</si>
  <si>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</si>
  <si>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</si>
  <si>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</si>
  <si>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</si>
  <si>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</si>
  <si>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</si>
  <si>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</si>
  <si>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</si>
  <si>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</si>
  <si>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</si>
  <si>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</si>
  <si>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</si>
  <si>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</si>
  <si>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</si>
  <si>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</si>
  <si>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</si>
  <si>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</si>
  <si>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</si>
  <si>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</si>
  <si>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</si>
  <si>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</si>
  <si>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</si>
  <si>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</si>
  <si>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</si>
  <si>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</si>
  <si>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</si>
  <si>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</si>
  <si>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</si>
  <si>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</si>
  <si>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</si>
  <si>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</si>
  <si>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</si>
  <si>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</si>
  <si>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</si>
  <si>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</si>
  <si>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</si>
  <si>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</si>
  <si>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</si>
  <si>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</si>
  <si>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</si>
  <si>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</si>
  <si>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</si>
  <si>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</si>
  <si>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</si>
  <si>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</si>
  <si>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</si>
  <si>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</si>
  <si>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</si>
  <si>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</si>
  <si>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</si>
  <si>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</si>
  <si>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</si>
  <si>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</si>
  <si>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</si>
  <si>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</si>
  <si>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</si>
  <si>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</si>
  <si>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</si>
  <si>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</si>
  <si>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</si>
  <si>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</si>
  <si>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</si>
  <si>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</si>
  <si>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</si>
  <si>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</si>
  <si>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</si>
  <si>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</si>
  <si>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</si>
  <si>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</si>
  <si>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</si>
  <si>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</si>
  <si>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</si>
  <si>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</si>
  <si>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</si>
  <si>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</si>
  <si>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</si>
  <si>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</si>
  <si>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</si>
  <si>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</si>
  <si>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</si>
  <si>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</si>
  <si>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</si>
  <si>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</si>
  <si>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</si>
  <si>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</si>
  <si>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</si>
  <si>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</si>
  <si>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</si>
  <si>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</si>
  <si>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</si>
  <si>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</si>
  <si>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</si>
  <si>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</si>
  <si>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</si>
  <si>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</si>
  <si>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</si>
  <si>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</si>
  <si>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</si>
  <si>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</si>
  <si>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</si>
  <si>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</si>
  <si>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</si>
  <si>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</si>
  <si>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</si>
  <si>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</si>
  <si>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</si>
  <si>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</si>
  <si>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</si>
  <si>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</si>
  <si>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</si>
  <si>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</si>
  <si>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</si>
  <si>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</si>
  <si>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</si>
  <si>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</si>
  <si>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</si>
  <si>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</si>
  <si>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</si>
  <si>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</si>
  <si>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</si>
  <si>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</si>
  <si>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</si>
  <si>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</si>
  <si>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</si>
  <si>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</si>
  <si>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</si>
  <si>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</si>
  <si>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</si>
  <si>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</si>
  <si>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</si>
  <si>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</si>
  <si>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</si>
  <si>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</si>
  <si>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</si>
  <si>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</si>
  <si>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</si>
  <si>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</si>
  <si>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</si>
  <si>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</si>
  <si>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</si>
  <si>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</si>
  <si>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</si>
  <si>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</si>
  <si>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</si>
  <si>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</si>
  <si>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</si>
  <si>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</si>
  <si>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</si>
  <si>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</si>
  <si>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</si>
  <si>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</si>
  <si>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</si>
  <si>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</si>
  <si>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</si>
  <si>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</si>
  <si>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</si>
  <si>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</si>
  <si>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</si>
  <si>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</si>
  <si>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</si>
  <si>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</si>
  <si>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</si>
  <si>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</si>
  <si>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</si>
  <si>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</si>
  <si>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</si>
  <si>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</si>
  <si>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</si>
  <si>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</si>
  <si>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</si>
  <si>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</si>
  <si>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</si>
  <si>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</si>
  <si>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</si>
  <si>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</si>
  <si>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</si>
  <si>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</si>
  <si>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</si>
  <si>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</si>
  <si>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</si>
  <si>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</si>
  <si>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</si>
  <si>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</si>
  <si>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</si>
  <si>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</si>
  <si>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</si>
  <si>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</si>
  <si>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</si>
  <si>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</si>
  <si>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</si>
  <si>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</si>
  <si>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</si>
  <si>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</si>
  <si>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</si>
  <si>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</si>
  <si>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</si>
  <si>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</si>
  <si>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</si>
  <si>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</si>
  <si>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</si>
  <si>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</si>
  <si>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</si>
  <si>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</si>
  <si>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</si>
  <si>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</si>
  <si>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</si>
  <si>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</si>
  <si>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</si>
  <si>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</si>
  <si>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</si>
  <si>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</si>
  <si>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</si>
  <si>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</si>
  <si>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</si>
  <si>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</si>
  <si>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</si>
  <si>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</si>
  <si>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</si>
  <si>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</si>
  <si>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</si>
  <si>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</si>
  <si>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</si>
  <si>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</si>
  <si>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</si>
  <si>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</si>
  <si>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</si>
  <si>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</si>
  <si>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</si>
  <si>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</si>
  <si>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</si>
  <si>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</si>
  <si>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</si>
  <si>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</si>
  <si>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</si>
  <si>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</si>
  <si>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</si>
  <si>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</si>
  <si>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</si>
  <si>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</si>
  <si>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</si>
  <si>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</si>
  <si>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</si>
  <si>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</si>
  <si>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</si>
  <si>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</si>
  <si>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</si>
  <si>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</si>
  <si>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</si>
  <si>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</si>
  <si>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</si>
  <si>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</si>
  <si>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</si>
  <si>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</si>
  <si>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</si>
  <si>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</si>
  <si>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</si>
  <si>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</si>
  <si>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</si>
  <si>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</si>
  <si>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</si>
  <si>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</si>
  <si>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</si>
  <si>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</si>
  <si>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</si>
  <si>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</si>
  <si>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</si>
  <si>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</si>
  <si>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</si>
  <si>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</si>
  <si>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</si>
  <si>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</si>
  <si>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</si>
  <si>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</si>
  <si>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</si>
  <si>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</si>
  <si>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</si>
  <si>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</si>
  <si>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</si>
  <si>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</si>
  <si>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</si>
  <si>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</si>
  <si>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</si>
  <si>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</si>
  <si>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</si>
  <si>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</si>
  <si>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</si>
  <si>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</si>
  <si>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</si>
  <si>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</si>
  <si>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</si>
  <si>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</si>
  <si>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</si>
  <si>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</si>
  <si>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</si>
  <si>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</si>
  <si>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</si>
  <si>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</si>
  <si>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</si>
  <si>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</si>
  <si>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</si>
  <si>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</si>
  <si>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</si>
  <si>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</si>
  <si>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</si>
  <si>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</si>
  <si>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</si>
  <si>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</si>
  <si>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</si>
  <si>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</si>
  <si>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</si>
  <si>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</si>
  <si>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</si>
  <si>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</si>
  <si>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</si>
  <si>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</si>
  <si>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</si>
  <si>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</si>
  <si>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</si>
  <si>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</si>
  <si>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</si>
  <si>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</si>
  <si>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</si>
  <si>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</si>
  <si>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</si>
  <si>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</si>
  <si>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</si>
  <si>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</si>
  <si>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</si>
  <si>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</si>
  <si>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</si>
  <si>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</si>
  <si>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</si>
  <si>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</si>
  <si>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</si>
  <si>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</si>
  <si>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</si>
  <si>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</si>
  <si>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</si>
  <si>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</si>
  <si>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</si>
  <si>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</si>
  <si>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</si>
  <si>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</si>
  <si>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</si>
  <si>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</si>
  <si>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</si>
  <si>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</si>
  <si>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</si>
  <si>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</si>
  <si>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</si>
  <si>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</si>
  <si>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</si>
  <si>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</si>
  <si>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</si>
  <si>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</si>
  <si>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</si>
  <si>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</si>
  <si>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</si>
  <si>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</si>
  <si>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</si>
  <si>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</si>
  <si>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</si>
  <si>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</si>
  <si>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</si>
  <si>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</si>
  <si>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</si>
  <si>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</si>
  <si>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</si>
  <si>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</si>
  <si>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</si>
  <si>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</si>
  <si>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</si>
  <si>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</si>
  <si>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</si>
  <si>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</si>
  <si>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</si>
  <si>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</si>
  <si>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</si>
  <si>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</si>
  <si>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</si>
  <si>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</si>
  <si>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</si>
  <si>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</si>
  <si>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</si>
  <si>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</si>
  <si>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</si>
  <si>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</si>
  <si>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</si>
  <si>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</si>
  <si>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</si>
  <si>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</si>
  <si>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</si>
  <si>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</si>
  <si>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</si>
  <si>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</si>
  <si>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</si>
  <si>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</si>
  <si>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</si>
  <si>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</si>
  <si>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</si>
  <si>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</si>
  <si>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</si>
  <si>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</si>
  <si>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</si>
  <si>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</si>
  <si>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</si>
  <si>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</si>
  <si>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</si>
  <si>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</si>
  <si>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</si>
  <si>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</si>
  <si>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</si>
  <si>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</si>
  <si>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</si>
  <si>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</si>
  <si>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</si>
  <si>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</si>
  <si>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</si>
  <si>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</si>
  <si>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</si>
  <si>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</si>
  <si>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</si>
  <si>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</si>
  <si>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</si>
  <si>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</si>
  <si>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</si>
  <si>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</si>
  <si>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</si>
  <si>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</si>
  <si>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</si>
  <si>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</si>
  <si>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</si>
  <si>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</si>
  <si>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</si>
  <si>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</si>
  <si>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</si>
  <si>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</si>
  <si>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</si>
  <si>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</si>
  <si>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</si>
  <si>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</si>
  <si>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</si>
  <si>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</si>
  <si>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</si>
  <si>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</si>
  <si>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</si>
  <si>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</si>
  <si>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</si>
  <si>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</si>
  <si>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</si>
  <si>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</si>
  <si>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</si>
  <si>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</si>
  <si>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</si>
  <si>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</si>
  <si>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</si>
  <si>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</si>
  <si>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</si>
  <si>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</si>
  <si>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</si>
  <si>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</si>
  <si>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</si>
  <si>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</si>
  <si>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</si>
  <si>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</si>
  <si>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</si>
  <si>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</si>
  <si>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</si>
  <si>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</si>
  <si>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</si>
  <si>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</si>
  <si>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</si>
  <si>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</si>
  <si>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</si>
  <si>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</si>
  <si>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</si>
  <si>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</si>
  <si>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</si>
  <si>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</si>
  <si>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</si>
  <si>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</si>
  <si>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</si>
  <si>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</si>
  <si>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</si>
  <si>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</si>
  <si>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</si>
  <si>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</si>
  <si>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</si>
  <si>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</si>
  <si>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</si>
  <si>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</si>
  <si>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</si>
  <si>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</si>
  <si>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</si>
  <si>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</si>
  <si>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</si>
  <si>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</si>
  <si>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</si>
  <si>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</si>
  <si>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</si>
  <si>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</si>
  <si>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</si>
  <si>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</si>
  <si>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</si>
  <si>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</si>
  <si>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</si>
  <si>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</si>
  <si>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</si>
  <si>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</si>
  <si>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</si>
  <si>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</si>
  <si>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</si>
  <si>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</si>
  <si>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</si>
  <si>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</si>
  <si>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</si>
  <si>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</si>
  <si>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</si>
  <si>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</si>
  <si>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</si>
  <si>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</si>
  <si>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</si>
  <si>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</si>
  <si>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</si>
  <si>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</si>
  <si>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</si>
  <si>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</si>
  <si>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</si>
  <si>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</si>
  <si>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</si>
  <si>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</si>
  <si>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</si>
  <si>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</si>
  <si>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</si>
  <si>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</si>
  <si>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</si>
  <si>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</si>
  <si>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</si>
  <si>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</si>
  <si>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</si>
  <si>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</si>
  <si>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</si>
  <si>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</si>
  <si>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</si>
  <si>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</si>
  <si>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</si>
  <si>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</si>
  <si>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</si>
  <si>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</si>
  <si>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</si>
  <si>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</si>
  <si>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</si>
  <si>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</si>
  <si>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</si>
  <si>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</si>
  <si>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</si>
  <si>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</si>
  <si>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</si>
  <si>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</si>
  <si>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</si>
  <si>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</si>
  <si>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</si>
  <si>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</si>
  <si>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</si>
  <si>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</si>
  <si>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</si>
  <si>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</si>
  <si>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</si>
  <si>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</si>
  <si>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</si>
  <si>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</si>
  <si>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</si>
  <si>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</si>
  <si>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</si>
  <si>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</si>
  <si>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</si>
  <si>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</si>
  <si>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</si>
  <si>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</si>
  <si>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</si>
  <si>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</si>
  <si>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</si>
  <si>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</si>
  <si>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</si>
  <si>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</si>
  <si>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</si>
  <si>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</si>
  <si>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</si>
  <si>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</si>
  <si>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</si>
  <si>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</si>
  <si>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</si>
  <si>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</si>
  <si>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</si>
  <si>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</si>
  <si>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</si>
  <si>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</si>
  <si>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</si>
  <si>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</si>
  <si>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</si>
  <si>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</si>
  <si>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</si>
  <si>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</si>
  <si>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</si>
  <si>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</si>
  <si>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</si>
  <si>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</si>
  <si>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</si>
  <si>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</si>
  <si>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</si>
  <si>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</si>
  <si>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</si>
  <si>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</si>
  <si>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</si>
  <si>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</si>
  <si>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</si>
  <si>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</si>
  <si>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</si>
  <si>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</si>
  <si>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</si>
  <si>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</si>
  <si>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</si>
  <si>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</si>
  <si>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</si>
  <si>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</si>
  <si>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</si>
  <si>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</si>
  <si>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</si>
  <si>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</si>
  <si>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</si>
  <si>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</si>
  <si>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</si>
  <si>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</si>
  <si>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</si>
  <si>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</si>
  <si>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</si>
  <si>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</si>
  <si>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</si>
  <si>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</si>
  <si>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</si>
  <si>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</si>
  <si>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</si>
  <si>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</si>
  <si>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</si>
  <si>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</si>
  <si>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</si>
  <si>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</si>
  <si>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</si>
  <si>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</si>
  <si>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</si>
  <si>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</si>
  <si>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</si>
  <si>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</si>
  <si>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</si>
  <si>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</si>
  <si>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</si>
  <si>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</si>
  <si>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</si>
  <si>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</si>
  <si>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</si>
  <si>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</si>
  <si>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</si>
  <si>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</si>
  <si>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</si>
  <si>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</si>
  <si>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</si>
  <si>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</si>
  <si>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</si>
  <si>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</si>
  <si>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</si>
  <si>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</si>
  <si>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</si>
  <si>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</si>
  <si>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</si>
  <si>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</si>
  <si>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</si>
  <si>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</si>
  <si>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</si>
  <si>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</si>
  <si>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</si>
  <si>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</si>
  <si>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</si>
  <si>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</si>
  <si>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</si>
  <si>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</si>
  <si>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</si>
  <si>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</si>
  <si>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</si>
  <si>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</si>
  <si>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</si>
  <si>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</si>
  <si>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</si>
  <si>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</si>
  <si>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</si>
  <si>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</si>
  <si>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</si>
  <si>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</si>
  <si>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</si>
  <si>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</si>
  <si>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</si>
  <si>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</si>
  <si>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</si>
  <si>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</si>
  <si>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</si>
  <si>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</si>
  <si>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</si>
  <si>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</si>
  <si>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</si>
  <si>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</si>
  <si>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</si>
  <si>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</si>
  <si>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</si>
  <si>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</si>
  <si>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</si>
  <si>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</si>
  <si>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</si>
  <si>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</si>
  <si>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</si>
  <si>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</si>
  <si>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</si>
  <si>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</si>
  <si>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</si>
  <si>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</si>
  <si>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</si>
  <si>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</si>
  <si>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</si>
  <si>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</si>
  <si>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</si>
  <si>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</si>
  <si>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</si>
  <si>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</si>
  <si>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</si>
  <si>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</si>
  <si>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</si>
  <si>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</si>
  <si>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</si>
  <si>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</si>
  <si>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</si>
  <si>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</si>
  <si>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</si>
  <si>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</si>
  <si>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</si>
  <si>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</si>
  <si>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</si>
  <si>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</si>
  <si>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</si>
  <si>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</si>
  <si>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</si>
  <si>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</si>
  <si>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</si>
  <si>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</si>
  <si>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</si>
  <si>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</si>
  <si>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</si>
  <si>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</si>
  <si>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</si>
  <si>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</si>
  <si>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</si>
  <si>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</si>
  <si>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</si>
  <si>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</si>
  <si>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</si>
  <si>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</si>
  <si>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</si>
  <si>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</si>
  <si>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</si>
  <si>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</si>
  <si>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</si>
  <si>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</si>
  <si>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</si>
  <si>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</si>
  <si>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</si>
  <si>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</si>
  <si>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</si>
  <si>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</si>
  <si>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</si>
  <si>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</si>
  <si>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</si>
  <si>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</si>
  <si>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</si>
  <si>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</si>
  <si>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</si>
  <si>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</si>
  <si>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</si>
  <si>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</si>
  <si>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</si>
  <si>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</si>
  <si>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</si>
  <si>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</si>
  <si>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</si>
  <si>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</si>
  <si>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</si>
  <si>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</si>
  <si>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</si>
  <si>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</si>
  <si>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</si>
  <si>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</si>
  <si>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</si>
  <si>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</si>
  <si>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</si>
  <si>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</si>
  <si>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</si>
  <si>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</si>
  <si>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</si>
  <si>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</si>
  <si>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</si>
  <si>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</si>
  <si>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</si>
  <si>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</si>
  <si>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</si>
  <si>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</si>
  <si>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</si>
  <si>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</si>
  <si>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</si>
  <si>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</si>
  <si>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</si>
  <si>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</si>
  <si>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</si>
  <si>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</si>
  <si>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</si>
  <si>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</si>
  <si>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</si>
  <si>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</si>
  <si>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</si>
  <si>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</si>
  <si>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</si>
  <si>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</si>
  <si>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</si>
  <si>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</si>
  <si>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</si>
  <si>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</si>
  <si>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</si>
  <si>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</si>
  <si>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</si>
  <si>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</si>
  <si>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</si>
  <si>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</si>
  <si>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</si>
  <si>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</si>
  <si>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</si>
  <si>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</si>
  <si>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</si>
  <si>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</si>
  <si>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</si>
  <si>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</si>
  <si>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</si>
  <si>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</si>
  <si>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</si>
  <si>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</si>
  <si>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</si>
  <si>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</si>
  <si>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</si>
  <si>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</si>
  <si>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</si>
  <si>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</si>
  <si>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</si>
  <si>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</si>
  <si>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</si>
  <si>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</si>
  <si>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</si>
  <si>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</si>
  <si>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</si>
  <si>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</si>
  <si>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</si>
  <si>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</si>
  <si>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</si>
  <si>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</si>
  <si>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</si>
  <si>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</si>
  <si>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</si>
  <si>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</si>
  <si>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</si>
  <si>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</si>
  <si>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</si>
  <si>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</si>
  <si>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</si>
  <si>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</si>
  <si>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</si>
  <si>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</si>
  <si>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</si>
  <si>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</si>
  <si>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</si>
  <si>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</si>
  <si>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</si>
  <si>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</si>
  <si>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</si>
  <si>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</si>
  <si>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</si>
  <si>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</si>
  <si>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</si>
  <si>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</si>
  <si>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</si>
  <si>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</si>
  <si>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</si>
  <si>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</si>
  <si>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</si>
  <si>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</si>
  <si>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</si>
  <si>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</si>
  <si>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</si>
  <si>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</si>
  <si>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</si>
  <si>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</si>
  <si>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</si>
  <si>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</si>
  <si>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</si>
  <si>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</si>
  <si>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</si>
  <si>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</si>
  <si>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</si>
  <si>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</si>
  <si>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</si>
  <si>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</si>
  <si>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</si>
  <si>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</si>
  <si>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</si>
  <si>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</si>
  <si>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</si>
  <si>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</si>
  <si>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</si>
  <si>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</si>
  <si>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</si>
  <si>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</si>
  <si>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</si>
  <si>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</si>
  <si>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</si>
  <si>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</si>
  <si>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</si>
  <si>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</si>
  <si>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Customer Age</t>
  </si>
  <si>
    <t>Delivery time(D)</t>
  </si>
  <si>
    <t>Delivery status</t>
  </si>
  <si>
    <t>Supplier</t>
  </si>
  <si>
    <t>Cost_price</t>
  </si>
  <si>
    <t>Warranty</t>
  </si>
  <si>
    <t>Total Sales Amnt for completed electronics product=</t>
  </si>
  <si>
    <t>Total Sales Amnt Genrated by neha in north=</t>
  </si>
  <si>
    <t>No.of Orders where disc&gt;=15% payment mode is UPI=</t>
  </si>
  <si>
    <t>Count of orders with rating of 5 and completed order=</t>
  </si>
  <si>
    <t>Avg of sales in west region of quantity&gt;5=</t>
  </si>
  <si>
    <t>AVERAGE sales amnt=</t>
  </si>
  <si>
    <t>MEDIAN sales amnt=</t>
  </si>
  <si>
    <t>LARGEST sales amnt=</t>
  </si>
  <si>
    <t>SMALLEST sales amnt=</t>
  </si>
  <si>
    <t>STANDARD DEVIATION of sales amnt=</t>
  </si>
  <si>
    <t>90th percentile of sales amnt=</t>
  </si>
  <si>
    <t>this number represents the threshold where 90% of sales fall below it and the top 10% sit above it.</t>
  </si>
  <si>
    <t>Total revenue</t>
  </si>
  <si>
    <t>Discounted amnt</t>
  </si>
  <si>
    <t xml:space="preserve"> the weighted average Unit Price</t>
  </si>
  <si>
    <t>total sales=</t>
  </si>
  <si>
    <t>total rvenue=</t>
  </si>
  <si>
    <t>the differnce amnt in total revenue and total sales=</t>
  </si>
  <si>
    <t>future value of investment</t>
  </si>
  <si>
    <t>monthly investment required</t>
  </si>
  <si>
    <t>Monthly EMI</t>
  </si>
  <si>
    <t>DATE_BIN(MONTHS)</t>
  </si>
  <si>
    <t>Not assigned</t>
  </si>
  <si>
    <t>TOTAL SALES=</t>
  </si>
  <si>
    <t>Sum of Sales</t>
  </si>
  <si>
    <t>TOTAL ORDERS=</t>
  </si>
  <si>
    <t>(blank)</t>
  </si>
  <si>
    <t>AVERAGE SALES PER ORDER=</t>
  </si>
  <si>
    <t>Grand Total</t>
  </si>
  <si>
    <t>Cost_Price</t>
  </si>
  <si>
    <t>Warranty_Months</t>
  </si>
  <si>
    <t>TechHub</t>
  </si>
  <si>
    <t>Global Trade</t>
  </si>
  <si>
    <t>ABC Corp</t>
  </si>
  <si>
    <t>Prime Supplies</t>
  </si>
  <si>
    <t>Membership</t>
  </si>
  <si>
    <t>State</t>
  </si>
  <si>
    <t>Silver</t>
  </si>
  <si>
    <t>RJ</t>
  </si>
  <si>
    <t>Platinum</t>
  </si>
  <si>
    <t>WB</t>
  </si>
  <si>
    <t>Gold</t>
  </si>
  <si>
    <t>DL</t>
  </si>
  <si>
    <t>KA</t>
  </si>
  <si>
    <t>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</si>
</sst>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439]* #,##0.00_ ;_ [$₹-439]* \-#,##0.00_ ;_ [$₹-439]* &quot;-&quot;??_ ;_ @_ "/>
    <numFmt numFmtId="165" formatCode="[$₹-439]#,##0.00"/>
    <numFmt numFmtId="166" formatCode="[$₹-439]#,##0.00;[Red][$₹-439]\-#,##0.00"/>
    <numFmt numFmtId="167" formatCode="[$₹-439]#,##0.00;[Red][$₹-439]#,##0.00"/>
    <numFmt numFmtId="168" formatCode="[$₹-439]#,##0;[Red][$₹-439]#,##0"/>
    <numFmt numFmtId="169" formatCode="dd/mm/yyyy;@"/>
  </numFmts>
  <fonts count="17">
    <font>
      <sz val="11"/>
      <color theme="1"/>
      <name val="Aptos Narrow"/>
      <family val="2"/>
      <scheme val="minor"/>
    </font>
    <font>
      <sz val="11"/>
      <color theme="1"/>
      <name val="Aptos Narrow"/>
      <scheme val="minor"/>
    </font>
    <font>
      <b/>
      <sz val="11"/>
      <color theme="0"/>
      <name val="Aptos Narrow"/>
      <family val="2"/>
      <scheme val="minor"/>
    </font>
    <font>
      <u/>
      <sz val="11"/>
      <color theme="10"/>
      <name val="Aptos Narrow"/>
      <family val="2"/>
      <scheme val="minor"/>
    </font>
    <font>
      <b/>
      <sz val="11"/>
      <color theme="1"/>
      <name val="Aptos Narrow"/>
      <family val="2"/>
      <scheme val="minor"/>
    </font>
    <font>
      <b/>
      <sz val="9"/>
      <color theme="1"/>
      <name val="Aptos Narrow"/>
      <family val="2"/>
      <scheme val="minor"/>
    </font>
    <font>
      <b/>
      <sz val="8"/>
      <color theme="1"/>
      <name val="Aptos Narrow"/>
      <family val="2"/>
      <scheme val="minor"/>
    </font>
    <font>
      <b/>
      <sz val="8.5"/>
      <color theme="1"/>
      <name val="Aptos Narrow"/>
      <family val="2"/>
      <scheme val="minor"/>
    </font>
    <font>
      <sz val="10"/>
      <color theme="1"/>
      <name val="Aptos Narrow"/>
      <family val="2"/>
      <scheme val="minor"/>
    </font>
    <font>
      <b/>
      <sz val="11"/>
      <color theme="1"/>
      <name val="Aptos Narrow"/>
      <scheme val="minor"/>
    </font>
    <font>
      <b/>
      <sz val="11"/>
      <color rgb="FFC00000"/>
      <name val="Aptos Narrow"/>
      <family val="2"/>
      <scheme val="minor"/>
    </font>
    <font>
      <b/>
      <sz val="8.5"/>
      <color theme="1"/>
      <name val="Aptos Narrow"/>
      <scheme val="minor"/>
    </font>
    <font>
      <b/>
      <sz val="10"/>
      <color theme="1"/>
      <name val="Aptos Narrow"/>
      <scheme val="minor"/>
    </font>
    <font>
      <b/>
      <sz val="10"/>
      <color theme="9" tint="-0.249977111117893"/>
      <name val="Aptos Narrow"/>
      <family val="2"/>
      <scheme val="minor"/>
    </font>
    <font>
      <b/>
      <sz val="10"/>
      <color theme="1"/>
      <name val="Aptos Narrow"/>
      <family val="2"/>
      <scheme val="minor"/>
    </font>
    <font>
      <sz val="11"/>
      <color theme="1"/>
      <name val="Aptos Narrow"/>
      <family val="2"/>
      <scheme val="minor"/>
    </font>
    <font>
      <sz val="11"/>
      <color theme="0"/>
      <name val="Aptos Narrow"/>
      <family val="2"/>
      <scheme val="minor"/>
    </font>
  </fonts>
  <fills count="21">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EBB7B7"/>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4"/>
      </patternFill>
    </fill>
    <fill>
      <patternFill patternType="solid">
        <fgColor theme="4" tint="0.59999389629810485"/>
        <bgColor indexed="65"/>
      </patternFill>
    </fill>
  </fills>
  <borders count="43">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rgb="FF000000"/>
      </left>
      <right style="thin">
        <color rgb="FF000000"/>
      </right>
      <top/>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0" fontId="3"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cellStyleXfs>
  <cellXfs count="163">
    <xf numFmtId="0" fontId="0" fillId="0" borderId="0" xfId="0"/>
    <xf numFmtId="0" fontId="2" fillId="2" borderId="1" xfId="0" applyFont="1" applyFill="1" applyBorder="1"/>
    <xf numFmtId="0" fontId="2" fillId="2" borderId="2" xfId="0" applyFont="1" applyFill="1" applyBorder="1"/>
    <xf numFmtId="0" fontId="0" fillId="3" borderId="3" xfId="0" applyFill="1" applyBorder="1"/>
    <xf numFmtId="0" fontId="0" fillId="3" borderId="4" xfId="0" applyFill="1" applyBorder="1"/>
    <xf numFmtId="0" fontId="3"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3"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2" fillId="2" borderId="2" xfId="0" applyNumberFormat="1" applyFont="1" applyFill="1" applyBorder="1"/>
    <xf numFmtId="0" fontId="0" fillId="3" borderId="4" xfId="0" applyNumberFormat="1" applyFill="1" applyBorder="1"/>
    <xf numFmtId="0" fontId="0" fillId="4" borderId="4" xfId="0" applyNumberFormat="1" applyFill="1" applyBorder="1"/>
    <xf numFmtId="0" fontId="0" fillId="4" borderId="6" xfId="0" applyNumberFormat="1" applyFill="1" applyBorder="1"/>
    <xf numFmtId="0" fontId="0" fillId="0" borderId="0" xfId="0" applyNumberFormat="1"/>
    <xf numFmtId="0" fontId="0" fillId="0" borderId="7" xfId="0" applyBorder="1"/>
    <xf numFmtId="0" fontId="2" fillId="2" borderId="8" xfId="0" applyFont="1" applyFill="1" applyBorder="1"/>
    <xf numFmtId="0" fontId="0" fillId="3" borderId="9" xfId="0" applyFill="1" applyBorder="1"/>
    <xf numFmtId="0" fontId="0" fillId="4" borderId="9" xfId="0" applyFill="1" applyBorder="1"/>
    <xf numFmtId="0" fontId="0" fillId="4" borderId="10" xfId="0" applyFill="1" applyBorder="1"/>
    <xf numFmtId="0" fontId="0" fillId="0" borderId="11" xfId="0" applyBorder="1"/>
    <xf numFmtId="0" fontId="4" fillId="0" borderId="12" xfId="0" applyFont="1" applyBorder="1"/>
    <xf numFmtId="0" fontId="4" fillId="0" borderId="13" xfId="0" applyFont="1" applyBorder="1"/>
    <xf numFmtId="0" fontId="4" fillId="0" borderId="14" xfId="0" applyFont="1" applyBorder="1"/>
    <xf numFmtId="0" fontId="0" fillId="0" borderId="15" xfId="0" applyBorder="1"/>
    <xf numFmtId="0" fontId="0" fillId="0" borderId="0" xfId="0" applyBorder="1"/>
    <xf numFmtId="14" fontId="2" fillId="2" borderId="2" xfId="0" applyNumberFormat="1" applyFont="1" applyFill="1" applyBorder="1"/>
    <xf numFmtId="14" fontId="0" fillId="3" borderId="4" xfId="0" applyNumberFormat="1" applyFill="1" applyBorder="1"/>
    <xf numFmtId="14" fontId="0" fillId="4" borderId="4" xfId="0" applyNumberFormat="1" applyFill="1" applyBorder="1"/>
    <xf numFmtId="14" fontId="0" fillId="4" borderId="6" xfId="0" applyNumberFormat="1" applyFill="1" applyBorder="1"/>
    <xf numFmtId="14" fontId="0" fillId="0" borderId="0" xfId="0" applyNumberFormat="1"/>
    <xf numFmtId="0" fontId="0" fillId="0" borderId="0" xfId="0" applyNumberFormat="1" applyBorder="1"/>
    <xf numFmtId="0" fontId="4" fillId="0" borderId="0" xfId="0" applyFont="1"/>
    <xf numFmtId="0" fontId="4" fillId="0" borderId="16" xfId="0" applyFont="1" applyBorder="1"/>
    <xf numFmtId="0" fontId="4" fillId="0" borderId="17" xfId="0" applyFont="1" applyBorder="1"/>
    <xf numFmtId="0" fontId="4" fillId="0" borderId="18" xfId="0" applyFont="1" applyBorder="1"/>
    <xf numFmtId="0" fontId="0" fillId="0" borderId="19" xfId="0" applyBorder="1"/>
    <xf numFmtId="0" fontId="0" fillId="0" borderId="20" xfId="0" applyBorder="1"/>
    <xf numFmtId="0" fontId="4" fillId="0" borderId="23" xfId="0" applyFont="1" applyBorder="1"/>
    <xf numFmtId="0" fontId="4" fillId="0" borderId="24" xfId="0" applyFont="1" applyBorder="1"/>
    <xf numFmtId="0" fontId="4" fillId="0" borderId="25" xfId="0" applyFont="1" applyBorder="1"/>
    <xf numFmtId="0" fontId="8" fillId="0" borderId="20" xfId="0" applyFont="1" applyBorder="1"/>
    <xf numFmtId="0" fontId="4" fillId="0" borderId="30" xfId="0" applyFont="1" applyBorder="1"/>
    <xf numFmtId="0" fontId="0" fillId="0" borderId="23" xfId="0" applyBorder="1"/>
    <xf numFmtId="0" fontId="0" fillId="0" borderId="24" xfId="0" applyBorder="1"/>
    <xf numFmtId="0" fontId="0" fillId="0" borderId="25" xfId="0" applyBorder="1"/>
    <xf numFmtId="0" fontId="1" fillId="10" borderId="0" xfId="2" applyBorder="1"/>
    <xf numFmtId="0" fontId="1" fillId="11" borderId="0" xfId="3" applyBorder="1"/>
    <xf numFmtId="0" fontId="1" fillId="12" borderId="0" xfId="4" applyBorder="1"/>
    <xf numFmtId="0" fontId="1" fillId="13" borderId="0" xfId="5" applyBorder="1"/>
    <xf numFmtId="164" fontId="1" fillId="10" borderId="0" xfId="2" applyNumberFormat="1" applyBorder="1" applyAlignment="1">
      <alignment horizontal="center" vertical="center"/>
    </xf>
    <xf numFmtId="165" fontId="1" fillId="11" borderId="0" xfId="3" applyNumberFormat="1" applyBorder="1" applyAlignment="1">
      <alignment horizontal="center" vertical="center"/>
    </xf>
    <xf numFmtId="165" fontId="1" fillId="12" borderId="0" xfId="4" applyNumberFormat="1" applyBorder="1" applyAlignment="1">
      <alignment horizontal="center" vertical="center"/>
    </xf>
    <xf numFmtId="165" fontId="1" fillId="13" borderId="0" xfId="5" applyNumberFormat="1" applyBorder="1" applyAlignment="1">
      <alignment horizontal="center" vertical="center"/>
    </xf>
    <xf numFmtId="165" fontId="0" fillId="0" borderId="31" xfId="0" applyNumberFormat="1" applyBorder="1"/>
    <xf numFmtId="165" fontId="0" fillId="0" borderId="20" xfId="0" applyNumberFormat="1" applyBorder="1"/>
    <xf numFmtId="165" fontId="0" fillId="0" borderId="20" xfId="0" applyNumberFormat="1" applyBorder="1" applyAlignment="1">
      <alignment horizontal="center" vertical="center"/>
    </xf>
    <xf numFmtId="165" fontId="0" fillId="0" borderId="0" xfId="0" applyNumberFormat="1" applyBorder="1"/>
    <xf numFmtId="165" fontId="4" fillId="0" borderId="0" xfId="0" applyNumberFormat="1" applyFont="1" applyBorder="1"/>
    <xf numFmtId="165" fontId="1" fillId="12" borderId="20" xfId="4" applyNumberFormat="1" applyBorder="1" applyAlignment="1">
      <alignment horizontal="center" vertical="center"/>
    </xf>
    <xf numFmtId="0" fontId="0" fillId="0" borderId="0" xfId="0" applyBorder="1" applyAlignment="1">
      <alignment horizontal="center" vertical="center"/>
    </xf>
    <xf numFmtId="0" fontId="4" fillId="0" borderId="20" xfId="0" applyFont="1" applyBorder="1"/>
    <xf numFmtId="0" fontId="0" fillId="17" borderId="4" xfId="0" applyFill="1" applyBorder="1"/>
    <xf numFmtId="0" fontId="0" fillId="18" borderId="4" xfId="0" applyFill="1" applyBorder="1"/>
    <xf numFmtId="169" fontId="2" fillId="2" borderId="2" xfId="0" applyNumberFormat="1" applyFont="1" applyFill="1" applyBorder="1"/>
    <xf numFmtId="169" fontId="0" fillId="3" borderId="4" xfId="0" applyNumberFormat="1" applyFill="1" applyBorder="1"/>
    <xf numFmtId="169" fontId="0" fillId="4" borderId="4" xfId="0" applyNumberFormat="1" applyFill="1" applyBorder="1"/>
    <xf numFmtId="169" fontId="0" fillId="0" borderId="0" xfId="0" applyNumberFormat="1"/>
    <xf numFmtId="0" fontId="0" fillId="0" borderId="0" xfId="0" applyAlignment="1">
      <alignment horizontal="center" vertical="center"/>
    </xf>
    <xf numFmtId="0" fontId="0" fillId="0" borderId="38" xfId="0" applyBorder="1"/>
    <xf numFmtId="0" fontId="0" fillId="0" borderId="39" xfId="0" applyBorder="1"/>
    <xf numFmtId="0" fontId="0" fillId="0" borderId="35" xfId="0" pivotButton="1" applyBorder="1"/>
    <xf numFmtId="0" fontId="0" fillId="0" borderId="36" xfId="0" applyBorder="1"/>
    <xf numFmtId="0" fontId="0" fillId="0" borderId="37" xfId="0" applyBorder="1"/>
    <xf numFmtId="0" fontId="0" fillId="0" borderId="40" xfId="0" applyBorder="1"/>
    <xf numFmtId="0" fontId="0" fillId="0" borderId="41" xfId="0" applyBorder="1"/>
    <xf numFmtId="0" fontId="0" fillId="0" borderId="42" xfId="0" applyBorder="1"/>
    <xf numFmtId="0" fontId="0" fillId="0" borderId="39" xfId="0" applyNumberFormat="1" applyBorder="1"/>
    <xf numFmtId="0" fontId="0" fillId="0" borderId="42" xfId="0" applyNumberFormat="1" applyBorder="1"/>
    <xf numFmtId="0" fontId="5" fillId="9" borderId="2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5" fillId="9" borderId="28"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8" fillId="9" borderId="27" xfId="0" applyFont="1" applyFill="1" applyBorder="1" applyAlignment="1">
      <alignment horizontal="center" vertical="center"/>
    </xf>
    <xf numFmtId="0" fontId="8" fillId="9" borderId="29" xfId="0" applyFont="1" applyFill="1" applyBorder="1" applyAlignment="1">
      <alignment horizontal="center" vertical="center"/>
    </xf>
    <xf numFmtId="0" fontId="7" fillId="8" borderId="26" xfId="0" applyFont="1" applyFill="1" applyBorder="1" applyAlignment="1">
      <alignment horizontal="center" vertical="center" wrapText="1"/>
    </xf>
    <xf numFmtId="0" fontId="7" fillId="8" borderId="21"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7" fillId="8" borderId="22" xfId="0" applyFont="1" applyFill="1" applyBorder="1" applyAlignment="1">
      <alignment horizontal="center" vertical="center" wrapText="1"/>
    </xf>
    <xf numFmtId="0" fontId="6" fillId="5" borderId="26" xfId="0" applyFont="1" applyFill="1" applyBorder="1" applyAlignment="1">
      <alignment horizontal="center" wrapText="1"/>
    </xf>
    <xf numFmtId="0" fontId="6" fillId="5" borderId="21" xfId="0" applyFont="1" applyFill="1" applyBorder="1" applyAlignment="1">
      <alignment horizontal="center" wrapText="1"/>
    </xf>
    <xf numFmtId="0" fontId="6" fillId="5" borderId="28" xfId="0" applyFont="1" applyFill="1" applyBorder="1" applyAlignment="1">
      <alignment horizontal="center" wrapText="1"/>
    </xf>
    <xf numFmtId="0" fontId="6" fillId="5" borderId="22" xfId="0" applyFont="1" applyFill="1" applyBorder="1" applyAlignment="1">
      <alignment horizontal="center" wrapText="1"/>
    </xf>
    <xf numFmtId="0" fontId="7" fillId="6" borderId="26"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8" fillId="6" borderId="27" xfId="0" applyFont="1" applyFill="1" applyBorder="1" applyAlignment="1">
      <alignment horizontal="center" vertical="center"/>
    </xf>
    <xf numFmtId="0" fontId="8" fillId="6" borderId="29" xfId="0" applyFont="1" applyFill="1" applyBorder="1" applyAlignment="1">
      <alignment horizontal="center" vertical="center"/>
    </xf>
    <xf numFmtId="0" fontId="8" fillId="5" borderId="27" xfId="0" applyFont="1" applyFill="1" applyBorder="1" applyAlignment="1">
      <alignment horizontal="center" vertical="center"/>
    </xf>
    <xf numFmtId="0" fontId="8" fillId="5" borderId="29" xfId="0" applyFont="1" applyFill="1" applyBorder="1" applyAlignment="1">
      <alignment horizontal="center" vertical="center"/>
    </xf>
    <xf numFmtId="0" fontId="6" fillId="7" borderId="26"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7" borderId="28" xfId="0" applyFont="1" applyFill="1" applyBorder="1" applyAlignment="1">
      <alignment horizontal="center" vertical="center" wrapText="1"/>
    </xf>
    <xf numFmtId="0" fontId="6" fillId="7" borderId="22" xfId="0" applyFont="1" applyFill="1" applyBorder="1" applyAlignment="1">
      <alignment horizontal="center" vertical="center" wrapText="1"/>
    </xf>
    <xf numFmtId="0" fontId="8" fillId="7" borderId="27" xfId="0" applyFont="1" applyFill="1" applyBorder="1" applyAlignment="1">
      <alignment horizontal="center" vertical="center"/>
    </xf>
    <xf numFmtId="0" fontId="8" fillId="7" borderId="29" xfId="0" applyFont="1" applyFill="1" applyBorder="1" applyAlignment="1">
      <alignment horizontal="center" vertical="center"/>
    </xf>
    <xf numFmtId="0" fontId="8" fillId="8" borderId="27" xfId="0" applyFont="1" applyFill="1" applyBorder="1" applyAlignment="1">
      <alignment horizontal="center" vertical="center" wrapText="1"/>
    </xf>
    <xf numFmtId="0" fontId="8" fillId="8" borderId="29" xfId="0" applyFont="1" applyFill="1" applyBorder="1" applyAlignment="1">
      <alignment horizontal="center" vertical="center" wrapText="1"/>
    </xf>
    <xf numFmtId="0" fontId="1" fillId="14" borderId="0" xfId="6" applyBorder="1" applyAlignment="1">
      <alignment horizontal="center" wrapText="1"/>
    </xf>
    <xf numFmtId="165" fontId="1" fillId="14" borderId="0" xfId="6" applyNumberFormat="1" applyBorder="1" applyAlignment="1">
      <alignment horizontal="center" vertical="center"/>
    </xf>
    <xf numFmtId="0" fontId="1" fillId="15" borderId="0" xfId="7" applyBorder="1" applyAlignment="1">
      <alignment horizontal="center" vertical="center" wrapText="1"/>
    </xf>
    <xf numFmtId="0" fontId="10" fillId="0" borderId="26"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9" xfId="0" applyFont="1" applyBorder="1" applyAlignment="1">
      <alignment horizontal="center" vertical="center" wrapText="1"/>
    </xf>
    <xf numFmtId="165" fontId="1" fillId="15" borderId="0" xfId="7" applyNumberFormat="1" applyBorder="1" applyAlignment="1">
      <alignment horizontal="center" vertical="center"/>
    </xf>
    <xf numFmtId="0" fontId="12" fillId="10" borderId="23" xfId="2" applyFont="1" applyBorder="1" applyAlignment="1">
      <alignment horizontal="center" wrapText="1"/>
    </xf>
    <xf numFmtId="0" fontId="12" fillId="10" borderId="24" xfId="2" applyFont="1" applyBorder="1" applyAlignment="1">
      <alignment horizontal="center" wrapText="1"/>
    </xf>
    <xf numFmtId="0" fontId="12" fillId="10" borderId="32" xfId="2" applyFont="1" applyBorder="1" applyAlignment="1">
      <alignment horizontal="center" wrapText="1"/>
    </xf>
    <xf numFmtId="0" fontId="12" fillId="10" borderId="33" xfId="2" applyFont="1" applyBorder="1" applyAlignment="1">
      <alignment horizontal="center" wrapText="1"/>
    </xf>
    <xf numFmtId="165" fontId="1" fillId="10" borderId="25" xfId="2" applyNumberFormat="1" applyBorder="1" applyAlignment="1">
      <alignment horizontal="center" vertical="center"/>
    </xf>
    <xf numFmtId="165" fontId="1" fillId="10" borderId="34" xfId="2" applyNumberFormat="1" applyBorder="1" applyAlignment="1">
      <alignment horizontal="center" vertical="center"/>
    </xf>
    <xf numFmtId="0" fontId="11" fillId="10" borderId="23" xfId="2" applyFont="1" applyBorder="1" applyAlignment="1">
      <alignment horizontal="center" vertical="center" wrapText="1"/>
    </xf>
    <xf numFmtId="0" fontId="11" fillId="10" borderId="24" xfId="2" applyFont="1" applyBorder="1" applyAlignment="1">
      <alignment horizontal="center" vertical="center" wrapText="1"/>
    </xf>
    <xf numFmtId="0" fontId="11" fillId="10" borderId="32" xfId="2" applyFont="1" applyBorder="1" applyAlignment="1">
      <alignment horizontal="center" vertical="center" wrapText="1"/>
    </xf>
    <xf numFmtId="0" fontId="11" fillId="10" borderId="33" xfId="2" applyFont="1" applyBorder="1" applyAlignment="1">
      <alignment horizontal="center" vertical="center" wrapText="1"/>
    </xf>
    <xf numFmtId="0" fontId="9" fillId="12" borderId="19" xfId="4" applyFont="1" applyBorder="1" applyAlignment="1">
      <alignment horizontal="center" wrapText="1"/>
    </xf>
    <xf numFmtId="0" fontId="9" fillId="12" borderId="0" xfId="4" applyFont="1"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19" xfId="0" applyBorder="1" applyAlignment="1">
      <alignment horizontal="center" wrapText="1"/>
    </xf>
    <xf numFmtId="0" fontId="0" fillId="0" borderId="0" xfId="0" applyBorder="1" applyAlignment="1">
      <alignment horizontal="center" wrapText="1"/>
    </xf>
    <xf numFmtId="166" fontId="13" fillId="16" borderId="25" xfId="0" applyNumberFormat="1" applyFont="1" applyFill="1" applyBorder="1" applyAlignment="1">
      <alignment horizontal="center" vertical="center"/>
    </xf>
    <xf numFmtId="166" fontId="13" fillId="16" borderId="20" xfId="0" applyNumberFormat="1" applyFont="1" applyFill="1" applyBorder="1" applyAlignment="1">
      <alignment horizontal="center" vertical="center"/>
    </xf>
    <xf numFmtId="167" fontId="9" fillId="6" borderId="20" xfId="2" applyNumberFormat="1" applyFont="1" applyFill="1" applyBorder="1" applyAlignment="1">
      <alignment horizontal="center" vertical="center"/>
    </xf>
    <xf numFmtId="0" fontId="0" fillId="0" borderId="19" xfId="0" applyBorder="1" applyAlignment="1">
      <alignment horizontal="center" vertical="center"/>
    </xf>
    <xf numFmtId="0" fontId="0" fillId="0" borderId="0"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8" fontId="14" fillId="6" borderId="20" xfId="0" applyNumberFormat="1" applyFont="1" applyFill="1" applyBorder="1" applyAlignment="1">
      <alignment horizontal="center" vertical="center"/>
    </xf>
    <xf numFmtId="168" fontId="14" fillId="6" borderId="34" xfId="0" applyNumberFormat="1" applyFont="1" applyFill="1" applyBorder="1" applyAlignment="1">
      <alignment horizontal="center" vertical="center"/>
    </xf>
    <xf numFmtId="0" fontId="16" fillId="19" borderId="35" xfId="8" applyBorder="1" applyAlignment="1">
      <alignment horizontal="center" vertical="center" wrapText="1"/>
    </xf>
    <xf numFmtId="0" fontId="16" fillId="19" borderId="36" xfId="8" applyBorder="1" applyAlignment="1">
      <alignment horizontal="center" vertical="center" wrapText="1"/>
    </xf>
    <xf numFmtId="0" fontId="16" fillId="19" borderId="38" xfId="8" applyBorder="1" applyAlignment="1">
      <alignment horizontal="center" vertical="center" wrapText="1"/>
    </xf>
    <xf numFmtId="0" fontId="16" fillId="19" borderId="0" xfId="8" applyBorder="1" applyAlignment="1">
      <alignment horizontal="center" vertical="center" wrapText="1"/>
    </xf>
    <xf numFmtId="0" fontId="16" fillId="19" borderId="37" xfId="8" applyBorder="1" applyAlignment="1">
      <alignment horizontal="center" vertical="center"/>
    </xf>
    <xf numFmtId="0" fontId="16" fillId="19" borderId="39" xfId="8" applyBorder="1" applyAlignment="1">
      <alignment horizontal="center" vertical="center"/>
    </xf>
    <xf numFmtId="0" fontId="15" fillId="20" borderId="38" xfId="9" applyBorder="1" applyAlignment="1">
      <alignment horizontal="center" vertical="center"/>
    </xf>
    <xf numFmtId="0" fontId="15" fillId="20" borderId="0" xfId="9" applyBorder="1" applyAlignment="1">
      <alignment horizontal="center" vertical="center"/>
    </xf>
    <xf numFmtId="0" fontId="15" fillId="20" borderId="39" xfId="9" applyBorder="1" applyAlignment="1">
      <alignment horizontal="center" vertical="center"/>
    </xf>
    <xf numFmtId="0" fontId="1" fillId="10" borderId="38" xfId="2" applyBorder="1" applyAlignment="1">
      <alignment horizontal="center" vertical="center" wrapText="1"/>
    </xf>
    <xf numFmtId="0" fontId="1" fillId="10" borderId="0" xfId="2" applyBorder="1" applyAlignment="1">
      <alignment horizontal="center" vertical="center" wrapText="1"/>
    </xf>
    <xf numFmtId="0" fontId="1" fillId="10" borderId="40" xfId="2" applyBorder="1" applyAlignment="1">
      <alignment horizontal="center" vertical="center" wrapText="1"/>
    </xf>
    <xf numFmtId="0" fontId="1" fillId="10" borderId="41" xfId="2" applyBorder="1" applyAlignment="1">
      <alignment horizontal="center" vertical="center" wrapText="1"/>
    </xf>
    <xf numFmtId="0" fontId="1" fillId="10" borderId="39" xfId="2" applyBorder="1" applyAlignment="1">
      <alignment horizontal="center" vertical="center"/>
    </xf>
    <xf numFmtId="0" fontId="1" fillId="10" borderId="42" xfId="2" applyBorder="1" applyAlignment="1">
      <alignment horizontal="center" vertical="center"/>
    </xf>
  </cellXfs>
  <cellStyles count="10">
    <cellStyle name="20% - Accent1" xfId="2" builtinId="30"/>
    <cellStyle name="20% - Accent2" xfId="3" builtinId="34"/>
    <cellStyle name="20% - Accent3" xfId="4" builtinId="38"/>
    <cellStyle name="20% - Accent4" xfId="5" builtinId="42"/>
    <cellStyle name="20% - Accent5" xfId="6" builtinId="46"/>
    <cellStyle name="20% - Accent6" xfId="7" builtinId="50"/>
    <cellStyle name="40% - Accent1" xfId="9" builtinId="31"/>
    <cellStyle name="Accent1" xfId="8" builtinId="29"/>
    <cellStyle name="Hyperlink" xfId="1" builtinId="8"/>
    <cellStyle name="Normal" xfId="0" builtinId="0"/>
  </cellStyles>
  <dxfs count="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ont>
        <color rgb="FF9C5700"/>
      </font>
      <fill>
        <patternFill>
          <bgColor rgb="FFFFEB9C"/>
        </patternFill>
      </fill>
    </dxf>
    <dxf>
      <numFmt numFmtId="165" formatCode="[$₹-439]#,##0.00"/>
    </dxf>
    <dxf>
      <border outline="0">
        <left style="medium">
          <color rgb="FF000000"/>
        </left>
        <right style="medium">
          <color rgb="FF000000"/>
        </right>
        <top style="medium">
          <color rgb="FF000000"/>
        </top>
      </border>
    </dxf>
    <dxf>
      <font>
        <b/>
        <i val="0"/>
        <strike val="0"/>
        <condense val="0"/>
        <extend val="0"/>
        <outline val="0"/>
        <shadow val="0"/>
        <u val="none"/>
        <vertAlign val="baseline"/>
        <sz val="11"/>
        <color theme="1"/>
        <name val="Aptos Narrow"/>
        <scheme val="minor"/>
      </font>
      <numFmt numFmtId="165" formatCode="[$₹-439]#,##0.00"/>
    </dxf>
    <dxf>
      <numFmt numFmtId="165" formatCode="[$₹-439]#,##0.00"/>
    </dxf>
    <dxf>
      <border outline="0">
        <left style="medium">
          <color rgb="FF000000"/>
        </left>
        <right style="medium">
          <color rgb="FF000000"/>
        </right>
        <top style="medium">
          <color rgb="FF000000"/>
        </top>
      </border>
    </dxf>
    <dxf>
      <font>
        <b/>
        <i val="0"/>
        <strike val="0"/>
        <condense val="0"/>
        <extend val="0"/>
        <outline val="0"/>
        <shadow val="0"/>
        <u val="none"/>
        <vertAlign val="baseline"/>
        <sz val="11"/>
        <color theme="1"/>
        <name val="Aptos Narrow"/>
        <scheme val="minor"/>
      </font>
      <numFmt numFmtId="165" formatCode="[$₹-439]#,##0.00"/>
    </dxf>
    <dxf>
      <font>
        <color theme="0"/>
      </font>
      <fill>
        <patternFill patternType="solid">
          <bgColor theme="2" tint="-0.89999084444715716"/>
        </patternFill>
      </fill>
    </dxf>
  </dxfs>
  <tableStyles count="0" defaultTableStyle="TableStyleMedium2" defaultPivotStyle="PivotStyleLight16"/>
  <colors>
    <mruColors>
      <color rgb="FFEB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(1).xlsx]Q10)Sales Dashboard!PivotTable1</c:name>
    <c:fmtId val="0"/>
  </c:pivotSource>
  <c:chart>
    <c:title>
      <c:tx>
        <c:rich>
          <a:bodyPr rot="0" spcFirstLastPara="1" vertOverflow="ellipsis" vert="horz" wrap="square" anchor="ctr" anchorCtr="1"/>
          <a:lstStyle/>
          <a:p>
            <a:pPr>
              <a:defRPr sz="1400" b="1" i="0" u="none" strike="noStrike" kern="1200" spc="0" baseline="0">
                <a:solidFill>
                  <a:srgbClr val="BE5014"/>
                </a:solidFill>
                <a:latin typeface="+mn-lt"/>
                <a:ea typeface="+mn-ea"/>
                <a:cs typeface="+mn-cs"/>
              </a:defRPr>
            </a:pPr>
            <a:r>
              <a:rPr lang="en-US"/>
              <a:t>Total sales by Region</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'Q10)Sales Dashboard'!$H$2</c:f>
              <c:strCache>
                <c:ptCount val="1"/>
                <c:pt idx="0">
                  <c:v>Total</c:v>
                </c:pt>
              </c:strCache>
            </c:strRef>
          </c:tx>
          <c:spPr>
            <a:solidFill>
              <a:schemeClr val="accent1"/>
            </a:solidFill>
            <a:ln>
              <a:noFill/>
            </a:ln>
            <a:effectLst/>
          </c:spPr>
          <c:invertIfNegative val="0"/>
          <c:cat>
            <c:strRef>
              <c:f>'Q10)Sales Dashboard'!$G$3:$G$7</c:f>
              <c:strCache>
                <c:ptCount val="4"/>
                <c:pt idx="0">
                  <c:v>East</c:v>
                </c:pt>
                <c:pt idx="1">
                  <c:v>North</c:v>
                </c:pt>
                <c:pt idx="2">
                  <c:v>South</c:v>
                </c:pt>
                <c:pt idx="3">
                  <c:v>West</c:v>
                </c:pt>
              </c:strCache>
            </c:strRef>
          </c:cat>
          <c:val>
            <c:numRef>
              <c:f>'Q10)Sales Dashboard'!$H$3:$H$7</c:f>
              <c:numCache>
                <c:formatCode>General</c:formatCode>
                <c:ptCount val="4"/>
                <c:pt idx="0">
                  <c:v>4265310</c:v>
                </c:pt>
                <c:pt idx="1">
                  <c:v>9975761.75</c:v>
                </c:pt>
                <c:pt idx="2">
                  <c:v>6982841</c:v>
                </c:pt>
                <c:pt idx="3">
                  <c:v>13522054.75</c:v>
                </c:pt>
              </c:numCache>
            </c:numRef>
          </c:val>
          <c:extLst xmlns:c16r2="http://schemas.microsoft.com/office/drawing/2015/06/chart">
            <c:ext xmlns:c16="http://schemas.microsoft.com/office/drawing/2014/chart" uri="{C3380CC4-5D6E-409C-BE32-E72D297353CC}">
              <c16:uniqueId val="{00000000-0CF4-4F5D-8AB6-463DB7097284}"/>
            </c:ext>
          </c:extLst>
        </c:ser>
        <c:dLbls>
          <c:showLegendKey val="0"/>
          <c:showVal val="0"/>
          <c:showCatName val="0"/>
          <c:showSerName val="0"/>
          <c:showPercent val="0"/>
          <c:showBubbleSize val="0"/>
        </c:dLbls>
        <c:gapWidth val="55"/>
        <c:overlap val="100"/>
        <c:axId val="199568000"/>
        <c:axId val="199573888"/>
      </c:barChart>
      <c:catAx>
        <c:axId val="1995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3888"/>
        <c:crosses val="autoZero"/>
        <c:auto val="1"/>
        <c:lblAlgn val="ctr"/>
        <c:lblOffset val="100"/>
        <c:noMultiLvlLbl val="0"/>
      </c:catAx>
      <c:valAx>
        <c:axId val="19957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8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(1).xlsx]Q10)Sales Dashboard!PivotTable2</c:name>
    <c:fmtId val="0"/>
  </c:pivotSource>
  <c:chart>
    <c:title>
      <c:layout/>
      <c:overlay val="0"/>
    </c:title>
    <c:autoTitleDeleted val="0"/>
    <c:pivotFmts>
      <c:pivotFmt>
        <c:idx val="0"/>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1"/>
      </c:pivotFmt>
      <c:pivotFmt>
        <c:idx val="2"/>
      </c:pivotFmt>
      <c:pivotFmt>
        <c:idx val="3"/>
      </c:pivotFmt>
      <c:pivotFmt>
        <c:idx val="4"/>
      </c:pivotFmt>
      <c:pivotFmt>
        <c:idx val="5"/>
      </c:pivotFmt>
    </c:pivotFmts>
    <c:plotArea>
      <c:layout/>
      <c:pieChart>
        <c:varyColors val="1"/>
        <c:ser>
          <c:idx val="0"/>
          <c:order val="0"/>
          <c:tx>
            <c:strRef>
              <c:f>'Q10)Sales Dashboard'!$AE$2</c:f>
              <c:strCache>
                <c:ptCount val="1"/>
                <c:pt idx="0">
                  <c:v>Total</c:v>
                </c:pt>
              </c:strCache>
            </c:strRef>
          </c:tx>
          <c:dPt>
            <c:idx val="0"/>
            <c:bubble3D val="0"/>
            <c:extLst xmlns:c16r2="http://schemas.microsoft.com/office/drawing/2015/06/chart">
              <c:ext xmlns:c16="http://schemas.microsoft.com/office/drawing/2014/chart" uri="{C3380CC4-5D6E-409C-BE32-E72D297353CC}">
                <c16:uniqueId val="{00000001-DF68-4C5D-B8E7-0C1ABDF26CF6}"/>
              </c:ext>
            </c:extLst>
          </c:dPt>
          <c:dPt>
            <c:idx val="1"/>
            <c:bubble3D val="0"/>
            <c:extLst xmlns:c16r2="http://schemas.microsoft.com/office/drawing/2015/06/chart">
              <c:ext xmlns:c16="http://schemas.microsoft.com/office/drawing/2014/chart" uri="{C3380CC4-5D6E-409C-BE32-E72D297353CC}">
                <c16:uniqueId val="{00000003-DF68-4C5D-B8E7-0C1ABDF26CF6}"/>
              </c:ext>
            </c:extLst>
          </c:dPt>
          <c:dPt>
            <c:idx val="2"/>
            <c:bubble3D val="0"/>
            <c:extLst xmlns:c16r2="http://schemas.microsoft.com/office/drawing/2015/06/chart">
              <c:ext xmlns:c16="http://schemas.microsoft.com/office/drawing/2014/chart" uri="{C3380CC4-5D6E-409C-BE32-E72D297353CC}">
                <c16:uniqueId val="{00000005-DF68-4C5D-B8E7-0C1ABDF26CF6}"/>
              </c:ext>
            </c:extLst>
          </c:dPt>
          <c:dPt>
            <c:idx val="3"/>
            <c:bubble3D val="0"/>
            <c:extLst xmlns:c16r2="http://schemas.microsoft.com/office/drawing/2015/06/chart">
              <c:ext xmlns:c16="http://schemas.microsoft.com/office/drawing/2014/chart" uri="{C3380CC4-5D6E-409C-BE32-E72D297353CC}">
                <c16:uniqueId val="{00000007-DF68-4C5D-B8E7-0C1ABDF26CF6}"/>
              </c:ext>
            </c:extLst>
          </c:dPt>
          <c:dPt>
            <c:idx val="4"/>
            <c:bubble3D val="0"/>
            <c:extLst xmlns:c16r2="http://schemas.microsoft.com/office/drawing/2015/06/chart">
              <c:ext xmlns:c16="http://schemas.microsoft.com/office/drawing/2014/chart" uri="{C3380CC4-5D6E-409C-BE32-E72D297353CC}">
                <c16:uniqueId val="{00000009-DF68-4C5D-B8E7-0C1ABDF26CF6}"/>
              </c:ext>
            </c:extLst>
          </c:dPt>
          <c:dLbls>
            <c:spPr/>
            <c:txPr>
              <a:bodyPr/>
              <a:lstStyle/>
              <a:p>
                <a:pPr>
                  <a:defRPr/>
                </a:pPr>
                <a:endParaRPr lang="en-US"/>
              </a:p>
            </c:txPr>
            <c:showLegendKey val="0"/>
            <c:showVal val="0"/>
            <c:showCatName val="0"/>
            <c:showSerName val="0"/>
            <c:showPercent val="1"/>
            <c:showBubbleSize val="0"/>
            <c:showLeaderLines val="1"/>
          </c:dLbls>
          <c:cat>
            <c:strRef>
              <c:f>'Q10)Sales Dashboard'!$AD$3:$AD$8</c:f>
              <c:strCache>
                <c:ptCount val="5"/>
                <c:pt idx="0">
                  <c:v>Electronics</c:v>
                </c:pt>
                <c:pt idx="1">
                  <c:v>Home Appliances</c:v>
                </c:pt>
                <c:pt idx="2">
                  <c:v>Stationary</c:v>
                </c:pt>
                <c:pt idx="3">
                  <c:v>Stationery</c:v>
                </c:pt>
                <c:pt idx="4">
                  <c:v>(blank)</c:v>
                </c:pt>
              </c:strCache>
            </c:strRef>
          </c:cat>
          <c:val>
            <c:numRef>
              <c:f>'Q10)Sales Dashboard'!$AE$3:$AE$8</c:f>
              <c:numCache>
                <c:formatCode>General</c:formatCode>
                <c:ptCount val="5"/>
                <c:pt idx="0">
                  <c:v>14155490.25</c:v>
                </c:pt>
                <c:pt idx="1">
                  <c:v>8724436</c:v>
                </c:pt>
                <c:pt idx="2">
                  <c:v>18360</c:v>
                </c:pt>
                <c:pt idx="3">
                  <c:v>11847681.25</c:v>
                </c:pt>
              </c:numCache>
            </c:numRef>
          </c:val>
          <c:extLst xmlns:c16r2="http://schemas.microsoft.com/office/drawing/2015/06/chart">
            <c:ext xmlns:c16="http://schemas.microsoft.com/office/drawing/2014/chart" uri="{C3380CC4-5D6E-409C-BE32-E72D297353CC}">
              <c16:uniqueId val="{00000000-62CA-433B-A1EC-F59B9E1A528C}"/>
            </c:ext>
          </c:extLst>
        </c:ser>
        <c:dLbls>
          <c:showLegendKey val="0"/>
          <c:showVal val="0"/>
          <c:showCatName val="0"/>
          <c:showSerName val="0"/>
          <c:showPercent val="1"/>
          <c:showBubbleSize val="0"/>
          <c:showLeaderLines val="1"/>
        </c:dLbls>
        <c:firstSliceAng val="0"/>
      </c:pieChart>
    </c:plotArea>
    <c:legend>
      <c:legendPos val="t"/>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(1).xlsx]Q10)Sales Dashboard!PivotTable3</c:name>
    <c:fmtId val="0"/>
  </c:pivotSource>
  <c:chart>
    <c:title>
      <c:tx>
        <c:rich>
          <a:bodyPr/>
          <a:lstStyle/>
          <a:p>
            <a:pPr>
              <a:defRPr/>
            </a:pPr>
            <a:r>
              <a:rPr lang="en-IN"/>
              <a:t>Monthly</a:t>
            </a:r>
            <a:r>
              <a:rPr lang="en-IN" baseline="0"/>
              <a:t> Sales Trend</a:t>
            </a:r>
          </a:p>
        </c:rich>
      </c:tx>
      <c:layout/>
      <c:overlay val="0"/>
    </c:title>
    <c:autoTitleDeleted val="0"/>
    <c:pivotFmts>
      <c:pivotFmt>
        <c:idx val="0"/>
      </c:pivotFmt>
    </c:pivotFmts>
    <c:plotArea>
      <c:layout/>
      <c:lineChart>
        <c:grouping val="standard"/>
        <c:varyColors val="0"/>
        <c:ser>
          <c:idx val="0"/>
          <c:order val="0"/>
          <c:tx>
            <c:strRef>
              <c:f>'Q10)Sales Dashboard'!$AS$2</c:f>
              <c:strCache>
                <c:ptCount val="1"/>
                <c:pt idx="0">
                  <c:v>Total</c:v>
                </c:pt>
              </c:strCache>
            </c:strRef>
          </c:tx>
          <c:cat>
            <c:strRef>
              <c:f>'Q10)Sales Dashboard'!$AR$3:$AR$16</c:f>
              <c:strCache>
                <c:ptCount val="13"/>
                <c:pt idx="0">
                  <c:v>1</c:v>
                </c:pt>
                <c:pt idx="1">
                  <c:v>2</c:v>
                </c:pt>
                <c:pt idx="2">
                  <c:v>3</c:v>
                </c:pt>
                <c:pt idx="3">
                  <c:v>4</c:v>
                </c:pt>
                <c:pt idx="4">
                  <c:v>5</c:v>
                </c:pt>
                <c:pt idx="5">
                  <c:v>6</c:v>
                </c:pt>
                <c:pt idx="6">
                  <c:v>7</c:v>
                </c:pt>
                <c:pt idx="7">
                  <c:v>8</c:v>
                </c:pt>
                <c:pt idx="8">
                  <c:v>9</c:v>
                </c:pt>
                <c:pt idx="9">
                  <c:v>10</c:v>
                </c:pt>
                <c:pt idx="10">
                  <c:v>11</c:v>
                </c:pt>
                <c:pt idx="11">
                  <c:v>12</c:v>
                </c:pt>
                <c:pt idx="12">
                  <c:v>0</c:v>
                </c:pt>
              </c:strCache>
            </c:strRef>
          </c:cat>
          <c:val>
            <c:numRef>
              <c:f>'Q10)Sales Dashboard'!$AS$3:$AS$16</c:f>
              <c:numCache>
                <c:formatCode>General</c:formatCode>
                <c:ptCount val="13"/>
                <c:pt idx="0">
                  <c:v>4579197.5</c:v>
                </c:pt>
                <c:pt idx="1">
                  <c:v>4362197.25</c:v>
                </c:pt>
                <c:pt idx="2">
                  <c:v>3640969.75</c:v>
                </c:pt>
                <c:pt idx="3">
                  <c:v>5689717.75</c:v>
                </c:pt>
                <c:pt idx="4">
                  <c:v>3849232</c:v>
                </c:pt>
                <c:pt idx="5">
                  <c:v>1032385</c:v>
                </c:pt>
                <c:pt idx="6">
                  <c:v>1741047.5</c:v>
                </c:pt>
                <c:pt idx="7">
                  <c:v>1836526</c:v>
                </c:pt>
                <c:pt idx="8">
                  <c:v>1226591.5</c:v>
                </c:pt>
                <c:pt idx="9">
                  <c:v>1775603.5</c:v>
                </c:pt>
                <c:pt idx="10">
                  <c:v>1992715.25</c:v>
                </c:pt>
                <c:pt idx="11">
                  <c:v>2185859.5</c:v>
                </c:pt>
                <c:pt idx="12">
                  <c:v>833925</c:v>
                </c:pt>
              </c:numCache>
            </c:numRef>
          </c:val>
          <c:smooth val="0"/>
        </c:ser>
        <c:dLbls>
          <c:showLegendKey val="0"/>
          <c:showVal val="0"/>
          <c:showCatName val="0"/>
          <c:showSerName val="0"/>
          <c:showPercent val="0"/>
          <c:showBubbleSize val="0"/>
        </c:dLbls>
        <c:marker val="1"/>
        <c:smooth val="0"/>
        <c:axId val="199432448"/>
        <c:axId val="199458816"/>
      </c:lineChart>
      <c:catAx>
        <c:axId val="199432448"/>
        <c:scaling>
          <c:orientation val="minMax"/>
        </c:scaling>
        <c:delete val="0"/>
        <c:axPos val="b"/>
        <c:majorTickMark val="out"/>
        <c:minorTickMark val="none"/>
        <c:tickLblPos val="nextTo"/>
        <c:crossAx val="199458816"/>
        <c:crosses val="autoZero"/>
        <c:auto val="1"/>
        <c:lblAlgn val="ctr"/>
        <c:lblOffset val="100"/>
        <c:noMultiLvlLbl val="0"/>
      </c:catAx>
      <c:valAx>
        <c:axId val="199458816"/>
        <c:scaling>
          <c:orientation val="minMax"/>
        </c:scaling>
        <c:delete val="0"/>
        <c:axPos val="l"/>
        <c:majorGridlines/>
        <c:numFmt formatCode="General" sourceLinked="1"/>
        <c:majorTickMark val="out"/>
        <c:minorTickMark val="none"/>
        <c:tickLblPos val="nextTo"/>
        <c:crossAx val="1994324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26</xdr:col>
      <xdr:colOff>561975</xdr:colOff>
      <xdr:row>13</xdr:row>
      <xdr:rowOff>180975</xdr:rowOff>
    </xdr:from>
    <xdr:to>
      <xdr:col>26</xdr:col>
      <xdr:colOff>685800</xdr:colOff>
      <xdr:row>14</xdr:row>
      <xdr:rowOff>171450</xdr:rowOff>
    </xdr:to>
    <xdr:sp macro="" textlink="">
      <xdr:nvSpPr>
        <xdr:cNvPr id="2" name="Up Arrow 1">
          <a:extLst>
            <a:ext uri="{FF2B5EF4-FFF2-40B4-BE49-F238E27FC236}">
              <a16:creationId xmlns="" xmlns:a16="http://schemas.microsoft.com/office/drawing/2014/main" id="{CBA31B26-7271-6373-6217-8343853D0E58}"/>
            </a:ext>
          </a:extLst>
        </xdr:cNvPr>
        <xdr:cNvSpPr/>
      </xdr:nvSpPr>
      <xdr:spPr>
        <a:xfrm>
          <a:off x="16621125" y="2657475"/>
          <a:ext cx="123825" cy="180975"/>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28576</xdr:colOff>
      <xdr:row>2</xdr:row>
      <xdr:rowOff>66675</xdr:rowOff>
    </xdr:from>
    <xdr:to>
      <xdr:col>26</xdr:col>
      <xdr:colOff>180976</xdr:colOff>
      <xdr:row>15</xdr:row>
      <xdr:rowOff>123825</xdr:rowOff>
    </xdr:to>
    <xdr:graphicFrame macro="">
      <xdr:nvGraphicFramePr>
        <xdr:cNvPr id="3" name="Chart 2">
          <a:extLst>
            <a:ext uri="{FF2B5EF4-FFF2-40B4-BE49-F238E27FC236}">
              <a16:creationId xmlns="" xmlns:a16="http://schemas.microsoft.com/office/drawing/2014/main" id="{FC39B4C7-6AEB-3561-4E5A-A39BAC03D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161925</xdr:colOff>
      <xdr:row>2</xdr:row>
      <xdr:rowOff>161924</xdr:rowOff>
    </xdr:from>
    <xdr:to>
      <xdr:col>41</xdr:col>
      <xdr:colOff>171450</xdr:colOff>
      <xdr:row>13</xdr:row>
      <xdr:rowOff>161924</xdr:rowOff>
    </xdr:to>
    <xdr:graphicFrame macro="">
      <xdr:nvGraphicFramePr>
        <xdr:cNvPr id="4" name="Chart 3">
          <a:extLst>
            <a:ext uri="{FF2B5EF4-FFF2-40B4-BE49-F238E27FC236}">
              <a16:creationId xmlns="" xmlns:a16="http://schemas.microsoft.com/office/drawing/2014/main" id="{32361639-3852-6D5C-DE5D-C61E49E5A9E0}"/>
            </a:ext>
            <a:ext uri="{147F2762-F138-4A5C-976F-8EAC2B608ADB}">
              <a16:predDERef xmlns="" xmlns:a16="http://schemas.microsoft.com/office/drawing/2014/main" pred="{FC39B4C7-6AEB-3561-4E5A-A39BAC03D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28575</xdr:colOff>
      <xdr:row>1</xdr:row>
      <xdr:rowOff>171450</xdr:rowOff>
    </xdr:from>
    <xdr:to>
      <xdr:col>57</xdr:col>
      <xdr:colOff>247650</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257175</xdr:colOff>
      <xdr:row>8</xdr:row>
      <xdr:rowOff>19050</xdr:rowOff>
    </xdr:from>
    <xdr:to>
      <xdr:col>7</xdr:col>
      <xdr:colOff>742950</xdr:colOff>
      <xdr:row>15</xdr:row>
      <xdr:rowOff>142875</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34050" y="1495425"/>
              <a:ext cx="13525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266700</xdr:colOff>
      <xdr:row>8</xdr:row>
      <xdr:rowOff>47625</xdr:rowOff>
    </xdr:from>
    <xdr:to>
      <xdr:col>30</xdr:col>
      <xdr:colOff>933450</xdr:colOff>
      <xdr:row>16</xdr:row>
      <xdr:rowOff>47625</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468350" y="152400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533400</xdr:colOff>
      <xdr:row>17</xdr:row>
      <xdr:rowOff>104775</xdr:rowOff>
    </xdr:from>
    <xdr:to>
      <xdr:col>44</xdr:col>
      <xdr:colOff>685800</xdr:colOff>
      <xdr:row>29</xdr:row>
      <xdr:rowOff>104775</xdr:rowOff>
    </xdr:to>
    <mc:AlternateContent xmlns:mc="http://schemas.openxmlformats.org/markup-compatibility/2006" xmlns:a14="http://schemas.microsoft.com/office/drawing/2010/main">
      <mc:Choice Requires="a14">
        <xdr:graphicFrame macro="">
          <xdr:nvGraphicFramePr>
            <xdr:cNvPr id="7" name="DATE_BIN(MONTHS)"/>
            <xdr:cNvGraphicFramePr/>
          </xdr:nvGraphicFramePr>
          <xdr:xfrm>
            <a:off x="0" y="0"/>
            <a:ext cx="0" cy="0"/>
          </xdr:xfrm>
          <a:graphic>
            <a:graphicData uri="http://schemas.microsoft.com/office/drawing/2010/slicer">
              <sle:slicer xmlns:sle="http://schemas.microsoft.com/office/drawing/2010/slicer" name="DATE_BIN(MONTHS)"/>
            </a:graphicData>
          </a:graphic>
        </xdr:graphicFrame>
      </mc:Choice>
      <mc:Fallback xmlns="">
        <xdr:sp macro="" textlink="">
          <xdr:nvSpPr>
            <xdr:cNvPr id="0" name=""/>
            <xdr:cNvSpPr>
              <a:spLocks noTextEdit="1"/>
            </xdr:cNvSpPr>
          </xdr:nvSpPr>
          <xdr:spPr>
            <a:xfrm>
              <a:off x="19840575" y="3248025"/>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34.83106689815" createdVersion="8" refreshedVersion="8" minRefreshableVersion="3" recordCount="501">
  <cacheSource type="worksheet">
    <worksheetSource ref="A1:V1048576" sheet="Q9)Cleaned_Data"/>
  </cacheSource>
  <cacheFields count="22">
    <cacheField name="Order_ID" numFmtId="0">
      <sharedItems containsBlank="1"/>
    </cacheField>
    <cacheField name="Customer_ID" numFmtId="0">
      <sharedItems containsBlank="1"/>
    </cacheField>
    <cacheField name="Product_ID" numFmtId="0">
      <sharedItems containsBlank="1"/>
    </cacheField>
    <cacheField name="Order_Date" numFmtId="0">
      <sharedItems containsBlank="1" count="327">
        <s v="18/09/2025"/>
        <s v="27/04/2025"/>
        <s v="03/09/2025"/>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21/03/2026"/>
        <s v="16/04/2026"/>
        <s v="05/12/2025"/>
        <s v="30/07/2025"/>
        <s v="18/07/2025"/>
        <s v="Pending"/>
        <s v="11/04/2026"/>
        <s v="10/05/2026"/>
        <s v="23/01/2026"/>
        <s v="30/04/2025"/>
        <s v="03/02/2025"/>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s v="16/09/2025"/>
        <m/>
      </sharedItems>
    </cacheField>
    <cacheField name="Delivery_Date" numFmtId="0">
      <sharedItems containsBlank="1"/>
    </cacheField>
    <cacheField name="Customer_Name" numFmtId="0">
      <sharedItems containsBlank="1"/>
    </cacheField>
    <cacheField name="Gender" numFmtId="0">
      <sharedItems containsBlank="1"/>
    </cacheField>
    <cacheField name="DOB" numFmtId="0">
      <sharedItems containsBlank="1"/>
    </cacheField>
    <cacheField name="City" numFmtId="0">
      <sharedItems containsBlank="1"/>
    </cacheField>
    <cacheField name="Region" numFmtId="0">
      <sharedItems containsBlank="1" count="5">
        <s v="South"/>
        <s v="North"/>
        <s v="West"/>
        <s v="East"/>
        <m/>
      </sharedItems>
    </cacheField>
    <cacheField name="Category" numFmtId="0">
      <sharedItems containsBlank="1" count="5">
        <s v="Home Appliances"/>
        <s v="Electronics"/>
        <s v="Stationery"/>
        <s v="Stationary"/>
        <m/>
      </sharedItems>
    </cacheField>
    <cacheField name="Product_Name" numFmtId="0">
      <sharedItems containsBlank="1"/>
    </cacheField>
    <cacheField name="Quantity" numFmtId="0">
      <sharedItems containsBlank="1" containsMixedTypes="1" containsNumber="1" containsInteger="1" minValue="-3" maxValue="20"/>
    </cacheField>
    <cacheField name="Unit_Price" numFmtId="0">
      <sharedItems containsBlank="1" containsMixedTypes="1" containsNumber="1" containsInteger="1" minValue="20" maxValue="55000"/>
    </cacheField>
    <cacheField name="Discount_%" numFmtId="0">
      <sharedItems containsString="0" containsBlank="1" containsNumber="1" containsInteger="1" minValue="0" maxValue="65"/>
    </cacheField>
    <cacheField name="Sales" numFmtId="0">
      <sharedItems containsString="0" containsBlank="1" containsNumber="1" minValue="19" maxValue="1045000" count="345">
        <n v="7920"/>
        <n v="183600"/>
        <n v="261250"/>
        <n v="9120"/>
        <n v="8800"/>
        <n v="6650"/>
        <n v="142800"/>
        <n v="40800"/>
        <n v="360"/>
        <n v="35200"/>
        <n v="33250"/>
        <n v="29700"/>
        <n v="35530"/>
        <n v="44625"/>
        <n v="3420"/>
        <n v="88400"/>
        <n v="27200"/>
        <n v="5985"/>
        <n v="352000"/>
        <n v="5600"/>
        <n v="3325"/>
        <n v="11305"/>
        <n v="660000"/>
        <n v="19"/>
        <n v="34"/>
        <n v="35700"/>
        <n v="13200"/>
        <n v="51000"/>
        <n v="114"/>
        <n v="684"/>
        <n v="132000"/>
        <n v="41800"/>
        <n v="60"/>
        <n v="648"/>
        <n v="3840"/>
        <n v="550000"/>
        <n v="63000"/>
        <n v="100"/>
        <n v="170000"/>
        <n v="408"/>
        <n v="26600"/>
        <n v="8500"/>
        <n v="306"/>
        <n v="33440"/>
        <n v="53200"/>
        <n v="8925"/>
        <n v="10640"/>
        <n v="228000"/>
        <n v="6840"/>
        <n v="13090"/>
        <n v="432"/>
        <n v="627000"/>
        <n v="2100"/>
        <n v="969"/>
        <n v="4200"/>
        <n v="769.5"/>
        <n v="152"/>
        <n v="5040"/>
        <n v="119"/>
        <n v="320"/>
        <n v="675"/>
        <n v="9450"/>
        <n v="114.75"/>
        <n v="20825"/>
        <n v="47600"/>
        <n v="792000"/>
        <n v="19200"/>
        <n v="171"/>
        <n v="1140"/>
        <n v="1870"/>
        <n v="3240"/>
        <n v="28000"/>
        <n v="11970"/>
        <n v="7140"/>
        <n v="9600"/>
        <n v="120"/>
        <n v="382.5"/>
        <n v="39900"/>
        <n v="102"/>
        <n v="18360"/>
        <n v="140"/>
        <n v="56000"/>
        <n v="54400"/>
        <n v="68400"/>
        <n v="127500"/>
        <n v="5100"/>
        <n v="80"/>
        <n v="200"/>
        <n v="35640"/>
        <n v="137275"/>
        <n v="132600"/>
        <n v="999999"/>
        <n v="384.75"/>
        <n v="1026"/>
        <n v="2660"/>
        <n v="180"/>
        <n v="162"/>
        <n v="10260"/>
        <n v="6120"/>
        <n v="17340"/>
        <n v="960"/>
        <n v="38250"/>
        <n v="513"/>
        <n v="285"/>
        <n v="1190"/>
        <n v="720"/>
        <n v="135"/>
        <n v="8645"/>
        <n v="13440"/>
        <n v="85.5"/>
        <n v="1920"/>
        <n v="522500"/>
        <n v="47250"/>
        <n v="18700"/>
        <n v="36575"/>
        <n v="16800"/>
        <n v="176"/>
        <n v="64800"/>
        <n v="12540"/>
        <n v="9975"/>
        <n v="34000"/>
        <n v="44100"/>
        <n v="470.25"/>
        <n v="1045000"/>
        <n v="37400"/>
        <n v="11400"/>
        <n v="514250"/>
        <n v="40375"/>
        <n v="3780"/>
        <n v="36"/>
        <n v="28160"/>
        <n v="180000"/>
        <n v="714"/>
        <n v="108"/>
        <n v="25200"/>
        <n v="209000"/>
        <n v="6160"/>
        <n v="18240"/>
        <n v="420"/>
        <n v="30800"/>
        <n v="63175"/>
        <n v="6480"/>
        <n v="990000"/>
        <n v="8160"/>
        <n v="216"/>
        <n v="650.25"/>
        <n v="361"/>
        <n v="220"/>
        <n v="535.5"/>
        <n v="912"/>
        <n v="12320"/>
        <n v="136000"/>
        <n v="20900"/>
        <n v="59850"/>
        <n v="342"/>
        <n v="15400"/>
        <n v="34200"/>
        <n v="16720"/>
        <n v="19800"/>
        <n v="126"/>
        <n v="129200"/>
        <n v="880000"/>
        <n v="76.5"/>
        <n v="19950"/>
        <n v="33660"/>
        <n v="10710"/>
        <n v="79800"/>
        <n v="81600"/>
        <n v="299.25"/>
        <n v="153"/>
        <n v="855"/>
        <n v="114000"/>
        <n v="4800"/>
        <n v="13600"/>
        <n v="3920"/>
        <n v="12000"/>
        <n v="726.75"/>
        <n v="679250"/>
        <n v="136"/>
        <n v="102600"/>
        <n v="10080"/>
        <n v="46550"/>
        <n v="3990"/>
        <n v="50575"/>
        <n v="133"/>
        <n v="26400"/>
        <n v="76800"/>
        <n v="11200"/>
        <n v="450"/>
        <n v="612"/>
        <n v="115600"/>
        <n v="240"/>
        <n v="798"/>
        <n v="191.25"/>
        <n v="12635"/>
        <n v="25740"/>
        <n v="17820"/>
        <n v="43350"/>
        <n v="10200"/>
        <n v="84000"/>
        <n v="32400"/>
        <n v="140400"/>
        <n v="14630"/>
        <n v="163200"/>
        <n v="8360"/>
        <n v="264000"/>
        <n v="45900"/>
        <n v="161500"/>
        <n v="440000"/>
        <n v="172800"/>
        <n v="64600"/>
        <n v="247"/>
        <n v="51"/>
        <n v="95"/>
        <n v="304"/>
        <n v="4760"/>
        <n v="2200"/>
        <n v="31500"/>
        <n v="3360"/>
        <n v="6600"/>
        <n v="229.5"/>
        <n v="2400"/>
        <n v="8330"/>
        <n v="29925"/>
        <n v="190"/>
        <n v="1020"/>
        <n v="574750"/>
        <n v="42000"/>
        <n v="607.5"/>
        <n v="585"/>
        <n v="176000"/>
        <n v="9520"/>
        <n v="192"/>
        <n v="204000"/>
        <n v="702"/>
        <n v="193800"/>
        <n v="22990"/>
        <n v="9180"/>
        <n v="15840"/>
        <n v="1120"/>
        <n v="44800"/>
        <n v="15600"/>
        <n v="54000"/>
        <n v="7000"/>
        <n v="28050"/>
        <n v="128"/>
        <n v="20"/>
        <n v="10500"/>
        <n v="864"/>
        <n v="663"/>
        <n v="144000"/>
        <n v="32"/>
        <n v="53550"/>
        <n v="765"/>
        <n v="24310"/>
        <n v="88825"/>
        <n v="4400"/>
        <n v="9350"/>
        <n v="18000"/>
        <n v="22800"/>
        <n v="91800"/>
        <n v="213.75"/>
        <n v="1785"/>
        <n v="96900"/>
        <n v="28900"/>
        <n v="288"/>
        <n v="144"/>
        <n v="37620"/>
        <n v="6720"/>
        <n v="21660"/>
        <n v="1980"/>
        <n v="825000"/>
        <n v="3150"/>
        <n v="700"/>
        <n v="7280"/>
        <n v="240000"/>
        <n v="816"/>
        <n v="68"/>
        <n v="3960"/>
        <n v="313500"/>
        <n v="20570"/>
        <n v="20400"/>
        <n v="221"/>
        <n v="12960"/>
        <n v="48450"/>
        <n v="114750"/>
        <n v="182400"/>
        <n v="3500"/>
        <n v="15360"/>
        <n v="80750"/>
        <n v="76500"/>
        <n v="61200"/>
        <n v="54"/>
        <n v="137700"/>
        <n v="202.5"/>
        <n v="72"/>
        <n v="729"/>
        <n v="14820"/>
        <n v="224"/>
        <n v="340"/>
        <n v="46750"/>
        <n v="115200"/>
        <n v="8640"/>
        <n v="275000"/>
        <n v="756"/>
        <n v="33000"/>
        <n v="497.25"/>
        <n v="160"/>
        <n v="48"/>
        <n v="5950"/>
        <n v="14000"/>
        <n v="540"/>
        <n v="4320"/>
        <n v="107100"/>
        <n v="45"/>
        <n v="748000"/>
        <n v="3600"/>
        <n v="420750"/>
        <n v="378"/>
        <n v="31790"/>
        <n v="836000"/>
        <n v="252"/>
        <n v="110000"/>
        <n v="420.75"/>
        <n v="19380"/>
        <n v="605000"/>
        <n v="576"/>
        <n v="5400"/>
        <n v="81"/>
        <n v="36000"/>
        <n v="28800"/>
        <n v="65025"/>
        <n v="11900"/>
        <n v="13300"/>
        <n v="12480"/>
        <n v="324"/>
        <n v="118800"/>
        <n v="16150"/>
        <n v="9800"/>
        <n v="16320"/>
        <n v="44000"/>
        <n v="122400"/>
        <n v="2880"/>
        <n v="70000"/>
        <m/>
      </sharedItems>
    </cacheField>
    <cacheField name="Rating" numFmtId="0">
      <sharedItems containsString="0" containsBlank="1" containsNumber="1" containsInteger="1" minValue="1" maxValue="5"/>
    </cacheField>
    <cacheField name="Payment_Mode" numFmtId="0">
      <sharedItems containsBlank="1"/>
    </cacheField>
    <cacheField name="Salesperson" numFmtId="0">
      <sharedItems containsBlank="1"/>
    </cacheField>
    <cacheField name="Email" numFmtId="0">
      <sharedItems containsBlank="1"/>
    </cacheField>
    <cacheField name="Phone" numFmtId="0">
      <sharedItems containsBlank="1"/>
    </cacheField>
    <cacheField name="Order_Status"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34.853578240742" createdVersion="4" refreshedVersion="4" minRefreshableVersion="3" recordCount="498">
  <cacheSource type="worksheet">
    <worksheetSource ref="A1:W499" sheet="Q9)Cleaned_Data"/>
  </cacheSource>
  <cacheFields count="23">
    <cacheField name="Order_ID" numFmtId="0">
      <sharedItems/>
    </cacheField>
    <cacheField name="Customer_ID" numFmtId="0">
      <sharedItems/>
    </cacheField>
    <cacheField name="Product_ID" numFmtId="0">
      <sharedItems/>
    </cacheField>
    <cacheField name="Order_Date" numFmtId="14">
      <sharedItems count="326">
        <s v="18/09/2025"/>
        <s v="27/04/2025"/>
        <s v="03/09/2025"/>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21/03/2026"/>
        <s v="16/04/2026"/>
        <s v="05/12/2025"/>
        <s v="30/07/2025"/>
        <s v="18/07/2025"/>
        <s v="Pending"/>
        <s v="11/04/2026"/>
        <s v="10/05/2026"/>
        <s v="23/01/2026"/>
        <s v="30/04/2025"/>
        <s v="03/02/2025"/>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s v="16/09/2025"/>
      </sharedItems>
    </cacheField>
    <cacheField name="Delivery_Date" numFmtId="0">
      <sharedItems/>
    </cacheField>
    <cacheField name="Customer_Name" numFmtId="0">
      <sharedItems/>
    </cacheField>
    <cacheField name="Gender" numFmtId="0">
      <sharedItems/>
    </cacheField>
    <cacheField name="DOB" numFmtId="169">
      <sharedItems/>
    </cacheField>
    <cacheField name="City" numFmtId="0">
      <sharedItems containsBlank="1"/>
    </cacheField>
    <cacheField name="Region" numFmtId="0">
      <sharedItems/>
    </cacheField>
    <cacheField name="Category" numFmtId="0">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 name="DATE_BIN(MONTHS)" numFmtId="0">
      <sharedItems containsMixedTypes="1" containsNumber="1" containsInteger="1" minValue="1" maxValue="12" count="13">
        <n v="9"/>
        <n v="4"/>
        <n v="1"/>
        <n v="2"/>
        <n v="3"/>
        <n v="7"/>
        <n v="12"/>
        <n v="6"/>
        <n v="5"/>
        <n v="10"/>
        <n v="11"/>
        <n v="8"/>
        <s v="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1">
  <r>
    <s v="ORD10001"/>
    <s v="C008"/>
    <s v="P202"/>
    <x v="0"/>
    <s v="22/09/2025"/>
    <s v="Kavya Nair"/>
    <s v="Female"/>
    <s v="01/08/1976"/>
    <s v="Hyderabad"/>
    <x v="0"/>
    <x v="0"/>
    <s v="Iron"/>
    <n v="4"/>
    <n v="2200"/>
    <n v="20"/>
    <x v="0"/>
    <n v="4"/>
    <s v="Cash"/>
    <s v="Ritika"/>
    <s v="KAvya.nair@company.com"/>
    <s v="9431429797"/>
    <s v="Completed"/>
  </r>
  <r>
    <s v="ORD10002"/>
    <s v="C008"/>
    <s v="P104"/>
    <x v="1"/>
    <s v="04/05/2025"/>
    <s v="Kavya Nair"/>
    <s v="Female"/>
    <s v="16/10/2000"/>
    <s v="Delhi"/>
    <x v="1"/>
    <x v="1"/>
    <s v="Monitor"/>
    <n v="17"/>
    <n v="12000"/>
    <n v="10"/>
    <x v="1"/>
    <n v="1"/>
    <s v="NetBanking"/>
    <s v="Rahul"/>
    <s v="KAvya.nair@company.com"/>
    <s v="9129865339"/>
    <s v="Completed"/>
  </r>
  <r>
    <s v="ORD10003"/>
    <s v="C010"/>
    <s v="P101"/>
    <x v="2"/>
    <s v="14/09/2025"/>
    <s v="Pooja Shah"/>
    <s v="Female"/>
    <s v="16/09/1994"/>
    <s v="Bengaluru"/>
    <x v="0"/>
    <x v="1"/>
    <s v="Laptop"/>
    <n v="5"/>
    <n v="55000"/>
    <n v="5"/>
    <x v="2"/>
    <n v="3"/>
    <s v="NetBanking"/>
    <s v="Aisha"/>
    <s v="pooja.shah@company.com"/>
    <s v="9380975626"/>
    <s v="Pending"/>
  </r>
  <r>
    <s v="ORD10005"/>
    <s v="C009"/>
    <s v="P103"/>
    <x v="3"/>
    <s v="07/10/2025"/>
    <s v="Kavya Nair"/>
    <s v="Male"/>
    <s v="13/04/1976"/>
    <s v="Delhi"/>
    <x v="0"/>
    <x v="0"/>
    <s v="Keyboard"/>
    <n v="8"/>
    <n v="1200"/>
    <n v="5"/>
    <x v="3"/>
    <n v="2"/>
    <s v="Card"/>
    <s v="Aisha"/>
    <s v="mohit.verma@company.com"/>
    <s v="9724635978"/>
    <s v="Pending"/>
  </r>
  <r>
    <s v="ORD10006"/>
    <s v="C007"/>
    <s v="P202"/>
    <x v="4"/>
    <s v="12/01/2026"/>
    <s v="Mohit Verma"/>
    <s v="Male"/>
    <s v="07/02/1988"/>
    <s v="Hyderabad"/>
    <x v="1"/>
    <x v="1"/>
    <s v="Iron"/>
    <n v="4"/>
    <n v="2200"/>
    <n v="0"/>
    <x v="4"/>
    <n v="1"/>
    <s v="UPI"/>
    <s v="Ritika"/>
    <s v="arjun.rao@company.com"/>
    <s v="9780584905"/>
    <s v="Completed"/>
  </r>
  <r>
    <s v="ORD10007"/>
    <s v="C008"/>
    <s v="P201"/>
    <x v="5"/>
    <s v="25/02/2026"/>
    <s v="Arjun Rao"/>
    <s v="Female"/>
    <s v="20/03/2003"/>
    <s v="Hyderabad"/>
    <x v="0"/>
    <x v="0"/>
    <s v="Iron"/>
    <n v="2"/>
    <n v="3500"/>
    <n v="5"/>
    <x v="5"/>
    <n v="1"/>
    <s v="UPI"/>
    <s v="Ritika"/>
    <s v="KAvya.nair@company.com"/>
    <s v="9958252176"/>
    <s v="Completed"/>
  </r>
  <r>
    <s v="ORD10008"/>
    <s v="C002"/>
    <s v="P104"/>
    <x v="6"/>
    <s v="19/04/2025"/>
    <s v="Kavya Nair"/>
    <s v="Female"/>
    <s v="07/03/1995"/>
    <s v="Mumbai"/>
    <x v="0"/>
    <x v="0"/>
    <s v="Monitor"/>
    <n v="14"/>
    <n v="12000"/>
    <n v="15"/>
    <x v="6"/>
    <n v="4"/>
    <s v="NetBanking"/>
    <s v="Ritika"/>
    <s v="priYa.patel@company.com"/>
    <s v="9705521654"/>
    <s v="Completed"/>
  </r>
  <r>
    <s v="ORD10009"/>
    <s v="C008"/>
    <s v="P104"/>
    <x v="7"/>
    <s v="02/02/2026"/>
    <s v="Priya Patel"/>
    <s v="Female"/>
    <s v="06/04/1997"/>
    <s v="Pune"/>
    <x v="2"/>
    <x v="1"/>
    <s v="Monitor"/>
    <n v="4"/>
    <n v="12000"/>
    <n v="15"/>
    <x v="7"/>
    <n v="4"/>
    <s v="UPI"/>
    <s v="Neha"/>
    <s v="KAvya.nair@company.com"/>
    <s v="9588041011"/>
    <s v="Completed"/>
  </r>
  <r>
    <s v="ORD10010"/>
    <s v="C002"/>
    <s v="P301"/>
    <x v="8"/>
    <s v="27/03/2025"/>
    <s v="Kavya Nair"/>
    <s v="Female"/>
    <s v="07/01/1990"/>
    <s v="Mumbai"/>
    <x v="2"/>
    <x v="1"/>
    <s v="Notebook"/>
    <n v="6"/>
    <n v="60"/>
    <n v="0"/>
    <x v="8"/>
    <n v="4"/>
    <s v="Card"/>
    <s v="Neha"/>
    <s v="priYa.patel@company.com"/>
    <s v="9340540608"/>
    <s v="Completed"/>
  </r>
  <r>
    <s v="ORD10011"/>
    <s v="C003"/>
    <s v="P202"/>
    <x v="9"/>
    <s v="23/09/2025"/>
    <s v="Priya Patel"/>
    <s v="Male"/>
    <s v="10/05/1982"/>
    <s v="Delhi"/>
    <x v="2"/>
    <x v="2"/>
    <s v="Iron"/>
    <n v="-3"/>
    <n v="2200"/>
    <n v="0"/>
    <x v="9"/>
    <n v="2"/>
    <s v="Card"/>
    <s v="Rahul"/>
    <s v="rohit.singh@company.com"/>
    <s v="9521710321"/>
    <s v="Pending"/>
  </r>
  <r>
    <s v="ORD10012"/>
    <s v="C008"/>
    <s v="P201"/>
    <x v="10"/>
    <s v="15/03/2025"/>
    <s v="Rohit Singh"/>
    <s v="Female"/>
    <s v="23/01/1982"/>
    <s v="Ahmedabad"/>
    <x v="1"/>
    <x v="0"/>
    <s v="Mixer"/>
    <n v="10"/>
    <n v="3500"/>
    <n v="5"/>
    <x v="10"/>
    <n v="5"/>
    <s v="Card"/>
    <s v="Aisha"/>
    <s v="KAvya.nair@company.com"/>
    <s v="9123535241"/>
    <s v="Cancelled"/>
  </r>
  <r>
    <s v="ORD10013"/>
    <s v="C002"/>
    <s v="P202"/>
    <x v="11"/>
    <s v="15/01/2025"/>
    <s v="Kavya Nair"/>
    <s v="Female"/>
    <s v="06/07/1992"/>
    <s v="Pune"/>
    <x v="2"/>
    <x v="0"/>
    <s v="Iron"/>
    <n v="15"/>
    <n v="2200"/>
    <n v="10"/>
    <x v="11"/>
    <n v="1"/>
    <s v="UPI"/>
    <s v="Neha"/>
    <s v="priYa.patel@company.com"/>
    <s v="9367316892"/>
    <s v="Pending"/>
  </r>
  <r>
    <s v="ORD10014"/>
    <s v="C003"/>
    <s v="P202"/>
    <x v="12"/>
    <s v="13/03/2025"/>
    <s v="Priya Patel"/>
    <s v="Male"/>
    <s v="19/03/2002"/>
    <s v="Mumbai"/>
    <x v="2"/>
    <x v="0"/>
    <s v="Iron"/>
    <n v="17"/>
    <n v="2200"/>
    <n v="5"/>
    <x v="12"/>
    <n v="1"/>
    <s v="Cash"/>
    <s v="Karan"/>
    <s v="rohit.singh@company.com"/>
    <s v="9778489803"/>
    <s v="Completed"/>
  </r>
  <r>
    <s v="ORD10015"/>
    <s v="C008"/>
    <s v="P201"/>
    <x v="13"/>
    <s v="07/08/2025"/>
    <s v="Rohit Singh"/>
    <s v="Female"/>
    <s v="17/01/2001"/>
    <s v="Mumbai"/>
    <x v="2"/>
    <x v="0"/>
    <s v="Mixer"/>
    <n v="15"/>
    <n v="3500"/>
    <n v="15"/>
    <x v="13"/>
    <n v="2"/>
    <s v="Cash"/>
    <s v="Neha"/>
    <s v="KAvya.nair@company.com"/>
    <s v="9582960180"/>
    <s v="Cancelled"/>
  </r>
  <r>
    <s v="ORD10016"/>
    <s v="C010"/>
    <s v="P103"/>
    <x v="14"/>
    <s v="11/04/2026"/>
    <s v="Kavya Nair"/>
    <s v="Female"/>
    <s v="11/04/2002"/>
    <s v="Hyderabad"/>
    <x v="2"/>
    <x v="0"/>
    <s v="Keyboard"/>
    <n v="3"/>
    <n v="1200"/>
    <n v="5"/>
    <x v="14"/>
    <n v="5"/>
    <s v="UPI"/>
    <s v="Ritika"/>
    <s v="pooja.shahcompany.com"/>
    <s v="9611394005"/>
    <s v="Completed"/>
  </r>
  <r>
    <s v="ORD10017"/>
    <s v="C004"/>
    <s v="P203"/>
    <x v="15"/>
    <s v="03/03/2026"/>
    <s v="Pooja Shah"/>
    <s v="Female"/>
    <s v="16/01/2002"/>
    <s v="Pune"/>
    <x v="0"/>
    <x v="1"/>
    <s v="Microwave"/>
    <n v="13"/>
    <n v="8500"/>
    <n v="20"/>
    <x v="15"/>
    <n v="4"/>
    <s v="Card"/>
    <s v="Rahul"/>
    <s v="anita.gupta@company.com"/>
    <s v="9692599404"/>
    <s v="Pending"/>
  </r>
  <r>
    <s v="ORD10018"/>
    <s v="C007"/>
    <s v="P203"/>
    <x v="16"/>
    <s v="05/03/2026"/>
    <s v="Amit Sharma"/>
    <s v="Male"/>
    <s v="09/10/1989"/>
    <s v="Ahmedabad"/>
    <x v="2"/>
    <x v="0"/>
    <s v="Microwave"/>
    <n v="4"/>
    <n v="8500"/>
    <n v="20"/>
    <x v="16"/>
    <n v="5"/>
    <s v="Card"/>
    <s v="Aisha"/>
    <s v="arjun.rao@company.com"/>
    <s v="9426119622"/>
    <s v="Pending"/>
  </r>
  <r>
    <s v="ORD10019"/>
    <s v="C007"/>
    <s v="P102"/>
    <x v="17"/>
    <s v="04/12/2025"/>
    <s v="Arjun Rao"/>
    <s v="Male"/>
    <s v="28/10/1991"/>
    <s v="Mumbai"/>
    <x v="2"/>
    <x v="0"/>
    <s v="Mouse"/>
    <n v="9"/>
    <n v="700"/>
    <n v="5"/>
    <x v="17"/>
    <n v="3"/>
    <s v="UPI"/>
    <s v="Ritika"/>
    <s v="arjun.rao@company.com"/>
    <s v="9184436009"/>
    <s v="Pending"/>
  </r>
  <r>
    <s v="ORD10020"/>
    <s v="C008"/>
    <s v="P101"/>
    <x v="18"/>
    <s v="03/07/2025"/>
    <s v="Arjun Rao"/>
    <s v="Female"/>
    <s v="01/03/1990"/>
    <s v="Ahmedabad"/>
    <x v="2"/>
    <x v="1"/>
    <s v="Laptop"/>
    <n v="8"/>
    <n v="55000"/>
    <n v="20"/>
    <x v="18"/>
    <n v="1"/>
    <s v="Cash"/>
    <s v="Karan"/>
    <s v="KAvya.nair@company.com"/>
    <s v="9263774934"/>
    <s v="Completed"/>
  </r>
  <r>
    <s v="ORD10021"/>
    <s v="C003"/>
    <s v="P102"/>
    <x v="19"/>
    <s v="05/05/2025"/>
    <s v="Kavya Nair"/>
    <s v="Male"/>
    <s v="18/07/2002"/>
    <s v="Delhi"/>
    <x v="2"/>
    <x v="1"/>
    <s v="Mouse"/>
    <n v="10"/>
    <n v="700"/>
    <n v="20"/>
    <x v="19"/>
    <n v="4"/>
    <s v="Card"/>
    <s v="Aisha"/>
    <s v="rohit.singh@company.com"/>
    <s v="9473159572"/>
    <s v="Cancelled"/>
  </r>
  <r>
    <s v="ORD10022"/>
    <s v="C008"/>
    <s v="P201"/>
    <x v="20"/>
    <s v="08/01/2025"/>
    <s v="Rohit Singh"/>
    <s v="Female"/>
    <s v="15/12/2004"/>
    <s v="Bengaluru"/>
    <x v="1"/>
    <x v="1"/>
    <s v="Mixer"/>
    <n v="1"/>
    <n v="3500"/>
    <n v="5"/>
    <x v="20"/>
    <n v="3"/>
    <s v="UPI"/>
    <s v="Neha"/>
    <s v="KAvya.nair@company.com"/>
    <s v="9660493688"/>
    <s v="Cancelled"/>
  </r>
  <r>
    <s v="ORD10023"/>
    <s v="C002"/>
    <s v="P102"/>
    <x v="21"/>
    <s v="30/04/2025"/>
    <s v="Kavya Nair"/>
    <s v="Female"/>
    <s v="04/07/1984"/>
    <s v="Jaipur"/>
    <x v="0"/>
    <x v="0"/>
    <s v="Mouse"/>
    <n v="19"/>
    <n v="700"/>
    <n v="15"/>
    <x v="21"/>
    <n v="3"/>
    <s v="NetBanking"/>
    <s v="Karan"/>
    <s v="priYa.patel@company.com"/>
    <s v="9513325819"/>
    <s v="Pending"/>
  </r>
  <r>
    <s v="ORD10024"/>
    <s v="C009"/>
    <s v="P101"/>
    <x v="22"/>
    <s v="01/01/2026"/>
    <s v="Priya Patel"/>
    <s v="Male"/>
    <s v="25/02/1978"/>
    <s v="Bengaluru"/>
    <x v="1"/>
    <x v="1"/>
    <s v="Laptop"/>
    <n v="12"/>
    <n v="55000"/>
    <n v="0"/>
    <x v="22"/>
    <n v="1"/>
    <s v="Card"/>
    <s v="Rahul"/>
    <s v="mohit.verma@company.com"/>
    <s v="9641063242"/>
    <s v="Pending"/>
  </r>
  <r>
    <s v="ORD10025"/>
    <s v="C005"/>
    <s v="P302"/>
    <x v="23"/>
    <s v="20/04/2026"/>
    <s v="Mohit Verma"/>
    <s v="Male"/>
    <s v="03/08/1991"/>
    <s v="Mumbai"/>
    <x v="0"/>
    <x v="1"/>
    <s v="Pen"/>
    <n v="1"/>
    <n v="20"/>
    <n v="5"/>
    <x v="23"/>
    <n v="5"/>
    <s v="Card"/>
    <s v="Ritika"/>
    <s v="vikas.mehta@company.com"/>
    <s v="9277372518"/>
    <s v="Cancelled"/>
  </r>
  <r>
    <s v="ORD10026"/>
    <s v="C007"/>
    <s v="P302"/>
    <x v="24"/>
    <s v="02/07/2025"/>
    <s v="Vikas Mehta"/>
    <s v="Male"/>
    <s v="11/12/1977"/>
    <s v="Mumbai"/>
    <x v="2"/>
    <x v="2"/>
    <s v="Pen"/>
    <n v="2"/>
    <n v="20"/>
    <n v="15"/>
    <x v="24"/>
    <n v="1"/>
    <s v="UPI"/>
    <s v="Ritika"/>
    <s v="arjun.rao@company.com"/>
    <s v="9193154372"/>
    <s v="Pending"/>
  </r>
  <r>
    <s v="ORD10027"/>
    <s v="C009"/>
    <s v="P201"/>
    <x v="25"/>
    <s v="25/05/2025"/>
    <s v="Arjun Rao"/>
    <s v="Male"/>
    <s v="08/02/1992"/>
    <s v="Ahmedabad"/>
    <x v="2"/>
    <x v="2"/>
    <s v="Mixer"/>
    <n v="12"/>
    <n v="3500"/>
    <n v="15"/>
    <x v="25"/>
    <n v="4"/>
    <s v="Cash"/>
    <s v="Rahul"/>
    <s v="mohit.verma@company.com"/>
    <s v="9400073244"/>
    <s v="Cancelled"/>
  </r>
  <r>
    <s v="ORD10028"/>
    <s v="C008"/>
    <s v="P103"/>
    <x v="26"/>
    <s v="20/03/2026"/>
    <s v="Mohit Verma"/>
    <s v="Female"/>
    <s v="05/06/2004"/>
    <s v="Ahmedabad"/>
    <x v="2"/>
    <x v="0"/>
    <s v="Keyboard"/>
    <n v="11"/>
    <n v="1200"/>
    <n v="0"/>
    <x v="26"/>
    <n v="2"/>
    <s v="UPI"/>
    <s v="Karan"/>
    <s v="KAvya.nair@company.com"/>
    <s v="9771556720"/>
    <s v="Completed"/>
  </r>
  <r>
    <s v="ORD10029"/>
    <s v="C003"/>
    <s v="P203"/>
    <x v="27"/>
    <s v="20/09/2025"/>
    <s v="Kavya Nair"/>
    <s v="Male"/>
    <s v="11/08/2001"/>
    <s v="Pune"/>
    <x v="2"/>
    <x v="1"/>
    <s v="Microwave"/>
    <n v="6"/>
    <n v="8500"/>
    <n v="65"/>
    <x v="27"/>
    <n v="1"/>
    <s v="Card"/>
    <s v="Aisha"/>
    <s v="rohit.singh@company.com"/>
    <s v="9127480734"/>
    <s v="Completed"/>
  </r>
  <r>
    <s v="ORD10030"/>
    <s v="C006"/>
    <s v="P301"/>
    <x v="28"/>
    <s v="16/01/2026"/>
    <s v="Rohit Singh"/>
    <s v="Female"/>
    <s v="04/04/1981"/>
    <s v="Pune"/>
    <x v="2"/>
    <x v="0"/>
    <s v="Notebook"/>
    <n v="2"/>
    <n v="60"/>
    <n v="5"/>
    <x v="28"/>
    <n v="3"/>
    <s v="Cash"/>
    <s v="Karan"/>
    <s v="sneha.joshi@company.com"/>
    <s v="9512997042"/>
    <s v="Cancelled"/>
  </r>
  <r>
    <s v="ORD10031"/>
    <s v="C008"/>
    <s v="P303"/>
    <x v="29"/>
    <s v="26/06/2025"/>
    <s v="Sneha Joshi"/>
    <s v="Female"/>
    <s v="02/07/1996"/>
    <s v="Bengaluru"/>
    <x v="2"/>
    <x v="2"/>
    <s v="Marker"/>
    <n v="19"/>
    <n v="45"/>
    <n v="20"/>
    <x v="29"/>
    <n v="4"/>
    <s v="NetBanking"/>
    <s v="Aisha"/>
    <s v="KAvya.nair@company.com"/>
    <s v="9372748661"/>
    <s v="Cancelled"/>
  </r>
  <r>
    <s v="ORD10032"/>
    <s v="C002"/>
    <s v="P104"/>
    <x v="30"/>
    <s v="13/07/2025"/>
    <s v="Kavya Nair"/>
    <s v="Female"/>
    <s v="15/11/1976"/>
    <s v="Ahmedabad"/>
    <x v="0"/>
    <x v="2"/>
    <s v="Monitor"/>
    <n v="11"/>
    <n v="12000"/>
    <n v="0"/>
    <x v="30"/>
    <n v="3"/>
    <s v="UPI"/>
    <s v="Ritika"/>
    <s v="priYa.patel@company.com"/>
    <s v="9570437805"/>
    <s v="Pending"/>
  </r>
  <r>
    <s v="ORD10033"/>
    <s v="C006"/>
    <s v="P202"/>
    <x v="31"/>
    <s v="15/03/2025"/>
    <s v="Priya Patel"/>
    <s v="Female"/>
    <s v="28/10/1988"/>
    <s v="Bengaluru"/>
    <x v="2"/>
    <x v="1"/>
    <s v="Iron"/>
    <n v="20"/>
    <n v="2200"/>
    <n v="5"/>
    <x v="31"/>
    <n v="1"/>
    <s v="Cash"/>
    <s v="Rahul"/>
    <s v="sneha.joshi@company.com"/>
    <s v="9310669113"/>
    <s v="Pending"/>
  </r>
  <r>
    <s v="ORD10034"/>
    <s v="C007"/>
    <s v="P302"/>
    <x v="24"/>
    <s v="04/07/2025"/>
    <s v="Sneha Joshi"/>
    <s v="Male"/>
    <s v="23/06/2004"/>
    <s v="Ahmedabad"/>
    <x v="0"/>
    <x v="0"/>
    <s v="Pen"/>
    <n v="3"/>
    <n v="20"/>
    <n v="0"/>
    <x v="32"/>
    <n v="2"/>
    <s v="Card"/>
    <s v="Ritika"/>
    <s v="wrongmail"/>
    <s v="9437132894"/>
    <s v="Cancelled"/>
  </r>
  <r>
    <s v="ORD10035"/>
    <s v="C003"/>
    <s v="P303"/>
    <x v="32"/>
    <s v="19/10/2025"/>
    <s v="Arjun Rao"/>
    <s v="Male"/>
    <s v="22/04/1996"/>
    <s v="Pune"/>
    <x v="2"/>
    <x v="2"/>
    <s v="Marker"/>
    <n v="18"/>
    <n v="45"/>
    <n v="20"/>
    <x v="33"/>
    <n v="4"/>
    <s v="NetBanking"/>
    <s v="Ritika"/>
    <s v="rohit.singh@company.com"/>
    <s v="9762437243"/>
    <s v="Cancelled"/>
  </r>
  <r>
    <s v="ORD10036"/>
    <s v="C003"/>
    <s v="P103"/>
    <x v="33"/>
    <s v="26/11/2025"/>
    <s v="Rohit Singh"/>
    <s v="Male"/>
    <s v="07/07/1979"/>
    <s v="Bengaluru"/>
    <x v="2"/>
    <x v="2"/>
    <s v="Keyboard"/>
    <n v="4"/>
    <n v="1200"/>
    <n v="20"/>
    <x v="34"/>
    <n v="3"/>
    <s v="NetBanking"/>
    <s v="Aisha"/>
    <s v="rohit.singh@company.com"/>
    <s v="9149046970"/>
    <s v="Completed"/>
  </r>
  <r>
    <s v="ORD10037"/>
    <s v="C009"/>
    <s v="P101"/>
    <x v="34"/>
    <s v="14/11/2025"/>
    <s v="Rohit Singh"/>
    <s v="Male"/>
    <s v="27/09/1980"/>
    <s v="Kolkata"/>
    <x v="0"/>
    <x v="1"/>
    <s v="Laptop"/>
    <n v="10"/>
    <n v="55000"/>
    <n v="0"/>
    <x v="35"/>
    <n v="1"/>
    <s v="UPI"/>
    <s v="Rahul"/>
    <s v="mohit.verma@company.com"/>
    <s v="9869182901"/>
    <s v="Cancelled"/>
  </r>
  <r>
    <s v="ORD10038"/>
    <s v="C006"/>
    <s v="P201"/>
    <x v="35"/>
    <s v="20/03/2026"/>
    <s v="Mohit Verma"/>
    <s v="Female"/>
    <s v="21/06/1980"/>
    <s v="Delhi"/>
    <x v="3"/>
    <x v="1"/>
    <s v="Mixer"/>
    <n v="20"/>
    <n v="3500"/>
    <n v="10"/>
    <x v="36"/>
    <n v="3"/>
    <s v="Card"/>
    <s v="Rahul"/>
    <s v="sneha.joshi@company.com"/>
    <s v="9283578533"/>
    <s v="Cancelled"/>
  </r>
  <r>
    <s v="ORD10039"/>
    <s v="C008"/>
    <s v="P302"/>
    <x v="36"/>
    <s v="19/02/2025"/>
    <s v="Sneha Joshi"/>
    <s v="Female"/>
    <s v="17/06/1979"/>
    <s v="Pune"/>
    <x v="1"/>
    <x v="0"/>
    <s v="Pen"/>
    <n v="5"/>
    <s v="1200 "/>
    <n v="0"/>
    <x v="37"/>
    <n v="1"/>
    <s v="Cash"/>
    <s v="Rahul"/>
    <s v="KAvya.nair@company.com"/>
    <s v="9963005771"/>
    <s v="Cancelled"/>
  </r>
  <r>
    <s v="ORD10040"/>
    <s v="C010"/>
    <s v="P203"/>
    <x v="37"/>
    <s v="15/10/2025"/>
    <s v="Kavya Nair"/>
    <s v="Female"/>
    <s v="18/06/1992"/>
    <s v="Mumbai"/>
    <x v="2"/>
    <x v="2"/>
    <s v="Microwave"/>
    <n v="20"/>
    <n v="8500"/>
    <n v="0"/>
    <x v="38"/>
    <n v="1"/>
    <s v="UPI"/>
    <s v="Neha"/>
    <s v="pooja.shah@company.com"/>
    <s v="9484632635"/>
    <s v="Cancelled"/>
  </r>
  <r>
    <s v="ORD10041"/>
    <s v="C007"/>
    <s v="P301"/>
    <x v="38"/>
    <s v="12/02/2026"/>
    <s v="Pooja Shah"/>
    <s v="Male"/>
    <s v="06/06/1994"/>
    <s v="Bengaluru"/>
    <x v="2"/>
    <x v="0"/>
    <s v="Notebook"/>
    <n v="8"/>
    <n v="60"/>
    <n v="15"/>
    <x v="39"/>
    <n v="5"/>
    <s v="UPI"/>
    <s v="Rahul"/>
    <s v="arjun.rao@company.com"/>
    <s v="9276319484"/>
    <s v="Pending"/>
  </r>
  <r>
    <s v="ORD10042"/>
    <s v="C010"/>
    <s v="P201"/>
    <x v="39"/>
    <s v="16/06/2025"/>
    <s v="Arjun Rao"/>
    <s v="Female"/>
    <s v="22/09/1988"/>
    <s v="Pune"/>
    <x v="0"/>
    <x v="2"/>
    <s v="Mixer"/>
    <n v="8"/>
    <n v="3500"/>
    <n v="5"/>
    <x v="40"/>
    <n v="1"/>
    <s v="Card"/>
    <s v="Neha"/>
    <s v="pooja.shah@company.com"/>
    <s v="9619034852"/>
    <s v="Pending"/>
  </r>
  <r>
    <s v="ORD10043"/>
    <s v="C009"/>
    <s v="P203"/>
    <x v="40"/>
    <s v="14/02/2026"/>
    <s v="Pooja Shah"/>
    <s v="Male"/>
    <s v="14/07/2001"/>
    <s v="Jaipur"/>
    <x v="2"/>
    <x v="0"/>
    <s v="Microwave"/>
    <n v="1"/>
    <n v="8500"/>
    <n v="0"/>
    <x v="41"/>
    <n v="2"/>
    <s v="Card"/>
    <s v="Neha"/>
    <s v="mohit.verma@company.com"/>
    <s v="9636416962"/>
    <s v="Pending"/>
  </r>
  <r>
    <s v="ORD10044"/>
    <s v="C001"/>
    <s v="P303"/>
    <x v="41"/>
    <s v="31/03/2025"/>
    <s v="Mohit Verma"/>
    <s v="Male"/>
    <s v="09/08/1991"/>
    <s v="Pune"/>
    <x v="1"/>
    <x v="0"/>
    <s v="Marker"/>
    <n v="8"/>
    <n v="45"/>
    <n v="15"/>
    <x v="42"/>
    <n v="2"/>
    <s v="Card"/>
    <s v="Aisha"/>
    <s v="amit.sharma@company.com"/>
    <s v="9357133880"/>
    <s v="Completed"/>
  </r>
  <r>
    <s v="ORD10045"/>
    <s v="C006"/>
    <s v="P202"/>
    <x v="42"/>
    <s v="28/04/2025"/>
    <s v="Amit Sharma"/>
    <s v="Female"/>
    <s v="21/10/1988"/>
    <s v="Pune"/>
    <x v="2"/>
    <x v="2"/>
    <s v="Iron"/>
    <n v="16"/>
    <n v="2200"/>
    <n v="5"/>
    <x v="43"/>
    <n v="5"/>
    <s v="Card"/>
    <s v="Aisha"/>
    <s v="sneha.joshi@company.com"/>
    <s v="9575210324"/>
    <s v="Cancelled"/>
  </r>
  <r>
    <s v="ORD10046"/>
    <s v="C009"/>
    <s v="P201"/>
    <x v="43"/>
    <s v="23/10/2025"/>
    <s v="Sneha Joshi"/>
    <s v="Male"/>
    <s v="19/11/2002"/>
    <s v="Bengaluru"/>
    <x v="2"/>
    <x v="0"/>
    <s v="Mixer"/>
    <n v="19"/>
    <n v="3500"/>
    <n v="20"/>
    <x v="44"/>
    <n v="3"/>
    <s v="Cash"/>
    <s v="Karan"/>
    <s v="mohit.verma@company.com"/>
    <s v="9276080204"/>
    <s v="Cancelled"/>
  </r>
  <r>
    <s v="ORD10047"/>
    <s v="C006"/>
    <s v="P102"/>
    <x v="44"/>
    <s v="14/10/2025"/>
    <s v="Mohit Verma"/>
    <s v="Female"/>
    <s v="06/07/2000"/>
    <s v="Pune"/>
    <x v="0"/>
    <x v="0"/>
    <s v="Mouse"/>
    <n v="15"/>
    <n v="700"/>
    <n v="15"/>
    <x v="45"/>
    <n v="4"/>
    <s v="UPI"/>
    <s v="Neha"/>
    <s v="sneha.joshicompany.com"/>
    <s v="9856624471"/>
    <s v="Completed"/>
  </r>
  <r>
    <s v="ORD10048"/>
    <s v="C006"/>
    <s v="P102"/>
    <x v="45"/>
    <s v="03/12/2025"/>
    <s v="Sneha Joshi"/>
    <s v="Female"/>
    <s v="26/11/1998"/>
    <s v="Jaipur"/>
    <x v="2"/>
    <x v="1"/>
    <s v="Mouse"/>
    <n v="19"/>
    <n v="700"/>
    <n v="20"/>
    <x v="46"/>
    <n v="1"/>
    <s v="Cash"/>
    <s v="Neha"/>
    <s v="sneha.joshi@company.com"/>
    <s v="9238141322"/>
    <s v="Completed"/>
  </r>
  <r>
    <s v="ORD10049"/>
    <s v="C009"/>
    <s v="P104"/>
    <x v="46"/>
    <s v="Pending"/>
    <s v="Sneha Joshi"/>
    <s v="Male"/>
    <s v="03/06/1996"/>
    <s v="Delhi"/>
    <x v="1"/>
    <x v="1"/>
    <s v="Monitor"/>
    <n v="19"/>
    <n v="12000"/>
    <n v="0"/>
    <x v="47"/>
    <n v="1"/>
    <s v="NetBanking"/>
    <s v="Aisha"/>
    <s v="mohit.verma@company.com"/>
    <s v="9890380030"/>
    <s v="Completed"/>
  </r>
  <r>
    <s v="ORD10050"/>
    <s v="C004"/>
    <s v="P103"/>
    <x v="46"/>
    <s v="21/04/2026"/>
    <s v="Mohit Verma"/>
    <s v="Female"/>
    <s v="15/03/1987"/>
    <s v="Pune"/>
    <x v="1"/>
    <x v="1"/>
    <s v="Keyboard"/>
    <n v="6"/>
    <n v="1200"/>
    <n v="5"/>
    <x v="48"/>
    <n v="2"/>
    <s v="Cash"/>
    <s v="Ritika"/>
    <s v="anita.gupta@company.com"/>
    <s v="9495893170"/>
    <s v="Pending"/>
  </r>
  <r>
    <s v="ORD10051"/>
    <s v="C010"/>
    <s v="P202"/>
    <x v="47"/>
    <s v="07/04/2025"/>
    <s v="Anita Gupta"/>
    <s v="Female"/>
    <s v="20/02/1979"/>
    <s v="Bengaluru"/>
    <x v="2"/>
    <x v="1"/>
    <s v="Iron"/>
    <n v="7"/>
    <n v="2200"/>
    <n v="15"/>
    <x v="49"/>
    <n v="1"/>
    <s v="UPI"/>
    <s v="Aisha"/>
    <s v="pooja.shah@company.com"/>
    <s v="9485166307"/>
    <s v="Completed"/>
  </r>
  <r>
    <s v="ORD10052"/>
    <s v="C002"/>
    <s v="P301"/>
    <x v="48"/>
    <s v="28/08/2025"/>
    <s v="Pooja Shah"/>
    <s v="Female"/>
    <s v="09/08/2000"/>
    <s v="Jaipur"/>
    <x v="0"/>
    <x v="0"/>
    <s v="Notebook"/>
    <n v="8"/>
    <n v="60"/>
    <n v="10"/>
    <x v="50"/>
    <n v="5"/>
    <s v="Card"/>
    <s v="Aisha"/>
    <s v="priYa.patel@company.com"/>
    <s v="9924709648"/>
    <s v="Cancelled"/>
  </r>
  <r>
    <s v="ORD10053"/>
    <s v="C005"/>
    <s v="P101"/>
    <x v="49"/>
    <s v="23/08/2025"/>
    <s v="Priya Patel"/>
    <s v="Male"/>
    <s v="17/01/1976"/>
    <s v="Kolkata"/>
    <x v="1"/>
    <x v="2"/>
    <s v="Laptop"/>
    <n v="12"/>
    <n v="55000"/>
    <n v="5"/>
    <x v="51"/>
    <n v="2"/>
    <s v="UPI"/>
    <s v="Rahul"/>
    <s v="vikas.mehta@company.com"/>
    <s v="9350554626"/>
    <s v="Pending"/>
  </r>
  <r>
    <s v="ORD10054"/>
    <s v="C008"/>
    <s v="P102"/>
    <x v="50"/>
    <s v="05/08/2025"/>
    <s v="Vikas Mehta"/>
    <s v="Female"/>
    <s v="04/04/1975"/>
    <s v="Jaipur"/>
    <x v="3"/>
    <x v="1"/>
    <s v="Mouse"/>
    <n v="3"/>
    <n v="700"/>
    <n v="0"/>
    <x v="52"/>
    <n v="3"/>
    <s v="Card"/>
    <s v="Karan"/>
    <s v="KAvya.nair@company.com"/>
    <s v="9743295580"/>
    <s v="Cancelled"/>
  </r>
  <r>
    <s v="ORD10055"/>
    <s v="C003"/>
    <s v="P301"/>
    <x v="51"/>
    <s v="26/02/2025"/>
    <s v="Kavya Nair"/>
    <s v="Male"/>
    <s v="11/12/1976"/>
    <s v="Ahmedabad"/>
    <x v="1"/>
    <x v="1"/>
    <s v="Notebook"/>
    <n v="19"/>
    <n v="60"/>
    <n v="15"/>
    <x v="53"/>
    <n v="4"/>
    <s v="Card"/>
    <s v="Rahul"/>
    <s v="rohit.singh@company.com"/>
    <s v="9822926495"/>
    <s v="Cancelled"/>
  </r>
  <r>
    <s v="ORD10056"/>
    <s v="C001"/>
    <s v="P301"/>
    <x v="52"/>
    <s v="11/08/2025"/>
    <s v="Rohit Singh"/>
    <s v="Male"/>
    <s v="03/12/1979"/>
    <s v="Jaipur"/>
    <x v="2"/>
    <x v="2"/>
    <s v="Notebook"/>
    <n v="9"/>
    <n v="60"/>
    <n v="20"/>
    <x v="50"/>
    <n v="1"/>
    <s v="NetBanking"/>
    <s v="Neha"/>
    <s v="amit.sharma@company.com"/>
    <s v="9518298190"/>
    <s v="Pending"/>
  </r>
  <r>
    <s v="ORD10057"/>
    <s v="C001"/>
    <s v="P102"/>
    <x v="53"/>
    <s v="30/03/2026"/>
    <s v="Amit Sharma"/>
    <s v="Male"/>
    <s v="27/12/1978"/>
    <s v="Bengaluru"/>
    <x v="1"/>
    <x v="2"/>
    <s v="Mouse"/>
    <n v="6"/>
    <n v="700"/>
    <n v="0"/>
    <x v="54"/>
    <n v="4"/>
    <s v="UPI"/>
    <s v="Rahul"/>
    <s v="amit.sharmcompany.com"/>
    <s v="9366223547"/>
    <s v="Cancelled"/>
  </r>
  <r>
    <s v="ORD10058"/>
    <s v="C003"/>
    <s v="P303"/>
    <x v="26"/>
    <s v="19/03/2026"/>
    <s v="Amit Sharma"/>
    <s v="Male"/>
    <s v="15/04/1975"/>
    <s v="Delhi"/>
    <x v="0"/>
    <x v="1"/>
    <s v="Marker"/>
    <n v="18"/>
    <n v="45"/>
    <n v="5"/>
    <x v="55"/>
    <n v="1"/>
    <s v="Card"/>
    <s v="Aisha"/>
    <s v="rohit.singh@company.com"/>
    <s v="9701988524"/>
    <s v="Pending"/>
  </r>
  <r>
    <s v="ORD10059"/>
    <s v="C007"/>
    <s v="P302"/>
    <x v="54"/>
    <s v="26/06/2025"/>
    <s v="Rohit Singh"/>
    <s v="Male"/>
    <s v="19/12/1988"/>
    <s v="Jaipur"/>
    <x v="1"/>
    <x v="2"/>
    <s v="Pen"/>
    <n v="8"/>
    <n v="20"/>
    <n v="5"/>
    <x v="56"/>
    <n v="1"/>
    <s v="Card"/>
    <s v="Ritika"/>
    <s v="arjun.rao@company.com"/>
    <s v="9836327649"/>
    <s v="Completed"/>
  </r>
  <r>
    <s v="ORD10060"/>
    <s v="C005"/>
    <s v="P102"/>
    <x v="55"/>
    <s v="06/03/2025"/>
    <s v="Arjun Rao"/>
    <s v="Male"/>
    <s v="07/03/1979"/>
    <s v="Jaipur"/>
    <x v="1"/>
    <x v="2"/>
    <s v="Mouse"/>
    <n v="8"/>
    <n v="700"/>
    <n v="10"/>
    <x v="57"/>
    <n v="1"/>
    <s v="NetBanking"/>
    <s v="Aisha"/>
    <s v="vikas.mehta@company.com"/>
    <s v="9261800516"/>
    <s v="Cancelled"/>
  </r>
  <r>
    <s v="ORD10061"/>
    <s v="C008"/>
    <s v="P302"/>
    <x v="23"/>
    <s v="19/04/2026"/>
    <s v="Vikas Mehta"/>
    <s v="Female"/>
    <s v="17/12/2003"/>
    <s v="Delhi"/>
    <x v="1"/>
    <x v="1"/>
    <s v="Pen"/>
    <n v="7"/>
    <n v="20"/>
    <n v="15"/>
    <x v="58"/>
    <n v="5"/>
    <s v="Card"/>
    <s v="Rahul"/>
    <s v="KAvya.nair@company.com"/>
    <s v="9950802015"/>
    <s v="Completed"/>
  </r>
  <r>
    <s v="ORD10062"/>
    <s v="C002"/>
    <s v="P302"/>
    <x v="56"/>
    <s v="25/08/2025"/>
    <s v="Kavya Nair"/>
    <s v="Female"/>
    <s v="05/04/1984"/>
    <s v="Pune"/>
    <x v="1"/>
    <x v="2"/>
    <s v="Pen"/>
    <n v="16"/>
    <n v="20"/>
    <n v="0"/>
    <x v="59"/>
    <n v="5"/>
    <s v="NetBanking"/>
    <s v="Aisha"/>
    <s v="priYa.patel@company.com"/>
    <s v="9595183767"/>
    <s v="Pending"/>
  </r>
  <r>
    <s v="ORD10063"/>
    <s v="C010"/>
    <s v="P303"/>
    <x v="57"/>
    <s v="20/05/2026"/>
    <s v="Priya Patel"/>
    <s v="Female"/>
    <s v="13/04/1996"/>
    <s v="Mumbai"/>
    <x v="2"/>
    <x v="2"/>
    <s v="Marker"/>
    <n v="15"/>
    <n v="45"/>
    <n v="0"/>
    <x v="60"/>
    <n v="4"/>
    <s v="Cash"/>
    <s v="Aisha"/>
    <s v="pooja.shah@company.com"/>
    <s v="9560201307"/>
    <s v="Cancelled"/>
  </r>
  <r>
    <s v="ORD10064"/>
    <s v="C006"/>
    <s v="P102"/>
    <x v="58"/>
    <s v="05/03/2025"/>
    <s v="Pooja Shah"/>
    <s v="Female"/>
    <s v="08/09/2003"/>
    <s v="Ahmedabad"/>
    <x v="2"/>
    <x v="2"/>
    <s v="Mouse"/>
    <n v="15"/>
    <n v="700"/>
    <n v="10"/>
    <x v="61"/>
    <n v="3"/>
    <s v="NetBanking"/>
    <s v="Karan"/>
    <s v="sneha.joshi@company.com"/>
    <s v="9826484650"/>
    <s v="Completed"/>
  </r>
  <r>
    <s v="ORD10065"/>
    <s v="C010"/>
    <s v="P303"/>
    <x v="59"/>
    <s v="12/02/2025"/>
    <s v="Sneha Joshi"/>
    <s v="Female"/>
    <s v="24/09/1992"/>
    <s v="Kolkata"/>
    <x v="2"/>
    <x v="1"/>
    <s v="Marker"/>
    <n v="3"/>
    <n v="45"/>
    <n v="15"/>
    <x v="62"/>
    <n v="2"/>
    <s v="UPI"/>
    <s v="Neha"/>
    <s v="pooja.shah@company.com"/>
    <s v="9219978007"/>
    <s v="Pending"/>
  </r>
  <r>
    <s v="ORD10066"/>
    <s v="C002"/>
    <s v="P202"/>
    <x v="60"/>
    <s v="10/01/2026"/>
    <s v="Pooja Shah"/>
    <s v="Female"/>
    <s v="19/09/1986"/>
    <s v="Kolkata"/>
    <x v="3"/>
    <x v="2"/>
    <s v="Iron"/>
    <n v="7"/>
    <n v="2200"/>
    <n v="15"/>
    <x v="49"/>
    <n v="5"/>
    <s v="UPI"/>
    <s v="Neha"/>
    <s v="priYa.patel@company.com"/>
    <s v="9662063276"/>
    <s v="Completed"/>
  </r>
  <r>
    <s v="ORD10067"/>
    <s v="C008"/>
    <s v="P303"/>
    <x v="61"/>
    <s v="05/09/2025"/>
    <s v="Priya Patel"/>
    <s v="Female"/>
    <s v="28/05/1985"/>
    <s v="Delhi"/>
    <x v="3"/>
    <x v="0"/>
    <s v="Marker"/>
    <n v="19"/>
    <n v="45"/>
    <n v="10"/>
    <x v="55"/>
    <n v="5"/>
    <s v="Card"/>
    <s v="Neha"/>
    <s v="KAvya.nair@company.com"/>
    <s v="9190393639"/>
    <s v="Cancelled"/>
  </r>
  <r>
    <s v="ORD10068"/>
    <s v="C006"/>
    <s v="P201"/>
    <x v="62"/>
    <s v="14/02/2026"/>
    <s v="Kavya Nair"/>
    <s v="Female"/>
    <s v="27/08/1979"/>
    <s v="Hyderabad"/>
    <x v="1"/>
    <x v="2"/>
    <s v="Mixer"/>
    <n v="7"/>
    <n v="3500"/>
    <n v="15"/>
    <x v="63"/>
    <n v="1"/>
    <s v="Cash"/>
    <s v="Karan"/>
    <s v="sneha.joshi@company.com"/>
    <s v="9106328582"/>
    <s v="Pending"/>
  </r>
  <r>
    <s v="ORD10069"/>
    <s v="C010"/>
    <s v="P203"/>
    <x v="63"/>
    <s v="19/12/2025"/>
    <s v="Sneha Joshi"/>
    <s v="Female"/>
    <s v="22/12/1976"/>
    <s v="Jaipur"/>
    <x v="0"/>
    <x v="0"/>
    <s v="Microwave"/>
    <n v="7"/>
    <n v="8500"/>
    <n v="20"/>
    <x v="64"/>
    <n v="4"/>
    <s v="NetBanking"/>
    <s v="Neha"/>
    <s v="pooja.shah@company.com"/>
    <s v="9264401015"/>
    <s v="Completed"/>
  </r>
  <r>
    <s v="ORD10070"/>
    <s v="C008"/>
    <s v="P101"/>
    <x v="64"/>
    <s v="10/04/2025"/>
    <s v="Pooja Shah"/>
    <s v="Female"/>
    <s v="05/02/2000"/>
    <s v="Bengaluru"/>
    <x v="1"/>
    <x v="0"/>
    <s v="Laptop"/>
    <n v="16"/>
    <n v="55000"/>
    <n v="10"/>
    <x v="65"/>
    <n v="1"/>
    <s v="Card"/>
    <s v="Aisha"/>
    <s v="KAvya.nair@company.com"/>
    <s v="9959237375"/>
    <s v="Completed"/>
  </r>
  <r>
    <s v="ORD10071"/>
    <s v="C004"/>
    <s v="P104"/>
    <x v="65"/>
    <s v="03/01/2026"/>
    <s v="Kavya Nair"/>
    <s v="Female"/>
    <s v="24/02/1987"/>
    <s v="Mumbai"/>
    <x v="0"/>
    <x v="1"/>
    <s v="Monitor"/>
    <n v="2"/>
    <n v="12000"/>
    <n v="20"/>
    <x v="66"/>
    <n v="1"/>
    <s v="Cash"/>
    <s v="Karan"/>
    <s v="anita.gupta@company.com"/>
    <s v="9561836580"/>
    <s v="Pending"/>
  </r>
  <r>
    <s v="ORD10072"/>
    <s v="C003"/>
    <s v="P303"/>
    <x v="66"/>
    <s v="05/09/2025"/>
    <s v="Anita Gupta"/>
    <s v="Male"/>
    <s v="24/07/1984"/>
    <s v="Bengaluru"/>
    <x v="2"/>
    <x v="1"/>
    <s v="Marker"/>
    <n v="4"/>
    <n v="45"/>
    <n v="5"/>
    <x v="67"/>
    <n v="1"/>
    <s v="Card"/>
    <s v="Rahul"/>
    <s v="rohit.singh@company.com"/>
    <s v="9512666401"/>
    <s v="Pending"/>
  </r>
  <r>
    <s v="ORD10073"/>
    <s v="C008"/>
    <s v="P103"/>
    <x v="67"/>
    <s v="23/12/2025"/>
    <s v="Rohit Singh"/>
    <s v="Female"/>
    <s v="22/09/1981"/>
    <s v="Jaipur"/>
    <x v="0"/>
    <x v="2"/>
    <s v="Keyboard"/>
    <n v="1"/>
    <n v="1200"/>
    <n v="5"/>
    <x v="68"/>
    <n v="3"/>
    <s v="UPI"/>
    <s v="Aisha"/>
    <s v="KAvya.nair@company.com"/>
    <s v="9808988530"/>
    <s v="Cancelled"/>
  </r>
  <r>
    <s v="ORD10074"/>
    <s v="C010"/>
    <s v="P202"/>
    <x v="68"/>
    <s v="16/02/2026"/>
    <s v="Kavya Nair"/>
    <s v="Female"/>
    <s v="20/06/1980"/>
    <m/>
    <x v="1"/>
    <x v="1"/>
    <s v="Iron"/>
    <n v="1"/>
    <n v="2200"/>
    <n v="15"/>
    <x v="69"/>
    <n v="4"/>
    <s v="Card"/>
    <s v="Aisha"/>
    <s v="pooja.shah@company.com"/>
    <s v="9286410494"/>
    <s v="Completed"/>
  </r>
  <r>
    <s v="ORD10075"/>
    <s v="C003"/>
    <s v="P103"/>
    <x v="69"/>
    <s v="28/01/2026"/>
    <s v="Pooja Shah"/>
    <s v="Male"/>
    <s v="02/11/1982"/>
    <s v="Pune"/>
    <x v="0"/>
    <x v="0"/>
    <s v="Keyboard"/>
    <n v="3"/>
    <n v="1200"/>
    <n v="10"/>
    <x v="70"/>
    <n v="5"/>
    <s v="Cash"/>
    <s v="Rahul"/>
    <s v="rohit.singh@company.com"/>
    <s v="9311555196"/>
    <s v="Completed"/>
  </r>
  <r>
    <s v="ORD10076"/>
    <s v="C008"/>
    <s v="P201"/>
    <x v="70"/>
    <s v="07/07/2025"/>
    <s v="Rohit Singh"/>
    <s v="Female"/>
    <s v="10/01/1980"/>
    <s v="Bengaluru"/>
    <x v="2"/>
    <x v="1"/>
    <s v="Mixer"/>
    <n v="10"/>
    <n v="3500"/>
    <n v="20"/>
    <x v="71"/>
    <n v="5"/>
    <s v="Card"/>
    <s v="Ritika"/>
    <s v="KAvya.nair@company.com"/>
    <s v="9101810266"/>
    <s v="Completed"/>
  </r>
  <r>
    <s v="ORD10077"/>
    <s v="C007"/>
    <s v="P102"/>
    <x v="71"/>
    <s v="19/03/2026"/>
    <s v="Kavya Nair"/>
    <s v="Male"/>
    <s v="27/04/1981"/>
    <s v="Delhi"/>
    <x v="0"/>
    <x v="0"/>
    <s v="Mouse"/>
    <n v="18"/>
    <n v="700"/>
    <n v="5"/>
    <x v="72"/>
    <n v="3"/>
    <s v="Card"/>
    <s v="Neha"/>
    <s v="arjun.rao@company.com"/>
    <s v="9464556593"/>
    <s v="Cancelled"/>
  </r>
  <r>
    <s v="ORD10078"/>
    <s v="C005"/>
    <s v="P102"/>
    <x v="72"/>
    <s v="18/06/2025"/>
    <s v="Arjun Rao"/>
    <s v="Male"/>
    <s v="12/03/1985"/>
    <s v="Bengaluru"/>
    <x v="1"/>
    <x v="1"/>
    <s v="Mouse"/>
    <n v="12"/>
    <n v="700"/>
    <n v="15"/>
    <x v="73"/>
    <n v="2"/>
    <s v="UPI"/>
    <s v="Rahul"/>
    <s v="vikas.mehta@company.com"/>
    <s v="9338278358"/>
    <s v="Completed"/>
  </r>
  <r>
    <s v="ORD10079"/>
    <s v="C009"/>
    <s v="P103"/>
    <x v="73"/>
    <s v="16/11/2025"/>
    <s v="Vikas Mehta"/>
    <s v="Male"/>
    <s v="15/03/1999"/>
    <s v="Mumbai"/>
    <x v="0"/>
    <x v="1"/>
    <s v="Keyboard"/>
    <n v="8"/>
    <n v="1200"/>
    <n v="0"/>
    <x v="74"/>
    <n v="4"/>
    <s v="Card"/>
    <s v="Rahul"/>
    <s v="mohit.verma@company.com"/>
    <s v="9621410770"/>
    <s v="Pending"/>
  </r>
  <r>
    <s v="ORD10080"/>
    <s v="C003"/>
    <s v="P301"/>
    <x v="74"/>
    <s v="10/11/2025"/>
    <s v="Mohit Verma"/>
    <s v="Male"/>
    <s v="07/07/1983"/>
    <s v="Pune"/>
    <x v="2"/>
    <x v="1"/>
    <s v="Notebook"/>
    <n v="2"/>
    <n v="60"/>
    <n v="0"/>
    <x v="75"/>
    <n v="2"/>
    <s v="UPI"/>
    <s v="Rahul"/>
    <s v="rohit.singh@company.com"/>
    <s v="9981333189"/>
    <s v="Completed"/>
  </r>
  <r>
    <s v="ORD10081"/>
    <s v="C001"/>
    <s v="P303"/>
    <x v="75"/>
    <s v="07/01/2025"/>
    <s v="Rohit Singh"/>
    <s v="Male"/>
    <s v="06/03/1989"/>
    <s v="Pune"/>
    <x v="2"/>
    <x v="2"/>
    <s v="Marker"/>
    <n v="10"/>
    <n v="45"/>
    <n v="15"/>
    <x v="76"/>
    <n v="3"/>
    <s v="NetBanking"/>
    <s v="Ritika"/>
    <s v="amit.sharma@company.com"/>
    <s v="9723450355"/>
    <s v="Cancelled"/>
  </r>
  <r>
    <s v="ORD10082"/>
    <s v="C005"/>
    <s v="P201"/>
    <x v="76"/>
    <s v="03/05/2026"/>
    <s v="Amit Sharma"/>
    <s v="Male"/>
    <s v="20/06/1982"/>
    <s v="Kolkata"/>
    <x v="2"/>
    <x v="2"/>
    <s v="Mixer"/>
    <n v="12"/>
    <n v="3500"/>
    <n v="5"/>
    <x v="77"/>
    <n v="3"/>
    <s v="NetBanking"/>
    <s v="Aisha"/>
    <s v="vikas.mehta@company.com"/>
    <s v="9886243907"/>
    <s v="Pending"/>
  </r>
  <r>
    <s v="ORD10083"/>
    <s v="C003"/>
    <s v="P301"/>
    <x v="9"/>
    <s v="27/09/2025"/>
    <s v="Vikas Mehta"/>
    <s v="Male"/>
    <s v="23/06/2001"/>
    <s v="Mumbai"/>
    <x v="3"/>
    <x v="0"/>
    <s v="Notebook"/>
    <n v="2"/>
    <n v="60"/>
    <n v="15"/>
    <x v="78"/>
    <n v="1"/>
    <s v="UPI"/>
    <s v="Neha"/>
    <s v="rohit.singh@company.com"/>
    <s v="9473931904"/>
    <s v="Completed"/>
  </r>
  <r>
    <s v="ORD10084"/>
    <s v="C003"/>
    <s v="P103"/>
    <x v="77"/>
    <s v="21/03/2025"/>
    <s v="Rohit Singh"/>
    <s v="Male"/>
    <s v="19/07/1983"/>
    <s v="Hyderabad"/>
    <x v="2"/>
    <x v="2"/>
    <s v="Keyboard"/>
    <n v="18"/>
    <n v="1200"/>
    <n v="15"/>
    <x v="79"/>
    <n v="3"/>
    <s v="Card"/>
    <s v="Neha"/>
    <s v="rohit.singh@company.com"/>
    <s v="9287159610"/>
    <s v="Pending"/>
  </r>
  <r>
    <s v="ORD10085"/>
    <s v="C008"/>
    <s v="P104"/>
    <x v="78"/>
    <s v="31/10/2025"/>
    <s v="Rohit Singh"/>
    <s v="Female"/>
    <s v="24/03/1993"/>
    <s v="Mumbai"/>
    <x v="0"/>
    <x v="1"/>
    <s v="Monitor"/>
    <n v="18"/>
    <n v="12000"/>
    <n v="15"/>
    <x v="1"/>
    <n v="2"/>
    <s v="Cash"/>
    <s v="Rahul"/>
    <s v="KAvya.nair@company.com"/>
    <s v="9876513858"/>
    <s v="Completed"/>
  </r>
  <r>
    <s v="ORD10086"/>
    <s v="C007"/>
    <s v="P302"/>
    <x v="79"/>
    <s v="11/11/2025"/>
    <s v="Kavya Nair"/>
    <s v="Male"/>
    <s v="10/05/1995"/>
    <s v="Ahmedabad"/>
    <x v="2"/>
    <x v="1"/>
    <s v="Pen"/>
    <n v="7"/>
    <n v="20"/>
    <n v="0"/>
    <x v="80"/>
    <n v="2"/>
    <s v="Card"/>
    <s v="Ritika"/>
    <s v="arjun.rao@company.com"/>
    <s v="9237400853"/>
    <s v="Cancelled"/>
  </r>
  <r>
    <s v="ORD10087"/>
    <s v="C006"/>
    <s v="P201"/>
    <x v="80"/>
    <s v="18/04/2025"/>
    <s v="Arjun Rao"/>
    <s v="Female"/>
    <s v="15/02/2001"/>
    <s v="Pune"/>
    <x v="2"/>
    <x v="2"/>
    <s v="Mixer"/>
    <n v="20"/>
    <n v="3500"/>
    <n v="20"/>
    <x v="81"/>
    <n v="4"/>
    <s v="Card"/>
    <s v="Neha"/>
    <s v="sneha.joshi@company.com"/>
    <s v="9599597595"/>
    <s v="Pending"/>
  </r>
  <r>
    <s v="ORD10088"/>
    <s v="C002"/>
    <s v="P203"/>
    <x v="81"/>
    <s v="26/03/2026"/>
    <s v="Sneha Joshi"/>
    <s v="Female"/>
    <s v="14/08/1999"/>
    <s v="Ahmedabad"/>
    <x v="2"/>
    <x v="0"/>
    <s v="Microwave"/>
    <n v="8"/>
    <n v="8500"/>
    <n v="20"/>
    <x v="82"/>
    <n v="3"/>
    <s v="Card"/>
    <s v="Neha"/>
    <s v="priYa.patel@company.com"/>
    <s v="9230007509"/>
    <s v="Pending"/>
  </r>
  <r>
    <s v="ORD10089"/>
    <s v="C001"/>
    <s v="P104"/>
    <x v="82"/>
    <s v="24/09/2025"/>
    <s v="Priya Patel"/>
    <s v="Male"/>
    <s v="20/03/2002"/>
    <s v="Ahmedabad"/>
    <x v="2"/>
    <x v="0"/>
    <s v="Monitor"/>
    <n v="6"/>
    <n v="12000"/>
    <n v="5"/>
    <x v="83"/>
    <n v="4"/>
    <s v="NetBanking"/>
    <s v="Ritika"/>
    <s v="amit.sharma@company.com"/>
    <s v="9823428025"/>
    <s v="Completed"/>
  </r>
  <r>
    <s v="ORD10090"/>
    <s v="C008"/>
    <s v="P203"/>
    <x v="83"/>
    <s v="19/03/2026"/>
    <s v="Amit Sharma"/>
    <s v="Female"/>
    <s v="13/06/1992"/>
    <s v="Pune"/>
    <x v="1"/>
    <x v="1"/>
    <s v="Microwave"/>
    <n v="15"/>
    <n v="8500"/>
    <n v="0"/>
    <x v="84"/>
    <n v="4"/>
    <s v="NetBanking"/>
    <s v="Ritika"/>
    <s v="KAvya.nair@company.com"/>
    <s v="9505048912"/>
    <s v="Cancelled"/>
  </r>
  <r>
    <s v="ORD10091"/>
    <s v="C010"/>
    <s v="P103"/>
    <x v="84"/>
    <s v="23/08/2025"/>
    <s v="Kavya Nair"/>
    <s v="Female"/>
    <s v="18/06/1996"/>
    <s v="Jaipur"/>
    <x v="2"/>
    <x v="0"/>
    <s v="Keyboard"/>
    <n v="5"/>
    <n v="1200"/>
    <n v="15"/>
    <x v="85"/>
    <n v="1"/>
    <s v="NetBanking"/>
    <s v="Ritika"/>
    <s v="pooja.shah@company.com"/>
    <s v="9508068393"/>
    <s v="Cancelled"/>
  </r>
  <r>
    <s v="ORD10092"/>
    <s v="C010"/>
    <s v="P302"/>
    <x v="85"/>
    <s v="14/08/2025"/>
    <s v="Pooja Shah"/>
    <s v="Female"/>
    <s v="08/11/1982"/>
    <s v="Hyderabad"/>
    <x v="1"/>
    <x v="1"/>
    <s v="Pen"/>
    <n v="4"/>
    <n v="20"/>
    <n v="0"/>
    <x v="86"/>
    <n v="4"/>
    <s v="NetBanking"/>
    <s v="Rahul"/>
    <s v="pooja.shah@company.com"/>
    <s v="9785807771"/>
    <s v="Completed"/>
  </r>
  <r>
    <s v="ORD10093"/>
    <s v="C008"/>
    <s v="P302"/>
    <x v="86"/>
    <s v="20/03/2025"/>
    <s v="Pooja Shah"/>
    <s v="Female"/>
    <s v="25/06/1984"/>
    <s v="Bengaluru"/>
    <x v="0"/>
    <x v="2"/>
    <s v="Pen"/>
    <n v="10"/>
    <n v="20"/>
    <n v="0"/>
    <x v="87"/>
    <n v="3"/>
    <s v="Cash"/>
    <s v="Karan"/>
    <s v="KAvya.nair@company.com"/>
    <s v="9215250979"/>
    <s v="Pending"/>
  </r>
  <r>
    <s v="ORD10094"/>
    <s v="C004"/>
    <s v="P202"/>
    <x v="87"/>
    <s v="10/09/2025"/>
    <s v="Kavya Nair"/>
    <s v="Female"/>
    <s v="21/06/1994"/>
    <s v="Delhi"/>
    <x v="0"/>
    <x v="2"/>
    <s v="Iron"/>
    <n v="18"/>
    <n v="2200"/>
    <n v="10"/>
    <x v="88"/>
    <n v="3"/>
    <s v="Cash"/>
    <s v="Ritika"/>
    <s v="anita.gupta@company.com"/>
    <s v="9845884906"/>
    <s v="Cancelled"/>
  </r>
  <r>
    <s v="ORD10095"/>
    <s v="C001"/>
    <s v="P201"/>
    <x v="88"/>
    <s v="15/04/2025"/>
    <s v="Anita Gupta"/>
    <s v="Male"/>
    <s v="17/10/1990"/>
    <s v="Delhi"/>
    <x v="1"/>
    <x v="0"/>
    <s v="Mixer"/>
    <n v="7"/>
    <n v="3500"/>
    <n v="15"/>
    <x v="63"/>
    <n v="3"/>
    <s v="NetBanking"/>
    <s v="Rahul"/>
    <s v="amit.sharma@company.com"/>
    <s v="9393097397"/>
    <s v="Completed"/>
  </r>
  <r>
    <s v="ORD10096"/>
    <s v="C002"/>
    <s v="P203"/>
    <x v="89"/>
    <s v="07/05/2026"/>
    <s v="Amit Sharma"/>
    <s v="Female"/>
    <s v="28/01/1987"/>
    <s v="Kolkata"/>
    <x v="1"/>
    <x v="0"/>
    <s v="Microwave"/>
    <n v="19"/>
    <n v="8500"/>
    <n v="15"/>
    <x v="89"/>
    <n v="4"/>
    <s v="Card"/>
    <s v="Karan"/>
    <s v="priYa.patel@company.com"/>
    <s v="9958032109"/>
    <s v="Pending"/>
  </r>
  <r>
    <s v="ORD10097"/>
    <s v="C006"/>
    <s v="P104"/>
    <x v="90"/>
    <s v="27/01/2026"/>
    <s v="Priya Patel"/>
    <s v="Female"/>
    <s v="21/09/1983"/>
    <s v="Ahmedabad"/>
    <x v="3"/>
    <x v="0"/>
    <s v="Monitor"/>
    <n v="13"/>
    <n v="12000"/>
    <n v="15"/>
    <x v="90"/>
    <n v="4"/>
    <s v="Cash"/>
    <s v="Rahul"/>
    <s v="sneha.joshi@company.com"/>
    <s v="9755082957"/>
    <s v="Completed"/>
  </r>
  <r>
    <s v="ORD10098"/>
    <s v="C001"/>
    <s v="P302"/>
    <x v="91"/>
    <s v="24/03/2026"/>
    <s v="Sneha Joshi"/>
    <s v="Male"/>
    <s v="04/04/1989"/>
    <s v="Pune"/>
    <x v="2"/>
    <x v="1"/>
    <s v="Pen"/>
    <n v="7"/>
    <n v="20"/>
    <n v="0"/>
    <x v="80"/>
    <n v="1"/>
    <s v="Card"/>
    <s v="Karan"/>
    <s v="amit.sharma@company.com"/>
    <s v="9872235856"/>
    <s v="Cancelled"/>
  </r>
  <r>
    <s v="ORD10099"/>
    <s v="C004"/>
    <s v="P102"/>
    <x v="92"/>
    <s v="11/05/2025"/>
    <s v="Amit Sharma"/>
    <s v="Female"/>
    <s v="25/09/1987"/>
    <s v="Delhi"/>
    <x v="2"/>
    <x v="2"/>
    <s v="Mouse"/>
    <n v="5"/>
    <n v="700"/>
    <n v="15"/>
    <x v="91"/>
    <n v="4"/>
    <s v="Card"/>
    <s v="Ritika"/>
    <s v="anita.gupta@company.com"/>
    <s v="9335138816"/>
    <s v="Pending"/>
  </r>
  <r>
    <s v="ORD10100"/>
    <s v="C007"/>
    <s v="P303"/>
    <x v="93"/>
    <s v="10/05/2026"/>
    <s v="Anita Gupta"/>
    <s v="Male"/>
    <s v="07/08/1982"/>
    <s v="Bengaluru"/>
    <x v="1"/>
    <x v="1"/>
    <s v="Marker"/>
    <n v="9"/>
    <n v="45"/>
    <n v="5"/>
    <x v="92"/>
    <n v="3"/>
    <s v="Cash"/>
    <s v="Ritika"/>
    <s v="arjun.rao@company.com"/>
    <s v="9750365609"/>
    <s v="Completed"/>
  </r>
  <r>
    <s v="ORD10101"/>
    <s v="C003"/>
    <s v="P301"/>
    <x v="94"/>
    <s v="29/04/2025"/>
    <s v="Arjun Rao"/>
    <s v="Male"/>
    <s v="17/07/1986"/>
    <s v="Kolkata"/>
    <x v="0"/>
    <x v="2"/>
    <s v="Notebook"/>
    <n v="19"/>
    <n v="60"/>
    <n v="10"/>
    <x v="93"/>
    <n v="5"/>
    <s v="NetBanking"/>
    <s v="Neha"/>
    <s v="rohit.singh@company.com"/>
    <s v="9736812737"/>
    <s v="Completed"/>
  </r>
  <r>
    <s v="ORD10102"/>
    <s v="C001"/>
    <s v="P102"/>
    <x v="95"/>
    <s v="20/12/2025"/>
    <s v="Rohit Singh"/>
    <s v="Male"/>
    <s v="06/04/1987"/>
    <s v="Ahmedabad"/>
    <x v="3"/>
    <x v="2"/>
    <s v="Mouse"/>
    <n v="4"/>
    <n v="700"/>
    <n v="5"/>
    <x v="94"/>
    <n v="3"/>
    <s v="NetBanking"/>
    <s v="Aisha"/>
    <s v="amit.sharma@company.com"/>
    <s v="9271420931"/>
    <s v="Completed"/>
  </r>
  <r>
    <s v="ORD10103"/>
    <s v="C001"/>
    <s v="P201"/>
    <x v="93"/>
    <s v="15/05/2026"/>
    <s v="Amit Sharma"/>
    <s v="Male"/>
    <s v="25/02/2004"/>
    <s v="Pune"/>
    <x v="2"/>
    <x v="1"/>
    <s v="Mixer"/>
    <n v="16"/>
    <n v="3500"/>
    <n v="0"/>
    <x v="81"/>
    <n v="2"/>
    <s v="Card"/>
    <s v="Rahul"/>
    <s v="amit.sharma@company.com"/>
    <s v="9781411370"/>
    <s v="Completed"/>
  </r>
  <r>
    <s v="ORD10104"/>
    <s v="C006"/>
    <s v="P303"/>
    <x v="96"/>
    <s v="20/01/2025"/>
    <s v="Amit Sharma"/>
    <s v="Female"/>
    <s v="24/04/2001"/>
    <s v="Bengaluru"/>
    <x v="2"/>
    <x v="0"/>
    <s v="Marker"/>
    <n v="5"/>
    <n v="45"/>
    <n v="20"/>
    <x v="95"/>
    <n v="3"/>
    <s v="Card"/>
    <s v="Ritika"/>
    <s v="sneha.joshi@company.com"/>
    <s v="9584152818"/>
    <s v="Completed"/>
  </r>
  <r>
    <s v="ORD10105"/>
    <s v="C007"/>
    <s v="P302"/>
    <x v="97"/>
    <s v="18/03/2025"/>
    <s v="Sneha Joshi"/>
    <s v="Male"/>
    <s v="01/07/1996"/>
    <s v="Mumbai"/>
    <x v="0"/>
    <x v="2"/>
    <s v="Pen"/>
    <n v="9"/>
    <n v="20"/>
    <n v="10"/>
    <x v="96"/>
    <n v="4"/>
    <s v="Card"/>
    <s v="Ritika"/>
    <s v="arjun.rao@company.com"/>
    <s v="9507986836"/>
    <s v="Pending"/>
  </r>
  <r>
    <s v="ORD10106"/>
    <s v="C010"/>
    <s v="P103"/>
    <x v="98"/>
    <s v="01/03/2025"/>
    <s v="Arjun Rao"/>
    <s v="Female"/>
    <s v="06/02/1979"/>
    <s v="Delhi"/>
    <x v="2"/>
    <x v="2"/>
    <s v="Keyboard"/>
    <n v="9"/>
    <n v="1200"/>
    <n v="5"/>
    <x v="97"/>
    <n v="3"/>
    <s v="UPI"/>
    <s v="Ritika"/>
    <s v="pooja.shah@company.com"/>
    <s v="9518249687"/>
    <s v="Pending"/>
  </r>
  <r>
    <s v="ORD10107"/>
    <s v="C002"/>
    <s v="P201"/>
    <x v="99"/>
    <s v="27/02/2025"/>
    <s v="Pooja Shah"/>
    <s v="Female"/>
    <s v="12/12/1985"/>
    <s v="Delhi"/>
    <x v="1"/>
    <x v="1"/>
    <s v="Mixer"/>
    <n v="3"/>
    <n v="3500"/>
    <n v="10"/>
    <x v="61"/>
    <n v="2"/>
    <s v="Card"/>
    <s v="Karan"/>
    <s v="priYa.patel@company.com"/>
    <s v="9179328207"/>
    <s v="Cancelled"/>
  </r>
  <r>
    <s v="ORD10108"/>
    <s v="C005"/>
    <s v="P103"/>
    <x v="26"/>
    <s v="18/03/2026"/>
    <s v="Priya Patel"/>
    <s v="Male"/>
    <s v="28/01/1992"/>
    <s v="Mumbai"/>
    <x v="1"/>
    <x v="0"/>
    <s v="Keyboard"/>
    <n v="6"/>
    <n v="1200"/>
    <n v="15"/>
    <x v="98"/>
    <n v="4"/>
    <s v="UPI"/>
    <s v="Ritika"/>
    <s v="vikas.mehta@company.com"/>
    <s v="9778490728"/>
    <s v="Cancelled"/>
  </r>
  <r>
    <s v="ORD10109"/>
    <s v="C007"/>
    <s v="P103"/>
    <x v="100"/>
    <s v="12/07/2025"/>
    <s v="Vikas Mehta"/>
    <s v="Male"/>
    <s v="05/07/1993"/>
    <s v="Jaipur"/>
    <x v="2"/>
    <x v="1"/>
    <s v="Keyboard"/>
    <n v="17"/>
    <n v="1200"/>
    <n v="15"/>
    <x v="99"/>
    <n v="1"/>
    <s v="Cash"/>
    <s v="Aisha"/>
    <s v="arjun.rao@company.com"/>
    <s v="9223058722"/>
    <s v="Completed"/>
  </r>
  <r>
    <s v="ORD10110"/>
    <s v="C005"/>
    <s v="P203"/>
    <x v="101"/>
    <s v="26/11/2025"/>
    <s v="Arjun Rao"/>
    <s v="Male"/>
    <s v="13/09/1977"/>
    <s v="Bengaluru"/>
    <x v="1"/>
    <x v="1"/>
    <s v="Microwave"/>
    <n v="15"/>
    <n v="8500"/>
    <n v="0"/>
    <x v="84"/>
    <n v="3"/>
    <s v="Cash"/>
    <s v="Neha"/>
    <s v="vikas.mehta@company.com"/>
    <s v="9999889465"/>
    <s v="Pending"/>
  </r>
  <r>
    <s v="ORD10111"/>
    <s v="C003"/>
    <s v="P103"/>
    <x v="6"/>
    <s v="19/04/2025"/>
    <s v="Vikas Mehta"/>
    <s v="Male"/>
    <s v="11/10/1985"/>
    <s v="Hyderabad"/>
    <x v="0"/>
    <x v="0"/>
    <s v="Keyboard"/>
    <n v="1"/>
    <n v="1200"/>
    <n v="20"/>
    <x v="100"/>
    <n v="1"/>
    <s v="UPI"/>
    <s v="Neha"/>
    <s v="rohit.singh@company.com"/>
    <s v="9489687402"/>
    <s v="Pending"/>
  </r>
  <r>
    <s v="ORD10112"/>
    <s v="C003"/>
    <s v="P203"/>
    <x v="102"/>
    <s v="18/04/2025"/>
    <s v="Rohit Singh"/>
    <s v="Male"/>
    <s v="02/10/2001"/>
    <s v="Kolkata"/>
    <x v="0"/>
    <x v="1"/>
    <s v="Microwave"/>
    <n v="5"/>
    <n v="8500"/>
    <n v="10"/>
    <x v="101"/>
    <n v="1"/>
    <s v="Card"/>
    <s v="Aisha"/>
    <s v="rohit.singh@company.com"/>
    <s v="9236963301"/>
    <s v="Completed"/>
  </r>
  <r>
    <s v="ORD10113"/>
    <s v="C010"/>
    <s v="P303"/>
    <x v="103"/>
    <s v="10/04/2026"/>
    <s v="Rohit Singh"/>
    <s v="Female"/>
    <s v="08/04/1986"/>
    <s v="Hyderabad"/>
    <x v="3"/>
    <x v="0"/>
    <s v="Marker"/>
    <n v="12"/>
    <n v="45"/>
    <n v="5"/>
    <x v="102"/>
    <n v="2"/>
    <s v="NetBanking"/>
    <s v="Ritika"/>
    <s v="pooja.shah@company.com"/>
    <s v="9653594592"/>
    <s v="Cancelled"/>
  </r>
  <r>
    <s v="ORD10114"/>
    <s v="C005"/>
    <s v="P301"/>
    <x v="104"/>
    <s v="28/10/2025"/>
    <s v="Pooja Shah"/>
    <s v="Male"/>
    <s v="21/07/1990"/>
    <s v="Pune"/>
    <x v="0"/>
    <x v="2"/>
    <s v="Notebook"/>
    <n v="5"/>
    <n v="60"/>
    <n v="5"/>
    <x v="103"/>
    <n v="2"/>
    <s v="Cash"/>
    <s v="Aisha"/>
    <s v="vikas.mehta@company.com"/>
    <s v="9781970426"/>
    <s v="Completed"/>
  </r>
  <r>
    <s v="ORD10115"/>
    <s v="C010"/>
    <s v="P102"/>
    <x v="105"/>
    <s v="14/04/2025"/>
    <s v="Vikas Mehta"/>
    <s v="Female"/>
    <s v="11/04/1994"/>
    <s v="Kolkata"/>
    <x v="2"/>
    <x v="2"/>
    <s v="Mouse"/>
    <n v="3"/>
    <n v="700"/>
    <n v="0"/>
    <x v="52"/>
    <n v="4"/>
    <s v="Card"/>
    <s v="Aisha"/>
    <s v="pooja.shah@company.com"/>
    <s v="9862165194"/>
    <s v="Completed"/>
  </r>
  <r>
    <s v="ORD10116"/>
    <s v="C004"/>
    <s v="P302"/>
    <x v="42"/>
    <s v="29/04/2025"/>
    <s v="Pooja Shah"/>
    <s v="Female"/>
    <s v="04/05/1992"/>
    <s v="Delhi"/>
    <x v="3"/>
    <x v="1"/>
    <s v="Pen"/>
    <n v="6"/>
    <n v="20"/>
    <n v="15"/>
    <x v="78"/>
    <n v="5"/>
    <s v="Card"/>
    <s v="Karan"/>
    <s v="anita.gupta@company.com"/>
    <s v="9661280388"/>
    <s v="Completed"/>
  </r>
  <r>
    <s v="ORD10117"/>
    <s v="C002"/>
    <s v="P102"/>
    <x v="106"/>
    <s v="31/08/2025"/>
    <s v="Anita Gupta"/>
    <s v="Female"/>
    <s v="13/05/1980"/>
    <s v="Bengaluru"/>
    <x v="1"/>
    <x v="2"/>
    <s v="Mouse"/>
    <n v="2"/>
    <n v="700"/>
    <n v="15"/>
    <x v="104"/>
    <n v="4"/>
    <s v="Cash"/>
    <s v="Karan"/>
    <s v="priYa.patel@company.com"/>
    <s v="9896985355"/>
    <s v="Pending"/>
  </r>
  <r>
    <s v="ORD10118"/>
    <s v="C001"/>
    <s v="P303"/>
    <x v="107"/>
    <s v="11/06/2025"/>
    <s v="Priya Patel"/>
    <s v="Male"/>
    <s v="07/09/1995"/>
    <s v="Pune"/>
    <x v="0"/>
    <x v="1"/>
    <s v="Marker"/>
    <n v="16"/>
    <n v="45"/>
    <n v="0"/>
    <x v="105"/>
    <n v="1"/>
    <s v="NetBanking"/>
    <s v="Aisha"/>
    <s v="amit.sharma@company.com"/>
    <s v="9807154421"/>
    <s v="Completed"/>
  </r>
  <r>
    <s v="ORD10119"/>
    <s v="C009"/>
    <s v="P103"/>
    <x v="108"/>
    <s v="02/06/2025"/>
    <s v="Amit Sharma"/>
    <s v="Male"/>
    <s v="08/03/1988"/>
    <s v="Ahmedabad"/>
    <x v="2"/>
    <x v="2"/>
    <s v="Keyboard"/>
    <s v="Ten"/>
    <n v="1200"/>
    <n v="15"/>
    <x v="73"/>
    <n v="4"/>
    <s v="UPI"/>
    <s v="Karan"/>
    <s v="mohit.verma@company.com"/>
    <s v="9919834000"/>
    <s v="Pending"/>
  </r>
  <r>
    <s v="ORD10120"/>
    <s v="C002"/>
    <s v="P104"/>
    <x v="49"/>
    <s v="30/08/2025"/>
    <s v="Mohit Verma"/>
    <s v="Female"/>
    <s v="07/07/1989"/>
    <s v="Jaipur"/>
    <x v="2"/>
    <x v="1"/>
    <s v="Monitor"/>
    <n v="14"/>
    <n v="12000"/>
    <n v="15"/>
    <x v="6"/>
    <n v="2"/>
    <s v="NetBanking"/>
    <s v="Aisha"/>
    <s v="priYa.patel@company.com"/>
    <s v="9739798818"/>
    <s v="Pending"/>
  </r>
  <r>
    <s v="ORD10121"/>
    <s v="C003"/>
    <s v="P203"/>
    <x v="63"/>
    <s v="16/12/2025"/>
    <s v="Priya Patel"/>
    <s v="Male"/>
    <s v="11/11/1993"/>
    <s v="Pune"/>
    <x v="1"/>
    <x v="1"/>
    <s v="Microwave"/>
    <n v="8"/>
    <n v="8500"/>
    <n v="20"/>
    <x v="82"/>
    <n v="3"/>
    <s v="Card"/>
    <s v="Rahul"/>
    <s v="rohit.singh@company.com"/>
    <s v="9208625306"/>
    <s v="Completed"/>
  </r>
  <r>
    <s v="ORD10122"/>
    <s v="C007"/>
    <s v="P303"/>
    <x v="7"/>
    <s v="10/02/2026"/>
    <s v="Rohit Singh"/>
    <s v="Male"/>
    <s v="01/02/2000"/>
    <s v="Bengaluru"/>
    <x v="2"/>
    <x v="0"/>
    <s v="Marker"/>
    <n v="3"/>
    <n v="45"/>
    <n v="0"/>
    <x v="106"/>
    <n v="4"/>
    <s v="UPI"/>
    <s v="Aisha"/>
    <s v="arjun.rao@company.com"/>
    <s v="9970178536"/>
    <s v="Cancelled"/>
  </r>
  <r>
    <s v="ORD10123"/>
    <s v="C001"/>
    <s v="P102"/>
    <x v="109"/>
    <s v="04/01/2026"/>
    <s v="Arjun Rao"/>
    <s v="Male"/>
    <s v="22/06/1986"/>
    <s v="Jaipur"/>
    <x v="0"/>
    <x v="2"/>
    <s v="Mouse"/>
    <n v="13"/>
    <n v="700"/>
    <n v="5"/>
    <x v="107"/>
    <n v="3"/>
    <s v="Card"/>
    <s v="Neha"/>
    <s v="amit.sharma@company.com"/>
    <s v="9633745195"/>
    <s v="Pending"/>
  </r>
  <r>
    <s v="ORD10124"/>
    <s v="C004"/>
    <s v="P103"/>
    <x v="110"/>
    <s v="26/10/2025"/>
    <s v="Amit Sharma"/>
    <s v="Female"/>
    <s v="16/02/1986"/>
    <s v="Mumbai"/>
    <x v="1"/>
    <x v="1"/>
    <s v="Keyboard"/>
    <n v="14"/>
    <n v="1200"/>
    <n v="20"/>
    <x v="108"/>
    <n v="5"/>
    <s v="NetBanking"/>
    <s v="Aisha"/>
    <s v="anita.gupta@company.com"/>
    <s v="9922102053"/>
    <s v="Completed"/>
  </r>
  <r>
    <s v="ORD10125"/>
    <s v="C002"/>
    <s v="P303"/>
    <x v="111"/>
    <s v="21/05/2025"/>
    <s v="Anita Gupta"/>
    <s v="Female"/>
    <s v="18/09/1991"/>
    <s v="Delhi"/>
    <x v="2"/>
    <x v="1"/>
    <s v="Marker"/>
    <n v="2"/>
    <n v="45"/>
    <n v="5"/>
    <x v="109"/>
    <n v="3"/>
    <s v="UPI"/>
    <s v="Ritika"/>
    <s v="priYa.patel@company.com"/>
    <s v="9135963930"/>
    <s v="Cancelled"/>
  </r>
  <r>
    <s v="ORD10126"/>
    <s v="C004"/>
    <s v="P103"/>
    <x v="112"/>
    <s v="06/01/2026"/>
    <s v="Priya Patel"/>
    <s v="Female"/>
    <s v="04/01/1981"/>
    <s v="Bengaluru"/>
    <x v="1"/>
    <x v="2"/>
    <s v="Keyboard"/>
    <n v="2"/>
    <n v="1200"/>
    <n v="20"/>
    <x v="110"/>
    <n v="3"/>
    <s v="Card"/>
    <s v="Neha"/>
    <s v="anita.gupta@company.com"/>
    <s v="9429405275"/>
    <s v="Completed"/>
  </r>
  <r>
    <s v="ORD10127"/>
    <s v="C003"/>
    <s v="P101"/>
    <x v="113"/>
    <s v="26/04/2026"/>
    <s v="Anita Gupta"/>
    <s v="Male"/>
    <s v="12/10/2004"/>
    <s v="Bengaluru"/>
    <x v="0"/>
    <x v="1"/>
    <s v="Laptop"/>
    <n v="10"/>
    <n v="55000"/>
    <n v="5"/>
    <x v="111"/>
    <n v="5"/>
    <s v="UPI"/>
    <s v="Aisha"/>
    <s v="rohit.singh@company.com"/>
    <s v="9521757571"/>
    <s v="Pending"/>
  </r>
  <r>
    <s v="ORD10128"/>
    <s v="C006"/>
    <s v="P201"/>
    <x v="114"/>
    <s v="05/08/2025"/>
    <s v="Rohit Singh"/>
    <s v="Female"/>
    <s v="25/03/1984"/>
    <s v="Jaipur"/>
    <x v="0"/>
    <x v="1"/>
    <s v="Mixer"/>
    <n v="15"/>
    <n v="3500"/>
    <n v="10"/>
    <x v="112"/>
    <n v="3"/>
    <s v="NetBanking"/>
    <s v="Neha"/>
    <s v="sneha.joshi@company.com"/>
    <s v="9467375455"/>
    <s v="Completed"/>
  </r>
  <r>
    <s v="ORD10129"/>
    <s v="C002"/>
    <s v="P202"/>
    <x v="85"/>
    <s v="18/08/2025"/>
    <s v="Sneha Joshi"/>
    <s v="Female"/>
    <s v="09/09/1982"/>
    <s v="Bengaluru"/>
    <x v="1"/>
    <x v="0"/>
    <s v="Iron"/>
    <n v="10"/>
    <n v="2200"/>
    <n v="15"/>
    <x v="113"/>
    <n v="4"/>
    <s v="Card"/>
    <s v="Rahul"/>
    <s v="priYa.patel@company.com"/>
    <s v="9838809695"/>
    <s v="Pending"/>
  </r>
  <r>
    <s v="ORD10130"/>
    <s v="C006"/>
    <s v="P201"/>
    <x v="29"/>
    <s v="24/06/2025"/>
    <s v="Priya Patel"/>
    <s v="Female"/>
    <s v="15/02/1993"/>
    <s v="Pune"/>
    <x v="0"/>
    <x v="0"/>
    <s v="Mixer"/>
    <n v="11"/>
    <n v="3500"/>
    <n v="5"/>
    <x v="114"/>
    <n v="5"/>
    <s v="Cash"/>
    <s v="Ritika"/>
    <s v="sneha.joshi@company.com"/>
    <s v="9296609782"/>
    <s v="Cancelled"/>
  </r>
  <r>
    <s v="ORD10131"/>
    <s v="C004"/>
    <s v="P103"/>
    <x v="115"/>
    <s v="30/04/2026"/>
    <s v="Sneha Joshi"/>
    <s v="Female"/>
    <s v="08/04/2003"/>
    <s v="Bengaluru"/>
    <x v="2"/>
    <x v="0"/>
    <s v="Keyboard"/>
    <n v="14"/>
    <n v="1200"/>
    <n v="0"/>
    <x v="115"/>
    <n v="5"/>
    <s v="Cash"/>
    <s v="Rahul"/>
    <s v="anita.gupta@company.com"/>
    <s v="9848259992"/>
    <s v="Cancelled"/>
  </r>
  <r>
    <s v="ORD10132"/>
    <s v="C002"/>
    <s v="P302"/>
    <x v="116"/>
    <s v="22/02/2026"/>
    <s v="Anita Gupta"/>
    <s v="Female"/>
    <s v="20/10/1989"/>
    <s v="Delhi"/>
    <x v="0"/>
    <x v="1"/>
    <s v="Pen"/>
    <n v="11"/>
    <n v="20"/>
    <n v="20"/>
    <x v="116"/>
    <n v="4"/>
    <s v="NetBanking"/>
    <s v="Ritika"/>
    <s v="priYa.patel@company.com"/>
    <s v="9254082295"/>
    <s v="Completed"/>
  </r>
  <r>
    <s v="ORD10133"/>
    <s v="C009"/>
    <s v="P104"/>
    <x v="117"/>
    <s v="10/04/2026"/>
    <s v="Priya Patel"/>
    <s v="Male"/>
    <s v="15/09/1995"/>
    <s v="Pune"/>
    <x v="1"/>
    <x v="2"/>
    <s v="Monitor"/>
    <n v="6"/>
    <n v="12000"/>
    <n v="10"/>
    <x v="117"/>
    <n v="5"/>
    <s v="UPI"/>
    <s v="Karan"/>
    <s v="mohit.verma@company.com"/>
    <s v="9687923860"/>
    <s v="Completed"/>
  </r>
  <r>
    <s v="ORD10134"/>
    <s v="C009"/>
    <s v="P202"/>
    <x v="102"/>
    <s v="18/04/2025"/>
    <s v="Mohit Verma"/>
    <s v="Male"/>
    <s v="07/04/1994"/>
    <s v="Hyderabad"/>
    <x v="2"/>
    <x v="1"/>
    <s v="Iron"/>
    <n v="6"/>
    <n v="2200"/>
    <n v="5"/>
    <x v="118"/>
    <n v="4"/>
    <s v="Cash"/>
    <s v="Rahul"/>
    <s v="mohit.verma@company.com"/>
    <s v="9426459149"/>
    <s v="Completed"/>
  </r>
  <r>
    <s v="ORD10135"/>
    <s v="C010"/>
    <s v="P201"/>
    <x v="54"/>
    <s v="27/06/2025"/>
    <s v="Mohit Verma"/>
    <s v="Female"/>
    <s v="02/10/2003"/>
    <s v="Delhi"/>
    <x v="0"/>
    <x v="0"/>
    <s v="Mixer"/>
    <n v="3"/>
    <n v="3500"/>
    <n v="5"/>
    <x v="119"/>
    <n v="4"/>
    <s v="NetBanking"/>
    <s v="Rahul"/>
    <s v="pooja.shah@company.com"/>
    <s v="9155925975"/>
    <s v="Pending"/>
  </r>
  <r>
    <s v="ORD10136"/>
    <s v="C009"/>
    <s v="P203"/>
    <x v="118"/>
    <s v="10/06/2025"/>
    <s v="Pooja Shah"/>
    <s v="Male"/>
    <s v="14/07/1997"/>
    <s v="Hyderabad"/>
    <x v="1"/>
    <x v="0"/>
    <s v="Microwave"/>
    <n v="5"/>
    <n v="8500"/>
    <n v="20"/>
    <x v="120"/>
    <n v="5"/>
    <s v="Cash"/>
    <s v="Aisha"/>
    <s v="mohit.verma@company.com"/>
    <s v="9945247701"/>
    <s v="Pending"/>
  </r>
  <r>
    <s v="ORD10137"/>
    <s v="C008"/>
    <s v="P201"/>
    <x v="119"/>
    <s v="01/08/2025"/>
    <s v="Mohit Verma"/>
    <s v="Female"/>
    <s v="09/08/1979"/>
    <s v="Bengaluru"/>
    <x v="0"/>
    <x v="0"/>
    <s v="Mixer"/>
    <n v="14"/>
    <n v="3500"/>
    <n v="10"/>
    <x v="121"/>
    <n v="4"/>
    <s v="UPI"/>
    <s v="Ritika"/>
    <s v="KAvya.nair@company.com"/>
    <s v="9597378398"/>
    <s v="Cancelled"/>
  </r>
  <r>
    <s v="ORD10138"/>
    <s v="C001"/>
    <s v="P303"/>
    <x v="120"/>
    <s v="21/01/2025"/>
    <s v="Kavya Nair"/>
    <s v="Male"/>
    <s v="20/10/2002"/>
    <s v="Ahmedabad"/>
    <x v="0"/>
    <x v="0"/>
    <s v="Marker"/>
    <n v="8"/>
    <n v="45"/>
    <n v="0"/>
    <x v="8"/>
    <n v="1"/>
    <s v="Card"/>
    <s v="Karan"/>
    <s v="amit.sharma@company.com"/>
    <s v="9343963736"/>
    <s v="Cancelled"/>
  </r>
  <r>
    <s v="ORD10139"/>
    <s v="C005"/>
    <s v="P303"/>
    <x v="121"/>
    <s v="05/02/2025"/>
    <s v="Amit Sharma"/>
    <s v="Male"/>
    <s v="24/07/1985"/>
    <s v="Delhi"/>
    <x v="2"/>
    <x v="2"/>
    <s v="Marker"/>
    <n v="11"/>
    <n v="45"/>
    <n v="5"/>
    <x v="122"/>
    <n v="3"/>
    <s v="Card"/>
    <s v="Rahul"/>
    <s v="vikas.mehta@company.com"/>
    <s v="9548742147"/>
    <s v="Completed"/>
  </r>
  <r>
    <s v="ORD10140"/>
    <s v="C007"/>
    <s v="P101"/>
    <x v="122"/>
    <s v="30/01/2025"/>
    <s v="Vikas Mehta"/>
    <s v="Male"/>
    <s v="23/08/1988"/>
    <s v="Ahmedabad"/>
    <x v="1"/>
    <x v="2"/>
    <s v="Laptop"/>
    <n v="19"/>
    <n v="55000"/>
    <n v="0"/>
    <x v="123"/>
    <n v="2"/>
    <s v="Card"/>
    <s v="Ritika"/>
    <s v="arjun.rao@company.com"/>
    <s v="9912945471"/>
    <s v="Cancelled"/>
  </r>
  <r>
    <s v="ORD10141"/>
    <s v="C010"/>
    <s v="P201"/>
    <x v="123"/>
    <s v="18/04/2025"/>
    <s v="Arjun Rao"/>
    <s v="Female"/>
    <s v="09/01/1979"/>
    <s v="Pune"/>
    <x v="2"/>
    <x v="1"/>
    <s v="Mixer"/>
    <n v="20"/>
    <n v="3500"/>
    <n v="20"/>
    <x v="81"/>
    <n v="4"/>
    <s v="NetBanking"/>
    <s v="Rahul"/>
    <s v="pooja.shah@company.com"/>
    <s v="9912630684"/>
    <s v="Completed"/>
  </r>
  <r>
    <s v="ORD10142"/>
    <s v="C007"/>
    <s v="P202"/>
    <x v="124"/>
    <s v="14/07/2025"/>
    <s v="Pooja Shah"/>
    <s v="Male"/>
    <s v="25/08/1986"/>
    <s v="Pune"/>
    <x v="2"/>
    <x v="0"/>
    <s v="Iron"/>
    <n v="17"/>
    <n v="2200"/>
    <n v="0"/>
    <x v="124"/>
    <n v="5"/>
    <s v="NetBanking"/>
    <s v="Ritika"/>
    <s v="arjun.rao@company.com"/>
    <s v="9114017237"/>
    <s v="Pending"/>
  </r>
  <r>
    <s v="ORD10143"/>
    <s v="C007"/>
    <s v="P103"/>
    <x v="122"/>
    <s v="29/01/2025"/>
    <s v="Arjun Rao"/>
    <s v="Male"/>
    <s v="01/04/1977"/>
    <s v="Pune"/>
    <x v="2"/>
    <x v="0"/>
    <s v="Keyboard"/>
    <n v="10"/>
    <n v="1200"/>
    <n v="5"/>
    <x v="125"/>
    <n v="2"/>
    <s v="Cash"/>
    <s v="Rahul"/>
    <s v="arjun.rao@company.com"/>
    <s v="9872471236"/>
    <s v="Cancelled"/>
  </r>
  <r>
    <s v="ORD10144"/>
    <s v="C005"/>
    <s v="P301"/>
    <x v="125"/>
    <s v="18/12/2025"/>
    <s v="Arjun Rao"/>
    <s v="Male"/>
    <s v="04/08/1983"/>
    <s v="Hyderabad"/>
    <x v="2"/>
    <x v="1"/>
    <s v="Notebook"/>
    <n v="3"/>
    <n v="60"/>
    <n v="0"/>
    <x v="95"/>
    <n v="4"/>
    <s v="NetBanking"/>
    <s v="Karan"/>
    <s v="vikas.mehta@company.com"/>
    <s v="9461383824"/>
    <s v="Completed"/>
  </r>
  <r>
    <s v="ORD10145"/>
    <s v="C010"/>
    <s v="P202"/>
    <x v="126"/>
    <s v="21/10/2025"/>
    <s v="Vikas Mehta"/>
    <s v="Female"/>
    <s v="07/04/1978"/>
    <s v="Mumbai"/>
    <x v="0"/>
    <x v="2"/>
    <s v="Iron"/>
    <n v="18"/>
    <n v="2200"/>
    <n v="10"/>
    <x v="88"/>
    <n v="1"/>
    <s v="Card"/>
    <s v="Karan"/>
    <s v="pooja.shah@company.com"/>
    <s v="9243407457"/>
    <s v="Cancelled"/>
  </r>
  <r>
    <s v="ORD10146"/>
    <s v="C009"/>
    <s v="P301"/>
    <x v="127"/>
    <s v="10/03/2026"/>
    <s v="Pooja Shah"/>
    <s v="Male"/>
    <s v="04/03/1983"/>
    <s v="Delhi"/>
    <x v="2"/>
    <x v="0"/>
    <s v="Notebook"/>
    <n v="18"/>
    <n v="60"/>
    <n v="5"/>
    <x v="93"/>
    <n v="3"/>
    <s v="Card"/>
    <s v="Rahul"/>
    <s v="mohit.verma@company.com"/>
    <s v="9418672379"/>
    <s v="Pending"/>
  </r>
  <r>
    <s v="ORD10147"/>
    <s v="C003"/>
    <s v="P101"/>
    <x v="56"/>
    <s v="23/08/2025"/>
    <s v="Mohit Verma"/>
    <s v="Male"/>
    <s v="27/10/1987"/>
    <s v="Pune"/>
    <x v="1"/>
    <x v="2"/>
    <s v="Laptop"/>
    <n v="11"/>
    <n v="55000"/>
    <n v="15"/>
    <x v="126"/>
    <n v="4"/>
    <s v="UPI"/>
    <s v="Neha"/>
    <s v="rohit.singh@company.com"/>
    <s v="9222733065"/>
    <s v="Cancelled"/>
  </r>
  <r>
    <s v="ORD10148"/>
    <s v="C006"/>
    <s v="P203"/>
    <x v="128"/>
    <s v="03/01/2026"/>
    <s v="Rohit Singh"/>
    <s v="Female"/>
    <s v="19/04/2003"/>
    <s v="Kolkata"/>
    <x v="2"/>
    <x v="1"/>
    <s v="Microwave"/>
    <n v="5"/>
    <n v="8500"/>
    <n v="5"/>
    <x v="127"/>
    <n v="4"/>
    <s v="Cash"/>
    <s v="Karan"/>
    <s v="sneha.joshi@company.com"/>
    <s v="9684246902"/>
    <s v="Completed"/>
  </r>
  <r>
    <s v="ORD10150"/>
    <s v="C003"/>
    <s v="P102"/>
    <x v="129"/>
    <s v="13/07/2025"/>
    <s v="Sneha Joshi"/>
    <s v="Male"/>
    <s v="05/07/1975"/>
    <s v="Pune"/>
    <x v="3"/>
    <x v="0"/>
    <s v="Mouse"/>
    <n v="6"/>
    <n v="700"/>
    <n v="10"/>
    <x v="128"/>
    <n v="4"/>
    <s v="Cash"/>
    <s v="Rahul"/>
    <s v="rohit.singh@company.com"/>
    <s v="9110269572"/>
    <s v="Cancelled"/>
  </r>
  <r>
    <s v="ORD10151"/>
    <s v="C010"/>
    <s v="P201"/>
    <x v="130"/>
    <s v="15/05/2026"/>
    <s v="Priya Patel"/>
    <s v="Female"/>
    <s v="05/03/1992"/>
    <s v="Delhi"/>
    <x v="1"/>
    <x v="1"/>
    <s v="Mixer"/>
    <n v="20"/>
    <n v="3500"/>
    <n v="10"/>
    <x v="36"/>
    <n v="4"/>
    <s v="UPI"/>
    <s v="Rahul"/>
    <s v="pooja.shah@company.com"/>
    <s v="9745972422"/>
    <s v="Pending"/>
  </r>
  <r>
    <s v="ORD10152"/>
    <s v="C008"/>
    <s v="P302"/>
    <x v="131"/>
    <s v="07/12/2025"/>
    <s v="Rohit Singh"/>
    <s v="Female"/>
    <s v="03/06/1998"/>
    <s v="Bengaluru"/>
    <x v="2"/>
    <x v="1"/>
    <s v="Pen"/>
    <n v="2"/>
    <n v="20"/>
    <n v="10"/>
    <x v="129"/>
    <n v="1"/>
    <s v="NetBanking"/>
    <s v="Neha"/>
    <s v="KAvya.nair@company.com"/>
    <s v="9123712257"/>
    <s v="Pending"/>
  </r>
  <r>
    <s v="ORD10153"/>
    <s v="C002"/>
    <s v="P202"/>
    <x v="132"/>
    <s v="19/07/2025"/>
    <s v="Pooja Shah"/>
    <s v="Female"/>
    <s v="28/09/1996"/>
    <s v="Pune"/>
    <x v="1"/>
    <x v="0"/>
    <s v="Iron"/>
    <n v="16"/>
    <n v="2200"/>
    <n v="20"/>
    <x v="130"/>
    <n v="2"/>
    <s v="UPI"/>
    <s v="Karan"/>
    <s v="priYa.patel@company.com"/>
    <s v="9665525431"/>
    <s v="Pending"/>
  </r>
  <r>
    <s v="ORD10154"/>
    <s v="C005"/>
    <s v="P104"/>
    <x v="133"/>
    <s v="23/03/2025"/>
    <s v="Kavya Nair"/>
    <s v="Male"/>
    <s v="15/12/1995"/>
    <s v="Pune"/>
    <x v="0"/>
    <x v="2"/>
    <s v="Monitor"/>
    <n v="15"/>
    <n v="12000"/>
    <n v="0"/>
    <x v="131"/>
    <n v="1"/>
    <s v="Card"/>
    <s v="Aisha"/>
    <s v="vikas.mehta@company.com"/>
    <s v="9682415134"/>
    <s v="Pending"/>
  </r>
  <r>
    <s v="ORD10155"/>
    <s v="C008"/>
    <s v="P301"/>
    <x v="134"/>
    <s v="23/07/2025"/>
    <s v="Priya Patel"/>
    <s v="Female"/>
    <s v="24/07/1976"/>
    <s v="Delhi"/>
    <x v="2"/>
    <x v="0"/>
    <s v="Notebook"/>
    <n v="14"/>
    <n v="60"/>
    <n v="15"/>
    <x v="132"/>
    <n v="4"/>
    <s v="UPI"/>
    <s v="Rahul"/>
    <s v="KAvya.nair@company.com"/>
    <s v="9808223872"/>
    <s v="Completed"/>
  </r>
  <r>
    <s v="ORD10156"/>
    <s v="C010"/>
    <s v="P103"/>
    <x v="135"/>
    <s v="24/07/2025"/>
    <s v="Vikas Mehta"/>
    <s v="Female"/>
    <s v="22/06/1984"/>
    <s v="Hyderabad"/>
    <x v="2"/>
    <x v="1"/>
    <s v="Keyboard"/>
    <n v="9"/>
    <n v="1200"/>
    <n v="5"/>
    <x v="97"/>
    <n v="5"/>
    <s v="NetBanking"/>
    <s v="Aisha"/>
    <s v="pooja.shah@company.com"/>
    <s v="9193549730"/>
    <s v="Pending"/>
  </r>
  <r>
    <s v="ORD10157"/>
    <s v="C005"/>
    <s v="P103"/>
    <x v="136"/>
    <s v="29/07/2025"/>
    <s v="Kavya Nair"/>
    <s v="Male"/>
    <s v="06/08/1998"/>
    <s v="Kolkata"/>
    <x v="1"/>
    <x v="2"/>
    <s v="Keyboard"/>
    <n v="3"/>
    <n v="1200"/>
    <n v="10"/>
    <x v="70"/>
    <n v="2"/>
    <s v="Card"/>
    <s v="Karan"/>
    <s v="vikas.mehta@company.com"/>
    <s v="9520617130"/>
    <s v="Cancelled"/>
  </r>
  <r>
    <s v="ORD10158"/>
    <s v="C001"/>
    <s v="P301"/>
    <x v="80"/>
    <s v="12/04/2025"/>
    <s v="Pooja Shah"/>
    <s v="Male"/>
    <s v="18/06/2001"/>
    <s v="Hyderabad"/>
    <x v="0"/>
    <x v="1"/>
    <s v="Notebook"/>
    <n v="2"/>
    <n v="60"/>
    <n v="10"/>
    <x v="133"/>
    <n v="2"/>
    <s v="UPI"/>
    <s v="Aisha"/>
    <s v="amit.sharma@company.com"/>
    <s v="9264578122"/>
    <s v="Completed"/>
  </r>
  <r>
    <s v="ORD10159"/>
    <s v="C009"/>
    <s v="P201"/>
    <x v="57"/>
    <s v="23/05/2026"/>
    <s v="Vikas Mehta"/>
    <s v="Male"/>
    <s v="11/09/1999"/>
    <s v="Delhi"/>
    <x v="3"/>
    <x v="1"/>
    <s v="Mixer"/>
    <n v="9"/>
    <n v="3500"/>
    <n v="20"/>
    <x v="134"/>
    <n v="1"/>
    <s v="NetBanking"/>
    <s v="Ritika"/>
    <s v="mohit.verma@company.com"/>
    <s v="9275071213"/>
    <s v="Completed"/>
  </r>
  <r>
    <s v="ORD10160"/>
    <s v="C005"/>
    <s v="P101"/>
    <x v="26"/>
    <s v="16/03/2026"/>
    <s v="Amit Sharma"/>
    <s v="Male"/>
    <s v="07/12/1995"/>
    <s v="Jaipur"/>
    <x v="0"/>
    <x v="2"/>
    <s v="Laptop"/>
    <n v="4"/>
    <n v="55000"/>
    <n v="5"/>
    <x v="135"/>
    <n v="2"/>
    <s v="Cash"/>
    <s v="Karan"/>
    <s v="vikas.mehta@company.com"/>
    <s v="9715222543"/>
    <s v="Pending"/>
  </r>
  <r>
    <s v="ORD10161"/>
    <s v="C001"/>
    <s v="P102"/>
    <x v="70"/>
    <s v="01/07/2025"/>
    <s v="Mohit Verma"/>
    <s v="Male"/>
    <s v="22/07/1999"/>
    <s v="Delhi"/>
    <x v="1"/>
    <x v="0"/>
    <s v="Mouse"/>
    <n v="11"/>
    <n v="700"/>
    <n v="20"/>
    <x v="136"/>
    <n v="4"/>
    <s v="Cash"/>
    <s v="Karan"/>
    <s v="amit.sharma@company.com"/>
    <s v="9942010833"/>
    <s v="Cancelled"/>
  </r>
  <r>
    <s v="ORD10162"/>
    <s v="C004"/>
    <s v="P103"/>
    <x v="33"/>
    <s v="29/11/2025"/>
    <s v="Vikas Mehta"/>
    <s v="Female"/>
    <s v="14/11/2000"/>
    <s v="Kolkata"/>
    <x v="1"/>
    <x v="1"/>
    <s v="Keyboard"/>
    <n v="16"/>
    <n v="1200"/>
    <n v="5"/>
    <x v="137"/>
    <n v="1"/>
    <s v="Card"/>
    <s v="Ritika"/>
    <s v="anita.gupta@company.com"/>
    <s v="9347718932"/>
    <s v="Pending"/>
  </r>
  <r>
    <s v="ORD10163"/>
    <s v="C004"/>
    <s v="P103"/>
    <x v="82"/>
    <s v="17/09/2025"/>
    <s v="Amit Sharma"/>
    <s v="Female"/>
    <s v="24/07/2002"/>
    <s v="Pune"/>
    <x v="1"/>
    <x v="1"/>
    <s v="Keyboard"/>
    <n v="1"/>
    <n v="1200"/>
    <n v="5"/>
    <x v="68"/>
    <n v="4"/>
    <s v="Card"/>
    <s v="Ritika"/>
    <s v="anita.gupta@company.com"/>
    <s v="9274808844"/>
    <s v="Completed"/>
  </r>
  <r>
    <s v="ORD10164"/>
    <s v="C001"/>
    <s v="P301"/>
    <x v="137"/>
    <s v="13/11/2025"/>
    <s v="Anita Gupta"/>
    <s v="Male"/>
    <s v="25/02/2002"/>
    <s v="Jaipur"/>
    <x v="3"/>
    <x v="1"/>
    <s v="Notebook"/>
    <n v="7"/>
    <n v="60"/>
    <n v="0"/>
    <x v="138"/>
    <n v="2"/>
    <s v="UPI"/>
    <s v="Karan"/>
    <s v="amit.sharma@company.com"/>
    <s v="9798996063"/>
    <s v="Completed"/>
  </r>
  <r>
    <s v="ORD10165"/>
    <s v="C004"/>
    <s v="P202"/>
    <x v="20"/>
    <s v="07/01/2025"/>
    <s v="Anita Gupta"/>
    <s v="Female"/>
    <s v="16/07/1980"/>
    <s v="Pune"/>
    <x v="2"/>
    <x v="1"/>
    <s v="Iron"/>
    <n v="14"/>
    <n v="2200"/>
    <n v="0"/>
    <x v="139"/>
    <n v="2"/>
    <s v="UPI"/>
    <s v="Ritika"/>
    <s v="anita.gupta@company.com"/>
    <s v="9145200936"/>
    <s v="Cancelled"/>
  </r>
  <r>
    <s v="ORD10166"/>
    <s v="C004"/>
    <s v="P201"/>
    <x v="138"/>
    <s v="27/06/2025"/>
    <s v="Amit Sharma"/>
    <s v="Female"/>
    <s v="25/05/1996"/>
    <s v="Ahmedabad"/>
    <x v="1"/>
    <x v="2"/>
    <s v="Mixer"/>
    <n v="15"/>
    <n v="3500"/>
    <n v="15"/>
    <x v="13"/>
    <n v="2"/>
    <s v="UPI"/>
    <s v="Aisha"/>
    <s v="anita.gupta@company.com"/>
    <s v="9697654418"/>
    <s v="Pending"/>
  </r>
  <r>
    <s v="ORD10167"/>
    <s v="C003"/>
    <s v="P201"/>
    <x v="139"/>
    <s v="06/04/2025"/>
    <s v="Anita Gupta"/>
    <s v="Male"/>
    <s v="11/05/1986"/>
    <s v="Kolkata"/>
    <x v="2"/>
    <x v="0"/>
    <s v="Mixer"/>
    <n v="19"/>
    <n v="3500"/>
    <n v="5"/>
    <x v="140"/>
    <n v="2"/>
    <s v="Cash"/>
    <s v="Neha"/>
    <s v="rohit.singh@company.com"/>
    <s v="9457923119"/>
    <s v="Cancelled"/>
  </r>
  <r>
    <s v="ORD10168"/>
    <s v="C001"/>
    <s v="P101"/>
    <x v="140"/>
    <s v="10/07/2025"/>
    <s v="Anita Gupta"/>
    <s v="Male"/>
    <s v="25/05/1989"/>
    <s v="Bengaluru"/>
    <x v="2"/>
    <x v="0"/>
    <s v="Laptop"/>
    <n v="12"/>
    <n v="55000"/>
    <n v="5"/>
    <x v="51"/>
    <n v="4"/>
    <s v="Card"/>
    <s v="Aisha"/>
    <s v="amit.sharma@company.com"/>
    <s v="9236111271"/>
    <s v="Cancelled"/>
  </r>
  <r>
    <s v="ORD10169"/>
    <s v="C010"/>
    <s v="P103"/>
    <x v="90"/>
    <s v="26/01/2026"/>
    <s v="Rohit Singh"/>
    <s v="Female"/>
    <s v="25/08/1989"/>
    <s v="Mumbai"/>
    <x v="3"/>
    <x v="0"/>
    <s v="Keyboard"/>
    <n v="6"/>
    <n v="1200"/>
    <n v="10"/>
    <x v="141"/>
    <n v="5"/>
    <s v="NetBanking"/>
    <s v="Neha"/>
    <s v="pooja.shah@company.com"/>
    <s v="9402569141"/>
    <s v="Cancelled"/>
  </r>
  <r>
    <s v="ORD10170"/>
    <s v="C006"/>
    <s v="P203"/>
    <x v="9"/>
    <s v="20/09/2025"/>
    <s v="Amit Sharma"/>
    <s v="Female"/>
    <s v="20/05/1997"/>
    <s v="Hyderabad"/>
    <x v="0"/>
    <x v="1"/>
    <s v="Microwave"/>
    <n v="1"/>
    <n v="8500"/>
    <n v="0"/>
    <x v="41"/>
    <n v="1"/>
    <s v="UPI"/>
    <s v="Karan"/>
    <s v="sneha.joshi@company.com"/>
    <s v="9138184056"/>
    <s v="Cancelled"/>
  </r>
  <r>
    <s v="ORD10171"/>
    <s v="C003"/>
    <s v="P101"/>
    <x v="141"/>
    <s v="07/04/2026"/>
    <s v="Pooja Shah"/>
    <s v="Male"/>
    <s v="03/05/1987"/>
    <s v="Ahmedabad"/>
    <x v="2"/>
    <x v="1"/>
    <s v="Laptop"/>
    <n v="20"/>
    <n v="55000"/>
    <n v="10"/>
    <x v="142"/>
    <n v="5"/>
    <s v="NetBanking"/>
    <s v="Karan"/>
    <s v="rohit.singh@company.com"/>
    <s v="9609598700"/>
    <s v="Completed"/>
  </r>
  <r>
    <s v="ORD10172"/>
    <s v="C005"/>
    <s v="P103"/>
    <x v="142"/>
    <s v="29/10/2025"/>
    <s v="Sneha Joshi"/>
    <s v="Male"/>
    <s v="02/12/2002"/>
    <s v="Ahmedabad"/>
    <x v="0"/>
    <x v="0"/>
    <s v="Keyboard"/>
    <n v="8"/>
    <n v="1200"/>
    <n v="15"/>
    <x v="143"/>
    <n v="2"/>
    <s v="UPI"/>
    <s v="Neha"/>
    <s v="vikas.mehta@company.com"/>
    <s v="9385894399"/>
    <s v="Cancelled"/>
  </r>
  <r>
    <s v="ORD10173"/>
    <s v="C008"/>
    <s v="P201"/>
    <x v="143"/>
    <s v="17/02/2025"/>
    <s v="Rohit Singh"/>
    <s v="Female"/>
    <s v="25/05/1986"/>
    <s v="Jaipur"/>
    <x v="2"/>
    <x v="1"/>
    <s v="Mixer"/>
    <n v="19"/>
    <n v="3500"/>
    <n v="5"/>
    <x v="140"/>
    <n v="4"/>
    <s v="UPI"/>
    <s v="Rahul"/>
    <s v="KAvya.nair@company.com"/>
    <s v="9329448011"/>
    <s v="Pending"/>
  </r>
  <r>
    <s v="ORD10174"/>
    <s v="C005"/>
    <s v="P303"/>
    <x v="1"/>
    <s v="29/04/2025"/>
    <s v="Vikas Mehta"/>
    <s v="Male"/>
    <s v="22/02/1986"/>
    <s v="Jaipur"/>
    <x v="2"/>
    <x v="1"/>
    <s v="Marker"/>
    <n v="6"/>
    <n v="45"/>
    <n v="20"/>
    <x v="144"/>
    <n v="1"/>
    <s v="Card"/>
    <s v="Rahul"/>
    <s v="vikas.mehtacompany.com"/>
    <s v="9889544104"/>
    <s v="Pending"/>
  </r>
  <r>
    <s v="ORD10175"/>
    <s v="C006"/>
    <s v="P303"/>
    <x v="144"/>
    <s v="25/03/2025"/>
    <s v="Kavya Nair"/>
    <s v="Female"/>
    <s v="07/04/1988"/>
    <s v="Pune"/>
    <x v="1"/>
    <x v="0"/>
    <s v="Marker"/>
    <n v="17"/>
    <n v="45"/>
    <n v="15"/>
    <x v="145"/>
    <n v="5"/>
    <s v="Cash"/>
    <s v="Neha"/>
    <s v="sneha.joshi@company.com"/>
    <s v="9101861045"/>
    <s v="Pending"/>
  </r>
  <r>
    <s v="ORD10176"/>
    <s v="C008"/>
    <s v="P302"/>
    <x v="124"/>
    <s v="16/07/2025"/>
    <s v="Vikas Mehta"/>
    <s v="Female"/>
    <s v="27/06/1993"/>
    <s v="Pune"/>
    <x v="1"/>
    <x v="2"/>
    <s v="Pen"/>
    <n v="19"/>
    <n v="20"/>
    <n v="5"/>
    <x v="146"/>
    <n v="4"/>
    <s v="Cash"/>
    <s v="Ritika"/>
    <s v="KAvya.nair@company.com"/>
    <s v="9364712105"/>
    <s v="Pending"/>
  </r>
  <r>
    <s v="ORD10177"/>
    <s v="C006"/>
    <s v="P302"/>
    <x v="145"/>
    <s v="03/12/2025"/>
    <s v="Sneha Joshi"/>
    <s v="Female"/>
    <s v="18/06/2004"/>
    <s v="Ahmedabad"/>
    <x v="2"/>
    <x v="2"/>
    <s v="Pen"/>
    <n v="11"/>
    <n v="20"/>
    <n v="0"/>
    <x v="147"/>
    <n v="3"/>
    <s v="NetBanking"/>
    <s v="Rahul"/>
    <s v="sneha.joshi@company.com"/>
    <s v="9950206376"/>
    <s v="Completed"/>
  </r>
  <r>
    <s v="ORD10178"/>
    <s v="C004"/>
    <s v="P301"/>
    <x v="146"/>
    <s v="21/02/2026"/>
    <s v="Kavya Nair"/>
    <s v="Female"/>
    <s v="09/09/1993"/>
    <s v="Delhi"/>
    <x v="2"/>
    <x v="2"/>
    <s v="Notebook"/>
    <n v="12"/>
    <n v="60"/>
    <n v="0"/>
    <x v="105"/>
    <n v="2"/>
    <s v="NetBanking"/>
    <s v="Rahul"/>
    <s v="anita.gupta@company.com"/>
    <s v="9235822094"/>
    <s v="Completed"/>
  </r>
  <r>
    <s v="ORD10179"/>
    <s v="C005"/>
    <s v="P303"/>
    <x v="147"/>
    <s v="13/11/2025"/>
    <s v="Sneha Joshi"/>
    <s v="Male"/>
    <s v="13/09/2001"/>
    <s v="Kolkata"/>
    <x v="2"/>
    <x v="2"/>
    <s v="Marker"/>
    <n v="14"/>
    <n v="45"/>
    <n v="15"/>
    <x v="148"/>
    <n v="5"/>
    <s v="UPI"/>
    <s v="Neha"/>
    <s v="vikas.mehta@company.com"/>
    <s v="9311021344"/>
    <s v="Pending"/>
  </r>
  <r>
    <s v="ORD10180"/>
    <s v="C008"/>
    <s v="P102"/>
    <x v="148"/>
    <s v="19/02/2025"/>
    <s v="Anita Gupta"/>
    <s v="Female"/>
    <s v="15/11/1981"/>
    <s v="Hyderabad"/>
    <x v="1"/>
    <x v="2"/>
    <s v="Mouse"/>
    <n v="15"/>
    <n v="700"/>
    <n v="10"/>
    <x v="61"/>
    <n v="3"/>
    <s v="NetBanking"/>
    <s v="Rahul"/>
    <s v="KAvya.nair@company.com"/>
    <s v="9891358505"/>
    <s v="Pending"/>
  </r>
  <r>
    <s v="ORD10181"/>
    <s v="C002"/>
    <s v="P203"/>
    <x v="149"/>
    <s v="30/05/2025"/>
    <s v="Priya Patel"/>
    <s v="Female"/>
    <s v="12/09/1980"/>
    <s v="Ahmedabad"/>
    <x v="3"/>
    <x v="2"/>
    <s v="Microwave"/>
    <n v="19"/>
    <n v="8500"/>
    <n v="15"/>
    <x v="89"/>
    <n v="2"/>
    <s v="Cash"/>
    <s v="Ritika"/>
    <s v="priYa.patel@company.com"/>
    <s v="9910085332"/>
    <s v="Cancelled"/>
  </r>
  <r>
    <s v="ORD10182"/>
    <s v="C006"/>
    <s v="P301"/>
    <x v="150"/>
    <s v="06/10/2025"/>
    <s v="Kavya Nair"/>
    <s v="Female"/>
    <s v="07/04/1988"/>
    <s v="Jaipur"/>
    <x v="0"/>
    <x v="1"/>
    <s v="Notebook"/>
    <n v="19"/>
    <n v="60"/>
    <n v="20"/>
    <x v="149"/>
    <n v="4"/>
    <s v="Card"/>
    <s v="Rahul"/>
    <s v="sneha.joshi@company.com"/>
    <s v="9756908023"/>
    <s v="Pending"/>
  </r>
  <r>
    <s v="ORD10183"/>
    <s v="C002"/>
    <s v="P303"/>
    <x v="151"/>
    <s v="26/05/2025"/>
    <s v="Priya Patel"/>
    <s v="Female"/>
    <s v="19/02/1988"/>
    <s v="Bengaluru"/>
    <x v="2"/>
    <x v="0"/>
    <s v="Marker"/>
    <n v="10"/>
    <n v="45"/>
    <n v="15"/>
    <x v="76"/>
    <n v="4"/>
    <s v="Cash"/>
    <s v="Karan"/>
    <s v="priYa.patel@company.com"/>
    <s v="9645913247"/>
    <s v="Completed"/>
  </r>
  <r>
    <s v="ORD10184"/>
    <s v="C009"/>
    <s v="P202"/>
    <x v="152"/>
    <s v="23/06/2025"/>
    <s v="Sneha Joshi"/>
    <s v="Male"/>
    <s v="03/12/1981"/>
    <s v="Delhi"/>
    <x v="1"/>
    <x v="2"/>
    <s v="Iron"/>
    <n v="7"/>
    <n v="2200"/>
    <n v="20"/>
    <x v="150"/>
    <n v="5"/>
    <s v="UPI"/>
    <s v="Rahul"/>
    <s v="mohit.verma@company.com"/>
    <s v="9806914795"/>
    <s v="Pending"/>
  </r>
  <r>
    <s v="ORD10185"/>
    <s v="C002"/>
    <s v="P203"/>
    <x v="153"/>
    <s v="04/05/2025"/>
    <s v="Priya Patel"/>
    <s v="Female"/>
    <s v="11/02/1984"/>
    <s v="Kolkata"/>
    <x v="0"/>
    <x v="2"/>
    <s v="Microwave"/>
    <n v="20"/>
    <n v="8500"/>
    <n v="20"/>
    <x v="151"/>
    <n v="4"/>
    <s v="NetBanking"/>
    <s v="Ritika"/>
    <s v="priYa.patel@company.com"/>
    <s v="9276222829"/>
    <s v="Completed"/>
  </r>
  <r>
    <s v="ORD10186"/>
    <s v="C006"/>
    <s v="P202"/>
    <x v="122"/>
    <s v="24/01/2025"/>
    <s v="Mohit Verma"/>
    <s v="Female"/>
    <s v="07/12/1991"/>
    <s v="Hyderabad"/>
    <x v="1"/>
    <x v="0"/>
    <s v="Iron"/>
    <n v="10"/>
    <n v="2200"/>
    <n v="5"/>
    <x v="152"/>
    <n v="2"/>
    <s v="NetBanking"/>
    <s v="Rahul"/>
    <s v="sneha.joshi@company.com"/>
    <s v="9533835528"/>
    <s v="Completed"/>
  </r>
  <r>
    <s v="ORD10187"/>
    <s v="C003"/>
    <s v="P301"/>
    <x v="154"/>
    <s v="26/12/2025"/>
    <s v="Priya Patel"/>
    <s v="Male"/>
    <s v="21/02/1976"/>
    <s v="Pune"/>
    <x v="3"/>
    <x v="0"/>
    <s v="Notebook"/>
    <n v="15"/>
    <n v="60"/>
    <n v="20"/>
    <x v="105"/>
    <n v="1"/>
    <s v="Card"/>
    <s v="Ritika"/>
    <s v="rohit.singh@company.com"/>
    <s v="9654885820"/>
    <s v="Completed"/>
  </r>
  <r>
    <s v="ORD10188"/>
    <s v="C005"/>
    <s v="P201"/>
    <x v="24"/>
    <s v="28/06/2025"/>
    <s v="Sneha Joshi"/>
    <s v="Male"/>
    <s v="28/08/1975"/>
    <s v="Hyderabad"/>
    <x v="0"/>
    <x v="0"/>
    <s v="Mixer"/>
    <n v="18"/>
    <n v="3500"/>
    <n v="5"/>
    <x v="153"/>
    <n v="1"/>
    <s v="Card"/>
    <s v="Rahul"/>
    <s v="vikas.mehta@company.com"/>
    <s v="9456029544"/>
    <s v="Cancelled"/>
  </r>
  <r>
    <s v="ORD10189"/>
    <s v="C001"/>
    <s v="P104"/>
    <x v="155"/>
    <s v="22/05/2026"/>
    <s v="Rohit Singh"/>
    <s v="Male"/>
    <s v="05/12/1987"/>
    <s v="Pune"/>
    <x v="2"/>
    <x v="2"/>
    <s v="Monitor"/>
    <n v="6"/>
    <n v="12000"/>
    <n v="5"/>
    <x v="83"/>
    <n v="1"/>
    <s v="NetBanking"/>
    <s v="Rahul"/>
    <s v="amit.sharma@company.com"/>
    <s v="9914571493"/>
    <s v="Cancelled"/>
  </r>
  <r>
    <s v="ORD10190"/>
    <s v="C001"/>
    <s v="P302"/>
    <x v="146"/>
    <s v="16/02/2026"/>
    <s v="Vikas Mehta"/>
    <s v="Male"/>
    <s v="26/08/2004"/>
    <s v="Bengaluru"/>
    <x v="0"/>
    <x v="0"/>
    <s v="Pen"/>
    <n v="19"/>
    <n v="20"/>
    <n v="10"/>
    <x v="154"/>
    <n v="2"/>
    <s v="NetBanking"/>
    <s v="Ritika"/>
    <s v="amit.sharma@company.com"/>
    <s v="9270726986"/>
    <s v="Pending"/>
  </r>
  <r>
    <s v="ORD10191"/>
    <s v="C005"/>
    <s v="P202"/>
    <x v="57"/>
    <s v="20/05/2026"/>
    <s v="Amit Sharma"/>
    <s v="Male"/>
    <s v="16/01/1994"/>
    <s v="Pune"/>
    <x v="2"/>
    <x v="1"/>
    <s v="Iron"/>
    <n v="7"/>
    <n v="2200"/>
    <n v="0"/>
    <x v="155"/>
    <n v="1"/>
    <s v="Card"/>
    <s v="Neha"/>
    <s v="vikas.mehta@company.com"/>
    <s v="9570080664"/>
    <s v="Cancelled"/>
  </r>
  <r>
    <s v="ORD10192"/>
    <s v="C001"/>
    <s v="P104"/>
    <x v="156"/>
    <s v="20/11/2025"/>
    <s v="Amit Sharma"/>
    <s v="Male"/>
    <s v="28/10/2003"/>
    <s v="Jaipur"/>
    <x v="0"/>
    <x v="2"/>
    <s v="Monitor"/>
    <n v="3"/>
    <n v="12000"/>
    <n v="5"/>
    <x v="156"/>
    <n v="3"/>
    <s v="Card"/>
    <s v="Aisha"/>
    <s v="amit.sharma@company.com"/>
    <s v="9109009524"/>
    <s v="Cancelled"/>
  </r>
  <r>
    <s v="ORD10193"/>
    <s v="C004"/>
    <s v="P202"/>
    <x v="104"/>
    <s v="04/11/2025"/>
    <s v="Vikas Mehta"/>
    <s v="Female"/>
    <s v="16/05/2000"/>
    <s v="Jaipur"/>
    <x v="2"/>
    <x v="0"/>
    <s v="Iron"/>
    <n v="16"/>
    <n v="2200"/>
    <n v="0"/>
    <x v="9"/>
    <n v="5"/>
    <s v="Card"/>
    <s v="Ritika"/>
    <s v="anita.gupta@company.com"/>
    <s v="9701276770"/>
    <s v="Pending"/>
  </r>
  <r>
    <s v="ORD10194"/>
    <s v="C006"/>
    <s v="P202"/>
    <x v="157"/>
    <s v="18/02/2025"/>
    <s v="Amit Sharma"/>
    <s v="Female"/>
    <s v="04/07/1989"/>
    <s v="Delhi"/>
    <x v="1"/>
    <x v="1"/>
    <s v="Iron"/>
    <n v="8"/>
    <n v="2200"/>
    <n v="5"/>
    <x v="157"/>
    <n v="2"/>
    <s v="UPI"/>
    <s v="Karan"/>
    <s v="sneha.joshi@company.com"/>
    <s v="9298278507"/>
    <s v="Completed"/>
  </r>
  <r>
    <s v="ORD10195"/>
    <s v="C006"/>
    <s v="P202"/>
    <x v="95"/>
    <s v="14/12/2025"/>
    <s v="Anita Gupta"/>
    <s v="Female"/>
    <s v="09/03/1998"/>
    <s v="Ahmedabad"/>
    <x v="1"/>
    <x v="0"/>
    <s v="Iron"/>
    <n v="10"/>
    <n v="2200"/>
    <n v="10"/>
    <x v="158"/>
    <n v="5"/>
    <s v="NetBanking"/>
    <s v="Neha"/>
    <s v="sneha.joshi@company.com"/>
    <s v="9895908093"/>
    <s v="Pending"/>
  </r>
  <r>
    <s v="ORD10196"/>
    <s v="C007"/>
    <s v="P302"/>
    <x v="158"/>
    <s v="09/05/2025"/>
    <s v="Sneha Joshi"/>
    <s v="Male"/>
    <s v="21/05/1988"/>
    <s v="Delhi"/>
    <x v="1"/>
    <x v="0"/>
    <s v="Pen"/>
    <n v="7"/>
    <n v="20"/>
    <n v="10"/>
    <x v="159"/>
    <n v="4"/>
    <s v="Card"/>
    <s v="Aisha"/>
    <s v="arjun.rao@company.com"/>
    <s v="9734108795"/>
    <s v="Completed"/>
  </r>
  <r>
    <s v="ORD10197"/>
    <s v="C005"/>
    <s v="P203"/>
    <x v="28"/>
    <s v="14/01/2026"/>
    <s v="Sneha Joshi"/>
    <s v="Male"/>
    <s v="18/07/1994"/>
    <s v="Hyderabad"/>
    <x v="2"/>
    <x v="0"/>
    <s v="Microwave"/>
    <n v="19"/>
    <n v="8500"/>
    <n v="20"/>
    <x v="160"/>
    <n v="3"/>
    <s v="NetBanking"/>
    <s v="Aisha"/>
    <s v="vikas.mehta@company.com"/>
    <s v="9799597413"/>
    <s v="Pending"/>
  </r>
  <r>
    <s v="ORD10198"/>
    <s v="C002"/>
    <s v="P301"/>
    <x v="58"/>
    <s v="06/03/2025"/>
    <s v="Arjun Rao"/>
    <s v="Female"/>
    <s v="15/11/1977"/>
    <s v="Pune"/>
    <x v="1"/>
    <x v="2"/>
    <s v="Notebook"/>
    <n v="16"/>
    <n v="60"/>
    <n v="0"/>
    <x v="100"/>
    <n v="2"/>
    <s v="NetBanking"/>
    <s v="Neha"/>
    <s v="priYa.patel@company.com"/>
    <s v="9688987266"/>
    <s v="Completed"/>
  </r>
  <r>
    <s v="ORD10199"/>
    <s v="C005"/>
    <s v="P201"/>
    <x v="159"/>
    <s v="27/04/2026"/>
    <s v="Vikas Mehta"/>
    <s v="Male"/>
    <s v="22/09/1982"/>
    <s v="Bengaluru"/>
    <x v="0"/>
    <x v="0"/>
    <s v="Mixer"/>
    <n v="18"/>
    <n v="3500"/>
    <n v="5"/>
    <x v="153"/>
    <n v="1"/>
    <s v="UPI"/>
    <s v="Neha"/>
    <s v="vikas.mehta@company.com"/>
    <s v="9867169037"/>
    <s v="Pending"/>
  </r>
  <r>
    <s v="ORD10200"/>
    <s v="C002"/>
    <s v="P101"/>
    <x v="160"/>
    <s v="01/03/2025"/>
    <s v="Priya Patel"/>
    <s v="Female"/>
    <s v="14/09/1994"/>
    <s v="Jaipur"/>
    <x v="2"/>
    <x v="2"/>
    <s v="Laptop"/>
    <n v="16"/>
    <n v="55000"/>
    <n v="0"/>
    <x v="161"/>
    <n v="1"/>
    <s v="Card"/>
    <s v="Aisha"/>
    <s v="priYa.patel@company.com"/>
    <s v="9485547425"/>
    <s v="Cancelled"/>
  </r>
  <r>
    <s v="ORD10201"/>
    <s v="C005"/>
    <s v="P103"/>
    <x v="143"/>
    <s v="09/02/2025"/>
    <s v="Vikas Mehta"/>
    <s v="Male"/>
    <s v="02/12/1995"/>
    <s v="Ahmedabad"/>
    <x v="0"/>
    <x v="3"/>
    <s v="Keyboard"/>
    <n v="18"/>
    <n v="1200"/>
    <n v="15"/>
    <x v="79"/>
    <n v="2"/>
    <s v="NetBanking"/>
    <s v="Ritika"/>
    <s v="vikas.mehta@company.com"/>
    <s v="9889733076"/>
    <s v="Cancelled"/>
  </r>
  <r>
    <s v="ORD10202"/>
    <s v="C009"/>
    <s v="P303"/>
    <x v="161"/>
    <s v="27/05/2025"/>
    <s v="Priya Patel"/>
    <s v="Male"/>
    <s v="10/07/1985"/>
    <s v="Hyderabad"/>
    <x v="1"/>
    <x v="1"/>
    <s v="Marker"/>
    <n v="2"/>
    <n v="45"/>
    <n v="15"/>
    <x v="162"/>
    <n v="5"/>
    <s v="Cash"/>
    <s v="Aisha"/>
    <s v="mohit.verma@company.com"/>
    <s v="9145434449"/>
    <s v="Cancelled"/>
  </r>
  <r>
    <s v="ORD10203"/>
    <s v="C010"/>
    <s v="P203"/>
    <x v="162"/>
    <s v="12/01/2026"/>
    <s v="Vikas Mehta"/>
    <s v="Female"/>
    <s v="25/03/2001"/>
    <s v="Bengaluru"/>
    <x v="2"/>
    <x v="1"/>
    <s v="Microwave"/>
    <n v="20"/>
    <n v="8500"/>
    <n v="0"/>
    <x v="38"/>
    <n v="4"/>
    <s v="NetBanking"/>
    <s v="Aisha"/>
    <s v="pooja.shah@company.com"/>
    <s v="9598942148"/>
    <s v="Cancelled"/>
  </r>
  <r>
    <s v="ORD10204"/>
    <s v="C003"/>
    <s v="P201"/>
    <x v="35"/>
    <s v="09/03/2026"/>
    <s v="Mohit Verma"/>
    <s v="Male"/>
    <s v="27/04/1981"/>
    <s v="Jaipur"/>
    <x v="0"/>
    <x v="2"/>
    <s v="Mixer"/>
    <n v="6"/>
    <n v="3500"/>
    <n v="5"/>
    <x v="163"/>
    <n v="1"/>
    <s v="Cash"/>
    <s v="Karan"/>
    <s v="rohit.singh@company.com"/>
    <s v="9599252705"/>
    <s v="Completed"/>
  </r>
  <r>
    <s v="ORD10205"/>
    <s v="C004"/>
    <s v="P303"/>
    <x v="37"/>
    <s v="09/10/2025"/>
    <s v="Pooja Shah"/>
    <s v="Female"/>
    <s v="14/01/2003"/>
    <s v="Pune"/>
    <x v="0"/>
    <x v="0"/>
    <s v="Marker"/>
    <n v="8"/>
    <n v="45"/>
    <n v="5"/>
    <x v="154"/>
    <n v="2"/>
    <s v="Cash"/>
    <s v="Rahul"/>
    <s v="anita.gupta@company.com"/>
    <s v="9626843681"/>
    <s v="Pending"/>
  </r>
  <r>
    <s v="ORD10206"/>
    <s v="C001"/>
    <s v="P202"/>
    <x v="163"/>
    <s v="12/03/2025"/>
    <s v="Rohit Singh"/>
    <s v="Male"/>
    <s v="02/10/1980"/>
    <s v="Mumbai"/>
    <x v="1"/>
    <x v="0"/>
    <s v="Iron"/>
    <n v="18"/>
    <n v="2200"/>
    <n v="15"/>
    <x v="164"/>
    <n v="4"/>
    <s v="Card"/>
    <s v="Aisha"/>
    <s v="amit.sharma@company.com"/>
    <s v="9934933215"/>
    <s v="Pending"/>
  </r>
  <r>
    <s v="ORD10207"/>
    <s v="C005"/>
    <s v="P102"/>
    <x v="164"/>
    <s v="15/04/2026"/>
    <s v="Anita Gupta"/>
    <s v="Male"/>
    <s v="24/10/1990"/>
    <s v="Hyderabad"/>
    <x v="2"/>
    <x v="2"/>
    <s v="Mouse"/>
    <n v="18"/>
    <n v="700"/>
    <n v="15"/>
    <x v="165"/>
    <n v="3"/>
    <s v="Card"/>
    <s v="Karan"/>
    <s v="vikas.mehta@company.com"/>
    <s v="9508025585"/>
    <s v="Cancelled"/>
  </r>
  <r>
    <s v="ORD10208"/>
    <s v="C001"/>
    <s v="P101"/>
    <x v="165"/>
    <s v="20/01/2026"/>
    <s v="Amit Sharma"/>
    <s v="Male"/>
    <s v="24/09/1977"/>
    <s v="Pune"/>
    <x v="2"/>
    <x v="0"/>
    <s v="Laptop"/>
    <n v="12"/>
    <n v="55000"/>
    <n v="0"/>
    <x v="22"/>
    <n v="2"/>
    <s v="UPI"/>
    <s v="Rahul"/>
    <s v="amit.sharma@company.com"/>
    <s v="9364681052"/>
    <s v="Cancelled"/>
  </r>
  <r>
    <s v="ORD10209"/>
    <s v="C008"/>
    <s v="P104"/>
    <x v="73"/>
    <s v="24/11/2025"/>
    <s v="Vikas Mehta"/>
    <s v="Female"/>
    <s v="02/10/1996"/>
    <s v="Mumbai"/>
    <x v="0"/>
    <x v="1"/>
    <s v="Monitor"/>
    <n v="7"/>
    <n v="12000"/>
    <n v="5"/>
    <x v="166"/>
    <n v="3"/>
    <s v="Card"/>
    <s v="Karan"/>
    <s v="KAvya.nair@company.com"/>
    <s v="9117102884"/>
    <s v="Pending"/>
  </r>
  <r>
    <s v="ORD10210"/>
    <s v="C006"/>
    <s v="P104"/>
    <x v="166"/>
    <s v="23/09/2025"/>
    <s v="Amit Sharma"/>
    <s v="Female"/>
    <s v="17/05/1976"/>
    <s v="Mumbai"/>
    <x v="2"/>
    <x v="1"/>
    <s v="Monitor"/>
    <n v="8"/>
    <n v="12000"/>
    <n v="15"/>
    <x v="167"/>
    <n v="4"/>
    <s v="Card"/>
    <s v="Rahul"/>
    <s v="sneha.joshi@company.com"/>
    <s v="9819453185"/>
    <s v="Completed"/>
  </r>
  <r>
    <s v="ORD10211"/>
    <s v="C001"/>
    <s v="P201"/>
    <x v="167"/>
    <s v="27/12/2025"/>
    <s v="Kavya Nair"/>
    <s v="Male"/>
    <s v="09/12/1987"/>
    <s v="Mumbai"/>
    <x v="2"/>
    <x v="1"/>
    <s v="Mixer"/>
    <n v="19"/>
    <n v="3500"/>
    <n v="5"/>
    <x v="140"/>
    <n v="3"/>
    <s v="Card"/>
    <s v="Aisha"/>
    <s v="amit.sharma@company.com"/>
    <s v="9511806701"/>
    <s v="Pending"/>
  </r>
  <r>
    <s v="ORD10212"/>
    <s v="C006"/>
    <s v="P303"/>
    <x v="143"/>
    <s v="16/02/2025"/>
    <s v="Sneha Joshi"/>
    <s v="Female"/>
    <s v="16/07/1990"/>
    <s v="Ahmedabad"/>
    <x v="2"/>
    <x v="1"/>
    <s v="Marker"/>
    <n v="7"/>
    <n v="45"/>
    <n v="5"/>
    <x v="168"/>
    <n v="3"/>
    <s v="Card"/>
    <s v="Ritika"/>
    <s v="sneha.joshi@company.com"/>
    <s v="9875249891"/>
    <s v="Cancelled"/>
  </r>
  <r>
    <s v="ORD10213"/>
    <s v="C008"/>
    <s v="P301"/>
    <x v="168"/>
    <s v="08/06/2025"/>
    <s v="Amit Sharma"/>
    <s v="Female"/>
    <s v="09/08/1991"/>
    <s v="Hyderabad"/>
    <x v="2"/>
    <x v="0"/>
    <s v="Notebook"/>
    <n v="3"/>
    <n v="60"/>
    <n v="15"/>
    <x v="169"/>
    <n v="3"/>
    <s v="NetBanking"/>
    <s v="Rahul"/>
    <s v="KAvya.nair@company.com"/>
    <s v="9438232503"/>
    <s v="Cancelled"/>
  </r>
  <r>
    <s v="ORD10214"/>
    <s v="C010"/>
    <s v="P303"/>
    <x v="169"/>
    <s v="04/05/2026"/>
    <s v="Sneha Joshi"/>
    <s v="Female"/>
    <s v="26/12/1977"/>
    <s v="Pune"/>
    <x v="2"/>
    <x v="2"/>
    <s v="Marker"/>
    <n v="19"/>
    <n v="45"/>
    <n v="0"/>
    <x v="170"/>
    <n v="2"/>
    <s v="Cash"/>
    <s v="Aisha"/>
    <s v="pooja.shah@company.com"/>
    <s v="9449953754"/>
    <s v="Completed"/>
  </r>
  <r>
    <s v="ORD10215"/>
    <s v="C002"/>
    <s v="P104"/>
    <x v="170"/>
    <s v="16/03/2026"/>
    <s v="Kavya Nair"/>
    <s v="Female"/>
    <s v="04/06/1995"/>
    <s v="Bengaluru"/>
    <x v="0"/>
    <x v="2"/>
    <s v="Monitor"/>
    <n v="10"/>
    <n v="12000"/>
    <n v="5"/>
    <x v="171"/>
    <n v="1"/>
    <s v="Card"/>
    <s v="Neha"/>
    <s v="priYa.patel@company.com"/>
    <s v="9833801891"/>
    <s v="Cancelled"/>
  </r>
  <r>
    <s v="ORD10216"/>
    <s v="C008"/>
    <s v="P103"/>
    <x v="171"/>
    <s v="12/03/2025"/>
    <s v="Pooja Shah"/>
    <s v="Female"/>
    <s v="16/11/1983"/>
    <s v="Kolkata"/>
    <x v="2"/>
    <x v="2"/>
    <s v="Keyboard"/>
    <n v="4"/>
    <n v="1200"/>
    <n v="0"/>
    <x v="172"/>
    <n v="4"/>
    <s v="Cash"/>
    <s v="Aisha"/>
    <s v="KAvya.nair@company.com"/>
    <s v="9183949273"/>
    <s v="Completed"/>
  </r>
  <r>
    <s v="ORD10217"/>
    <s v="C005"/>
    <s v="P203"/>
    <x v="79"/>
    <s v="07/11/2025"/>
    <s v="Priya Patel"/>
    <s v="Male"/>
    <s v="10/10/1985"/>
    <s v="Bengaluru"/>
    <x v="0"/>
    <x v="1"/>
    <s v="Microwave"/>
    <n v="2"/>
    <n v="8500"/>
    <n v="20"/>
    <x v="173"/>
    <n v="3"/>
    <s v="Card"/>
    <s v="Karan"/>
    <s v="vikas.mehta@company.com"/>
    <s v="9168257367"/>
    <s v="Completed"/>
  </r>
  <r>
    <s v="ORD10218"/>
    <s v="C007"/>
    <s v="P102"/>
    <x v="172"/>
    <s v="08/02/2026"/>
    <s v="Kavya Nair"/>
    <s v="Male"/>
    <s v="07/01/2002"/>
    <s v="Kolkata"/>
    <x v="3"/>
    <x v="1"/>
    <s v="Mouse"/>
    <n v="7"/>
    <n v="700"/>
    <n v="20"/>
    <x v="174"/>
    <n v="2"/>
    <s v="Card"/>
    <s v="Karan"/>
    <s v="arjun.rao@company.com"/>
    <s v="9580903210"/>
    <s v="Pending"/>
  </r>
  <r>
    <s v="ORD10219"/>
    <s v="C010"/>
    <s v="P302"/>
    <x v="173"/>
    <s v="03/05/2026"/>
    <s v="Vikas Mehta"/>
    <s v="Female"/>
    <s v="18/07/1999"/>
    <s v="Pune"/>
    <x v="0"/>
    <x v="0"/>
    <s v="Pen"/>
    <n v="9"/>
    <n v="20"/>
    <n v="15"/>
    <x v="169"/>
    <n v="3"/>
    <s v="NetBanking"/>
    <s v="Neha"/>
    <s v="pooja.shah@company.com"/>
    <s v="9602152945"/>
    <s v="Completed"/>
  </r>
  <r>
    <s v="ORD10220"/>
    <s v="C002"/>
    <s v="P203"/>
    <x v="174"/>
    <s v="20/05/2025"/>
    <s v="Arjun Rao"/>
    <s v="Female"/>
    <s v="02/09/1990"/>
    <s v="Kolkata"/>
    <x v="3"/>
    <x v="1"/>
    <s v="Microwave"/>
    <n v="16"/>
    <n v="8500"/>
    <n v="0"/>
    <x v="151"/>
    <n v="4"/>
    <s v="NetBanking"/>
    <s v="Ritika"/>
    <s v="priYa.patel@company.com"/>
    <s v="9646917552"/>
    <s v="Completed"/>
  </r>
  <r>
    <s v="ORD10221"/>
    <s v="C006"/>
    <s v="P201"/>
    <x v="175"/>
    <s v="28/03/2026"/>
    <s v="Pooja Shah"/>
    <s v="Female"/>
    <s v="02/08/1992"/>
    <s v="Delhi"/>
    <x v="2"/>
    <x v="2"/>
    <s v="Mixer"/>
    <n v="10"/>
    <n v="3500"/>
    <n v="5"/>
    <x v="10"/>
    <n v="3"/>
    <s v="NetBanking"/>
    <s v="Neha"/>
    <s v="sneha.joshi@company.com"/>
    <s v="9127548552"/>
    <s v="Completed"/>
  </r>
  <r>
    <s v="ORD10222"/>
    <s v="C010"/>
    <s v="P104"/>
    <x v="176"/>
    <s v="27/01/2026"/>
    <s v="Priya Patel"/>
    <s v="Female"/>
    <s v="09/02/1980"/>
    <s v="Kolkata"/>
    <x v="3"/>
    <x v="0"/>
    <s v="Monitor"/>
    <n v="1"/>
    <n v="12000"/>
    <n v="0"/>
    <x v="175"/>
    <n v="5"/>
    <s v="UPI"/>
    <s v="Neha"/>
    <s v="pooja.shah@company.com"/>
    <s v="9712805603"/>
    <s v="Pending"/>
  </r>
  <r>
    <s v="ORD10223"/>
    <s v="C001"/>
    <s v="P303"/>
    <x v="177"/>
    <s v="10/05/2026"/>
    <s v="Sneha Joshi"/>
    <s v="Male"/>
    <s v="18/02/1989"/>
    <s v="Kolkata"/>
    <x v="1"/>
    <x v="0"/>
    <s v="Marker"/>
    <n v="19"/>
    <n v="45"/>
    <n v="15"/>
    <x v="176"/>
    <n v="2"/>
    <s v="UPI"/>
    <s v="Karan"/>
    <s v="amit.sharma@company.com"/>
    <s v="9798313682"/>
    <s v="Pending"/>
  </r>
  <r>
    <s v="ORD10224"/>
    <s v="C008"/>
    <s v="P101"/>
    <x v="79"/>
    <s v="02/11/2025"/>
    <s v="Pooja Shah"/>
    <s v="Female"/>
    <s v="10/09/1993"/>
    <s v="Delhi"/>
    <x v="3"/>
    <x v="1"/>
    <s v="Laptop"/>
    <n v="13"/>
    <n v="55000"/>
    <n v="5"/>
    <x v="177"/>
    <n v="4"/>
    <s v="Card"/>
    <s v="Rahul"/>
    <s v="KAvya.nair@company.com"/>
    <s v="9642822397"/>
    <s v="Cancelled"/>
  </r>
  <r>
    <s v="ORD10225"/>
    <s v="C007"/>
    <s v="P303"/>
    <x v="178"/>
    <s v="26/07/2025"/>
    <s v="Amit Sharma"/>
    <s v="Male"/>
    <s v="17/11/1981"/>
    <s v="Mumbai"/>
    <x v="3"/>
    <x v="2"/>
    <s v="Marker"/>
    <n v="2"/>
    <n v="45"/>
    <n v="15"/>
    <x v="162"/>
    <n v="1"/>
    <s v="NetBanking"/>
    <s v="Neha"/>
    <s v="arjun.rao@company.com"/>
    <s v="9490067655"/>
    <s v="Completed"/>
  </r>
  <r>
    <s v="ORD10226"/>
    <s v="C002"/>
    <s v="P302"/>
    <x v="179"/>
    <s v="24/02/2025"/>
    <s v="Kavya Nair"/>
    <s v="Female"/>
    <s v="24/08/2003"/>
    <s v="Hyderabad"/>
    <x v="1"/>
    <x v="1"/>
    <s v="Pen"/>
    <n v="8"/>
    <n v="20"/>
    <n v="15"/>
    <x v="178"/>
    <n v="1"/>
    <s v="Card"/>
    <s v="Ritika"/>
    <s v="priYa.patel@company.com"/>
    <s v="9389792144"/>
    <s v="Pending"/>
  </r>
  <r>
    <s v="ORD10227"/>
    <s v="C004"/>
    <s v="P104"/>
    <x v="180"/>
    <s v="01/05/2025"/>
    <s v="Arjun Rao"/>
    <s v="Female"/>
    <s v="19/07/1985"/>
    <s v="Hyderabad"/>
    <x v="2"/>
    <x v="2"/>
    <s v="Monitor"/>
    <n v="9"/>
    <n v="12000"/>
    <n v="5"/>
    <x v="179"/>
    <n v="2"/>
    <s v="Card"/>
    <s v="Ritika"/>
    <s v="anita.gupta@company.com"/>
    <s v="9736113863"/>
    <s v="Cancelled"/>
  </r>
  <r>
    <s v="ORD10228"/>
    <s v="C009"/>
    <s v="P201"/>
    <x v="181"/>
    <s v="13/06/2025"/>
    <s v="Priya Patel"/>
    <s v="Male"/>
    <s v="10/05/1994"/>
    <s v="Kolkata"/>
    <x v="0"/>
    <x v="2"/>
    <s v="Mixer"/>
    <n v="3"/>
    <n v="3500"/>
    <n v="15"/>
    <x v="45"/>
    <n v="1"/>
    <s v="Cash"/>
    <s v="Rahul"/>
    <s v="mohit.verma@company.com"/>
    <s v="9324634732"/>
    <s v="Cancelled"/>
  </r>
  <r>
    <s v="ORD10229"/>
    <s v="C002"/>
    <s v="P102"/>
    <x v="182"/>
    <s v="23/05/2025"/>
    <s v="Anita Gupta"/>
    <s v="Female"/>
    <s v="23/03/1993"/>
    <s v="Hyderabad"/>
    <x v="0"/>
    <x v="1"/>
    <s v="Mouse"/>
    <n v="18"/>
    <n v="700"/>
    <n v="20"/>
    <x v="180"/>
    <n v="1"/>
    <s v="Card"/>
    <s v="Karan"/>
    <s v="priYa.patel@company.com"/>
    <s v="9529968110"/>
    <s v="Completed"/>
  </r>
  <r>
    <s v="ORD10230"/>
    <s v="C009"/>
    <s v="P201"/>
    <x v="183"/>
    <s v="31/01/2026"/>
    <s v="Mohit Verma"/>
    <s v="Male"/>
    <s v="13/06/1979"/>
    <s v="Pune"/>
    <x v="3"/>
    <x v="0"/>
    <s v="Mixer"/>
    <n v="14"/>
    <n v="3500"/>
    <n v="5"/>
    <x v="181"/>
    <n v="1"/>
    <s v="Cash"/>
    <s v="Aisha"/>
    <s v="mohit.verma@company.com"/>
    <s v="9102417647"/>
    <s v="Completed"/>
  </r>
  <r>
    <s v="ORD10231"/>
    <s v="C002"/>
    <s v="P102"/>
    <x v="168"/>
    <s v="04/06/2025"/>
    <s v="Priya Patel"/>
    <s v="Female"/>
    <s v="24/01/1991"/>
    <s v="Kolkata"/>
    <x v="0"/>
    <x v="1"/>
    <s v="Mouse"/>
    <n v="6"/>
    <n v="700"/>
    <n v="5"/>
    <x v="182"/>
    <n v="5"/>
    <s v="Cash"/>
    <s v="Ritika"/>
    <s v="priYa.patel@company.com"/>
    <s v="9630302865"/>
    <s v="Completed"/>
  </r>
  <r>
    <s v="ORD10232"/>
    <s v="C002"/>
    <s v="P201"/>
    <x v="184"/>
    <s v="19/06/2025"/>
    <s v="Mohit Verma"/>
    <s v="Female"/>
    <s v="22/02/2004"/>
    <s v="Mumbai"/>
    <x v="2"/>
    <x v="0"/>
    <s v="Mixer"/>
    <n v="17"/>
    <n v="3500"/>
    <n v="15"/>
    <x v="183"/>
    <n v="3"/>
    <s v="NetBanking"/>
    <s v="Rahul"/>
    <s v="priYa.patel@company.com"/>
    <s v="9465353780"/>
    <s v="Pending"/>
  </r>
  <r>
    <s v="ORD10233"/>
    <s v="C006"/>
    <s v="P302"/>
    <x v="185"/>
    <s v="24/01/2026"/>
    <s v="Priya Patel"/>
    <s v="Female"/>
    <s v="25/04/1977"/>
    <s v="Kolkata"/>
    <x v="3"/>
    <x v="1"/>
    <s v="Pen"/>
    <n v="7"/>
    <n v="20"/>
    <n v="5"/>
    <x v="184"/>
    <n v="2"/>
    <s v="UPI"/>
    <s v="Karan"/>
    <s v="sneha.joshi@company.com"/>
    <s v="9837426414"/>
    <s v="Completed"/>
  </r>
  <r>
    <s v="ORD10234"/>
    <s v="C008"/>
    <s v="P202"/>
    <x v="186"/>
    <s v="04/03/2026"/>
    <s v="Priya Patel"/>
    <s v="Female"/>
    <s v="22/07/1994"/>
    <s v="Bengaluru"/>
    <x v="2"/>
    <x v="0"/>
    <s v="Iron"/>
    <n v="15"/>
    <n v="2200"/>
    <n v="20"/>
    <x v="185"/>
    <n v="2"/>
    <s v="Cash"/>
    <s v="Aisha"/>
    <s v="KAvya.nair@company.com"/>
    <s v="9249918272"/>
    <s v="Completed"/>
  </r>
  <r>
    <s v="ORD10235"/>
    <s v="C009"/>
    <s v="P302"/>
    <x v="116"/>
    <s v="25/02/2026"/>
    <s v="Sneha Joshi"/>
    <s v="Male"/>
    <s v="11/11/1979"/>
    <s v="Mumbai"/>
    <x v="3"/>
    <x v="2"/>
    <s v="Pen"/>
    <n v="5"/>
    <n v="20"/>
    <n v="0"/>
    <x v="37"/>
    <n v="3"/>
    <s v="Cash"/>
    <s v="Karan"/>
    <s v="mohit.verma@company.com"/>
    <s v="9265580582"/>
    <s v="Completed"/>
  </r>
  <r>
    <s v="ORD10236"/>
    <s v="C003"/>
    <s v="P104"/>
    <x v="187"/>
    <s v="14/07/2025"/>
    <s v="Kavya Nair"/>
    <s v="Male"/>
    <s v="27/05/1995"/>
    <s v="Delhi"/>
    <x v="0"/>
    <x v="0"/>
    <s v="Monitor"/>
    <n v="8"/>
    <n v="12000"/>
    <n v="20"/>
    <x v="186"/>
    <n v="3"/>
    <s v="Card"/>
    <s v="Aisha"/>
    <s v="rohit.singh@company.com"/>
    <s v="9751049833"/>
    <s v="Pending"/>
  </r>
  <r>
    <s v="ORD10237"/>
    <s v="C003"/>
    <s v="P201"/>
    <x v="188"/>
    <s v="16/02/2025"/>
    <s v="Mohit Verma"/>
    <s v="Male"/>
    <s v="18/06/1998"/>
    <s v="Mumbai"/>
    <x v="2"/>
    <x v="2"/>
    <s v="Mixer"/>
    <n v="4"/>
    <n v="3500"/>
    <n v="20"/>
    <x v="187"/>
    <n v="1"/>
    <s v="Card"/>
    <s v="Neha"/>
    <s v="rohit.singh@company.com"/>
    <s v="9741671507"/>
    <s v="Completed"/>
  </r>
  <r>
    <s v="ORD10238"/>
    <s v="C005"/>
    <s v="P303"/>
    <x v="98"/>
    <s v="04/03/2025"/>
    <s v="Rohit Singh"/>
    <s v="Male"/>
    <s v="21/01/1983"/>
    <s v="Hyderabad"/>
    <x v="1"/>
    <x v="1"/>
    <s v="Marker"/>
    <n v="19"/>
    <n v="45"/>
    <n v="10"/>
    <x v="55"/>
    <n v="1"/>
    <s v="Cash"/>
    <s v="Neha"/>
    <s v="vikas.mehta@company.com"/>
    <s v="9367541035"/>
    <s v="Completed"/>
  </r>
  <r>
    <s v="ORD10239"/>
    <s v="C010"/>
    <s v="P303"/>
    <x v="189"/>
    <s v="06/02/2026"/>
    <s v="Rohit Singh"/>
    <s v="Female"/>
    <s v="03/03/1978"/>
    <s v="Pune"/>
    <x v="2"/>
    <x v="0"/>
    <s v="Marker"/>
    <n v="10"/>
    <n v="45"/>
    <n v="0"/>
    <x v="188"/>
    <n v="4"/>
    <s v="UPI"/>
    <s v="Aisha"/>
    <s v="pooja.shah@company.com"/>
    <s v="9323696971"/>
    <s v="Completed"/>
  </r>
  <r>
    <s v="ORD10240"/>
    <s v="C010"/>
    <s v="P303"/>
    <x v="190"/>
    <s v="17/01/2026"/>
    <s v="Vikas Mehta"/>
    <s v="Female"/>
    <s v="24/06/1997"/>
    <s v="Hyderabad"/>
    <x v="0"/>
    <x v="2"/>
    <s v="Marker"/>
    <n v="16"/>
    <n v="45"/>
    <n v="15"/>
    <x v="189"/>
    <n v="3"/>
    <s v="Cash"/>
    <s v="Neha"/>
    <s v="pooja.shah@company.com"/>
    <s v="9786384529"/>
    <s v="Cancelled"/>
  </r>
  <r>
    <s v="ORD10241"/>
    <s v="C004"/>
    <s v="P203"/>
    <x v="8"/>
    <s v="27/03/2025"/>
    <s v="Pooja Shah"/>
    <s v="Female"/>
    <s v="25/08/1976"/>
    <s v="Pune"/>
    <x v="2"/>
    <x v="2"/>
    <s v="Microwave"/>
    <n v="16"/>
    <n v="8500"/>
    <n v="15"/>
    <x v="190"/>
    <n v="4"/>
    <s v="NetBanking"/>
    <s v="Ritika"/>
    <s v="anita.gupta@company.com"/>
    <s v="9444900541"/>
    <s v="Cancelled"/>
  </r>
  <r>
    <s v="ORD10242"/>
    <s v="C004"/>
    <s v="P302"/>
    <x v="61"/>
    <s v="12/09/2025"/>
    <s v="Pooja Shah"/>
    <s v="Female"/>
    <s v="04/04/1996"/>
    <s v="Kolkata"/>
    <x v="0"/>
    <x v="2"/>
    <s v="Pen"/>
    <n v="15"/>
    <n v="20"/>
    <n v="20"/>
    <x v="191"/>
    <n v="3"/>
    <s v="NetBanking"/>
    <s v="Rahul"/>
    <s v="anita.gupta@company.com"/>
    <s v="9108024911"/>
    <s v="Cancelled"/>
  </r>
  <r>
    <s v="ORD10243"/>
    <s v="C007"/>
    <s v="P301"/>
    <x v="60"/>
    <s v="13/01/2026"/>
    <s v="Anita Gupta"/>
    <s v="Male"/>
    <s v="09/10/2001"/>
    <s v="Bengaluru"/>
    <x v="2"/>
    <x v="0"/>
    <s v="Notebook"/>
    <n v="14"/>
    <n v="60"/>
    <n v="5"/>
    <x v="192"/>
    <n v="4"/>
    <s v="Cash"/>
    <s v="Rahul"/>
    <s v="arjun.rao@company.com"/>
    <s v="9897181325"/>
    <s v="Completed"/>
  </r>
  <r>
    <s v="ORD10244"/>
    <s v="C010"/>
    <s v="P103"/>
    <x v="191"/>
    <s v="19/05/2026"/>
    <s v="Anita Gupta"/>
    <s v="Female"/>
    <s v="11/04/1995"/>
    <s v="Mumbai"/>
    <x v="3"/>
    <x v="2"/>
    <s v="Keyboard"/>
    <n v="19"/>
    <n v="1200"/>
    <n v="20"/>
    <x v="137"/>
    <n v="2"/>
    <s v="Cash"/>
    <s v="Neha"/>
    <s v="pooja.shah@company.com"/>
    <s v="9554719621"/>
    <s v="Cancelled"/>
  </r>
  <r>
    <s v="ORD10245"/>
    <s v="C008"/>
    <s v="P303"/>
    <x v="43"/>
    <s v="14/10/2025"/>
    <s v="Arjun Rao"/>
    <s v="Female"/>
    <s v="04/05/2000"/>
    <s v="Bengaluru"/>
    <x v="0"/>
    <x v="2"/>
    <s v="Marker"/>
    <n v="5"/>
    <n v="45"/>
    <n v="15"/>
    <x v="193"/>
    <n v="2"/>
    <s v="Cash"/>
    <s v="Aisha"/>
    <s v="KAvya.nair@company.com"/>
    <s v="9815899217"/>
    <s v="Cancelled"/>
  </r>
  <r>
    <s v="ORD10246"/>
    <s v="C001"/>
    <s v="P102"/>
    <x v="192"/>
    <s v="01/06/2025"/>
    <s v="Pooja Shah"/>
    <s v="Male"/>
    <s v="01/03/2002"/>
    <s v="Hyderabad"/>
    <x v="2"/>
    <x v="1"/>
    <s v="Mouse"/>
    <n v="19"/>
    <n v="700"/>
    <n v="5"/>
    <x v="194"/>
    <n v="5"/>
    <s v="UPI"/>
    <s v="Karan"/>
    <s v="amit.sharma@company.com"/>
    <s v="9308497039"/>
    <s v="Completed"/>
  </r>
  <r>
    <s v="ORD10247"/>
    <s v="C003"/>
    <s v="P301"/>
    <x v="109"/>
    <s v="04/01/2026"/>
    <s v="Kavya Nair"/>
    <s v="Male"/>
    <s v="27/05/1975"/>
    <s v="Kolkata"/>
    <x v="0"/>
    <x v="2"/>
    <s v="Notebook"/>
    <n v="7"/>
    <n v="60"/>
    <n v="0"/>
    <x v="138"/>
    <n v="4"/>
    <s v="Cash"/>
    <s v="Neha"/>
    <s v="rohit.singh@company.com"/>
    <s v="9882054354"/>
    <s v="Pending"/>
  </r>
  <r>
    <s v="ORD10248"/>
    <s v="C009"/>
    <s v="P202"/>
    <x v="22"/>
    <s v="02/01/2026"/>
    <s v="Amit Sharma"/>
    <s v="Male"/>
    <s v="02/12/1988"/>
    <s v="Mumbai"/>
    <x v="0"/>
    <x v="1"/>
    <s v="Iron"/>
    <n v="13"/>
    <n v="2200"/>
    <n v="10"/>
    <x v="195"/>
    <n v="1"/>
    <s v="Card"/>
    <s v="Karan"/>
    <s v="mohit.verma@company.com"/>
    <s v="9193016830"/>
    <s v="Completed"/>
  </r>
  <r>
    <s v="ORD10249"/>
    <s v="C009"/>
    <s v="P202"/>
    <x v="193"/>
    <s v="05/01/2026"/>
    <s v="Rohit Singh"/>
    <s v="Male"/>
    <s v="06/12/1984"/>
    <s v="Bengaluru"/>
    <x v="3"/>
    <x v="2"/>
    <s v="Iron"/>
    <n v="9"/>
    <n v="2200"/>
    <n v="10"/>
    <x v="196"/>
    <n v="2"/>
    <s v="Crypto"/>
    <s v="Aisha"/>
    <s v="mohit.verma@company.com"/>
    <s v="9921470418"/>
    <s v="Cancelled"/>
  </r>
  <r>
    <s v="ORD10250"/>
    <s v="C001"/>
    <s v="P203"/>
    <x v="151"/>
    <s v="17/05/2025"/>
    <s v="Mohit Verma"/>
    <s v="Male"/>
    <s v="01/05/1990"/>
    <s v="Bengaluru"/>
    <x v="2"/>
    <x v="0"/>
    <s v="Microwave"/>
    <n v="6"/>
    <n v="8500"/>
    <n v="15"/>
    <x v="197"/>
    <n v="2"/>
    <s v="Cash"/>
    <s v="Karan"/>
    <s v="amit.sharma@company.com"/>
    <s v="9686979026"/>
    <s v="Cancelled"/>
  </r>
  <r>
    <s v="ORD10251"/>
    <s v="C005"/>
    <s v="P202"/>
    <x v="116"/>
    <s v="25/02/2026"/>
    <s v="Mohit Verma"/>
    <s v="Male"/>
    <s v="09/02/1988"/>
    <s v="Delhi"/>
    <x v="0"/>
    <x v="0"/>
    <s v="Iron"/>
    <n v="9"/>
    <n v="2200"/>
    <n v="10"/>
    <x v="196"/>
    <n v="3"/>
    <s v="Card"/>
    <s v="Ritika"/>
    <s v="vikas.mehta@company.com"/>
    <s v="9569007422"/>
    <s v="Pending"/>
  </r>
  <r>
    <s v="ORD10252"/>
    <s v="C008"/>
    <s v="P203"/>
    <x v="194"/>
    <s v="26/03/2025"/>
    <s v="Amit Sharma"/>
    <s v="Female"/>
    <s v="28/03/1982"/>
    <s v="Kolkata"/>
    <x v="0"/>
    <x v="0"/>
    <s v="Microwave"/>
    <n v="16"/>
    <n v="8500"/>
    <n v="0"/>
    <x v="151"/>
    <n v="5"/>
    <s v="UPI"/>
    <s v="Neha"/>
    <s v="KAvya.nair@company.com"/>
    <s v="9180820441"/>
    <s v="Cancelled"/>
  </r>
  <r>
    <s v="ORD10253"/>
    <s v="C001"/>
    <s v="P103"/>
    <x v="195"/>
    <s v="16/12/2025"/>
    <s v="Vikas Mehta"/>
    <s v="Male"/>
    <s v="28/12/1976"/>
    <s v="Delhi"/>
    <x v="1"/>
    <x v="0"/>
    <s v="Keyboard"/>
    <n v="10"/>
    <n v="1200"/>
    <n v="15"/>
    <x v="198"/>
    <n v="5"/>
    <s v="Cash"/>
    <s v="Rahul"/>
    <s v="amit.sharma@company.com"/>
    <s v="9769075826"/>
    <s v="Completed"/>
  </r>
  <r>
    <s v="ORD10254"/>
    <s v="C003"/>
    <s v="P104"/>
    <x v="55"/>
    <s v="15/03/2025"/>
    <s v="Kavya Nair"/>
    <s v="Male"/>
    <s v="03/08/2003"/>
    <s v="Kolkata"/>
    <x v="3"/>
    <x v="0"/>
    <s v="Monitor"/>
    <n v="7"/>
    <n v="12000"/>
    <n v="0"/>
    <x v="199"/>
    <n v="1"/>
    <s v="UPI"/>
    <s v="Karan"/>
    <s v="rohit.singh@company.com"/>
    <s v="9467916296"/>
    <s v="Pending"/>
  </r>
  <r>
    <s v="ORD10255"/>
    <s v="C005"/>
    <s v="P104"/>
    <x v="9"/>
    <s v="01/10/2025"/>
    <s v="Amit Sharma"/>
    <s v="Male"/>
    <s v="06/05/1986"/>
    <s v="Pune"/>
    <x v="1"/>
    <x v="1"/>
    <s v="Monitor"/>
    <n v="3"/>
    <n v="12000"/>
    <n v="10"/>
    <x v="200"/>
    <n v="4"/>
    <s v="Card"/>
    <s v="Karan"/>
    <s v="vikas.mehta@company.com"/>
    <s v="9477052923"/>
    <s v="Completed"/>
  </r>
  <r>
    <s v="ORD10256"/>
    <s v="C005"/>
    <s v="P104"/>
    <x v="196"/>
    <s v="09/11/2025"/>
    <s v="Rohit Singh"/>
    <s v="Male"/>
    <s v="04/02/1989"/>
    <s v="Hyderabad"/>
    <x v="3"/>
    <x v="1"/>
    <s v="Monitor"/>
    <n v="4"/>
    <n v="12000"/>
    <n v="15"/>
    <x v="7"/>
    <n v="3"/>
    <s v="Card"/>
    <s v="Ritika"/>
    <s v="vikas.mehta@company.com"/>
    <s v="9184311420"/>
    <s v="Pending"/>
  </r>
  <r>
    <s v="ORD10257"/>
    <s v="C003"/>
    <s v="P104"/>
    <x v="29"/>
    <s v="18/06/2025"/>
    <s v="Vikas Mehta"/>
    <s v="Male"/>
    <s v="08/02/1980"/>
    <s v="Hyderabad"/>
    <x v="2"/>
    <x v="1"/>
    <s v="Monitor"/>
    <n v="13"/>
    <n v="12000"/>
    <n v="10"/>
    <x v="201"/>
    <n v="2"/>
    <s v="Cash"/>
    <s v="Karan"/>
    <s v="rohit.singh@company.com"/>
    <s v="9630913127"/>
    <s v="Cancelled"/>
  </r>
  <r>
    <s v="ORD10258"/>
    <s v="C008"/>
    <s v="P201"/>
    <x v="39"/>
    <s v="11/06/2025"/>
    <s v="Vikas Mehta"/>
    <s v="Female"/>
    <s v="13/01/1985"/>
    <s v="Bengaluru"/>
    <x v="0"/>
    <x v="1"/>
    <s v="Mixer"/>
    <n v="19"/>
    <n v="3500"/>
    <n v="20"/>
    <x v="44"/>
    <n v="1"/>
    <s v="Cash"/>
    <s v="Aisha"/>
    <s v="KAvya.nair@company.com"/>
    <s v="9997515828"/>
    <s v="Cancelled"/>
  </r>
  <r>
    <s v="ORD10259"/>
    <s v="C008"/>
    <s v="P202"/>
    <x v="148"/>
    <s v="12/02/2025"/>
    <s v="Rohit Singh"/>
    <s v="Female"/>
    <s v="24/07/1979"/>
    <s v="Mumbai"/>
    <x v="0"/>
    <x v="1"/>
    <s v="Iron"/>
    <n v="7"/>
    <n v="2200"/>
    <n v="5"/>
    <x v="202"/>
    <n v="3"/>
    <s v="UPI"/>
    <s v="Aisha"/>
    <s v="KAvya.nair@company.com"/>
    <s v="9394291182"/>
    <s v="Cancelled"/>
  </r>
  <r>
    <s v="ORD10260"/>
    <s v="C007"/>
    <s v="P102"/>
    <x v="197"/>
    <s v="13/05/2026"/>
    <s v="Kavya Nair"/>
    <s v="Male"/>
    <s v="03/08/1993"/>
    <s v="Jaipur"/>
    <x v="0"/>
    <x v="0"/>
    <s v="Mouse"/>
    <n v="18"/>
    <n v="700"/>
    <n v="5"/>
    <x v="72"/>
    <n v="2"/>
    <s v="UPI"/>
    <s v="Aisha"/>
    <s v="arjun.rao@company.com"/>
    <s v="9616853220"/>
    <s v="Cancelled"/>
  </r>
  <r>
    <s v="ORD10261"/>
    <s v="C008"/>
    <s v="P302"/>
    <x v="178"/>
    <s v="30/07/2025"/>
    <s v="Kavya Nair"/>
    <s v="Female"/>
    <s v="23/08/1975"/>
    <s v="Kolkata"/>
    <x v="2"/>
    <x v="0"/>
    <s v="Pen"/>
    <n v="11"/>
    <n v="20"/>
    <n v="0"/>
    <x v="147"/>
    <n v="2"/>
    <s v="NetBanking"/>
    <s v="Neha"/>
    <s v="KAvya.nair@company.com"/>
    <s v="9147552626"/>
    <s v="Cancelled"/>
  </r>
  <r>
    <s v="ORD10262"/>
    <s v="C001"/>
    <s v="P104"/>
    <x v="171"/>
    <s v="07/03/2025"/>
    <s v="Arjun Rao"/>
    <s v="Male"/>
    <s v="23/04/1978"/>
    <s v="Pune"/>
    <x v="1"/>
    <x v="1"/>
    <s v="Monitor"/>
    <n v="17"/>
    <n v="12000"/>
    <n v="20"/>
    <x v="203"/>
    <n v="4"/>
    <s v="UPI"/>
    <s v="Karan"/>
    <s v="amit.sharma@company.com"/>
    <s v="9724197033"/>
    <s v="Completed"/>
  </r>
  <r>
    <s v="ORD10263"/>
    <s v="C006"/>
    <s v="P202"/>
    <x v="198"/>
    <s v="13/07/2025"/>
    <s v="Kavya Nair"/>
    <s v="Female"/>
    <s v="25/09/2003"/>
    <s v="Kolkata"/>
    <x v="3"/>
    <x v="2"/>
    <s v="Iron"/>
    <n v="4"/>
    <n v="2200"/>
    <n v="5"/>
    <x v="204"/>
    <n v="2"/>
    <s v="Cash"/>
    <s v="Ritika"/>
    <s v="sneha.joshi@company.com"/>
    <s v="9130666128"/>
    <s v="Completed"/>
  </r>
  <r>
    <s v="ORD10264"/>
    <s v="C008"/>
    <s v="P101"/>
    <x v="199"/>
    <s v="19/12/2025"/>
    <s v="Amit Sharma"/>
    <s v="Female"/>
    <s v="09/04/2002"/>
    <s v="Ahmedabad"/>
    <x v="2"/>
    <x v="1"/>
    <s v="Laptop"/>
    <n v="6"/>
    <n v="55000"/>
    <n v="20"/>
    <x v="205"/>
    <n v="2"/>
    <s v="UPI"/>
    <s v="Karan"/>
    <s v="KAvya.nair@company.com"/>
    <s v="9866567601"/>
    <s v="Cancelled"/>
  </r>
  <r>
    <s v="ORD10265"/>
    <s v="C009"/>
    <s v="P203"/>
    <x v="4"/>
    <s v="14/01/2026"/>
    <s v="Sneha Joshi"/>
    <s v="Male"/>
    <s v="24/09/1985"/>
    <s v="Delhi"/>
    <x v="3"/>
    <x v="0"/>
    <s v="Microwave"/>
    <n v="6"/>
    <n v="8500"/>
    <n v="10"/>
    <x v="206"/>
    <n v="5"/>
    <s v="UPI"/>
    <s v="Aisha"/>
    <s v="mohit.verma@company.com"/>
    <s v="9477282450"/>
    <s v="Completed"/>
  </r>
  <r>
    <s v="ORD10266"/>
    <s v="C008"/>
    <s v="P302"/>
    <x v="84"/>
    <s v="25/08/2025"/>
    <s v="Kavya Nair"/>
    <s v="Female"/>
    <s v="12/12/1984"/>
    <s v="Jaipur"/>
    <x v="2"/>
    <x v="1"/>
    <s v="Pen"/>
    <n v="6"/>
    <n v="20"/>
    <n v="15"/>
    <x v="78"/>
    <n v="2"/>
    <s v="UPI"/>
    <s v="Rahul"/>
    <s v="KAvya.nair@company.com"/>
    <s v="9857621478"/>
    <s v="Cancelled"/>
  </r>
  <r>
    <s v="ORD10267"/>
    <s v="C010"/>
    <s v="P301"/>
    <x v="200"/>
    <s v="11/05/2025"/>
    <s v="Mohit Verma"/>
    <s v="Female"/>
    <s v="20/07/1984"/>
    <s v="Mumbai"/>
    <x v="1"/>
    <x v="0"/>
    <s v="Notebook"/>
    <n v="6"/>
    <n v="60"/>
    <n v="5"/>
    <x v="154"/>
    <n v="1"/>
    <s v="NetBanking"/>
    <s v="Aisha"/>
    <s v="pooja.shah@company.com"/>
    <s v="9753869055"/>
    <s v="Completed"/>
  </r>
  <r>
    <s v="ORD10268"/>
    <s v="C003"/>
    <s v="P203"/>
    <x v="201"/>
    <s v="12/01/2025"/>
    <s v="Kavya Nair"/>
    <s v="Male"/>
    <s v="15/03/1988"/>
    <s v="Hyderabad"/>
    <x v="1"/>
    <x v="2"/>
    <s v="Microwave"/>
    <n v="19"/>
    <n v="8500"/>
    <n v="0"/>
    <x v="207"/>
    <n v="5"/>
    <s v="UPI"/>
    <s v="Karan"/>
    <s v="rohit.singh@company.com"/>
    <s v="9663266204"/>
    <s v="Completed"/>
  </r>
  <r>
    <s v="ORD10269"/>
    <s v="C006"/>
    <s v="P101"/>
    <x v="61"/>
    <s v="10/09/2025"/>
    <s v="Pooja Shah"/>
    <s v="Female"/>
    <s v="27/05/1987"/>
    <s v="Jaipur"/>
    <x v="2"/>
    <x v="2"/>
    <s v="Laptop"/>
    <n v="8"/>
    <n v="55000"/>
    <n v="0"/>
    <x v="208"/>
    <n v="3"/>
    <s v="Card"/>
    <s v="Neha"/>
    <s v="sneha.joshi@company.com"/>
    <s v="9675208616"/>
    <s v="Pending"/>
  </r>
  <r>
    <s v="ORD10270"/>
    <s v="C009"/>
    <s v="P104"/>
    <x v="177"/>
    <s v="07/05/2026"/>
    <s v="Rohit Singh"/>
    <s v="Male"/>
    <s v="25/10/1988"/>
    <s v="Kolkata"/>
    <x v="0"/>
    <x v="0"/>
    <s v="Monitor"/>
    <n v="18"/>
    <n v="12000"/>
    <n v="20"/>
    <x v="209"/>
    <n v="5"/>
    <s v="UPI"/>
    <s v="Aisha"/>
    <s v="mohit.verma@company.com"/>
    <s v="9618393586"/>
    <s v="Cancelled"/>
  </r>
  <r>
    <s v="ORD10271"/>
    <s v="C003"/>
    <s v="P203"/>
    <x v="202"/>
    <s v="26/04/2025"/>
    <s v="Sneha Joshi"/>
    <s v="Male"/>
    <s v="12/12/1990"/>
    <s v="Ahmedabad"/>
    <x v="1"/>
    <x v="1"/>
    <s v="Microwave"/>
    <n v="8"/>
    <n v="8500"/>
    <n v="5"/>
    <x v="210"/>
    <n v="2"/>
    <s v="Card"/>
    <s v="Aisha"/>
    <s v="rohit.singh@company.com"/>
    <s v="9137027840"/>
    <s v="Cancelled"/>
  </r>
  <r>
    <s v="ORD10272"/>
    <s v="C008"/>
    <s v="P302"/>
    <x v="203"/>
    <s v="18/08/2025"/>
    <s v="Mohit Verma"/>
    <s v="Female"/>
    <s v="23/02/1981"/>
    <s v="Mumbai"/>
    <x v="3"/>
    <x v="1"/>
    <s v="Pen"/>
    <n v="13"/>
    <n v="20"/>
    <n v="5"/>
    <x v="211"/>
    <n v="3"/>
    <s v="NetBanking"/>
    <s v="Neha"/>
    <s v="KAvya.nair@company.com"/>
    <s v="9362758134"/>
    <s v="Pending"/>
  </r>
  <r>
    <s v="ORD10273"/>
    <s v="C007"/>
    <s v="P301"/>
    <x v="117"/>
    <s v="16/04/2026"/>
    <s v="Rohit Singh"/>
    <s v="Male"/>
    <s v="03/04/1985"/>
    <s v="Jaipur"/>
    <x v="2"/>
    <x v="0"/>
    <s v="Notebook"/>
    <n v="1"/>
    <n v="60"/>
    <n v="15"/>
    <x v="212"/>
    <n v="2"/>
    <s v="Card"/>
    <s v="Aisha"/>
    <s v="arjun.rao@company.com"/>
    <s v="9648541985"/>
    <s v="Cancelled"/>
  </r>
  <r>
    <s v="ORD10274"/>
    <s v="C010"/>
    <s v="P302"/>
    <x v="204"/>
    <s v="28/06/2025"/>
    <s v="Kavya Nair"/>
    <s v="Female"/>
    <s v="06/08/1976"/>
    <s v="Pune"/>
    <x v="2"/>
    <x v="2"/>
    <s v="Pen"/>
    <n v="5"/>
    <n v="20"/>
    <n v="5"/>
    <x v="213"/>
    <n v="2"/>
    <s v="NetBanking"/>
    <s v="Rahul"/>
    <s v="pooja.shah@company.com"/>
    <s v="9175002781"/>
    <s v="Pending"/>
  </r>
  <r>
    <s v="ORD10275"/>
    <s v="C005"/>
    <s v="P302"/>
    <x v="205"/>
    <s v="24/05/2025"/>
    <s v="Arjun Rao"/>
    <s v="Male"/>
    <s v="13/05/1978"/>
    <s v="Kolkata"/>
    <x v="1"/>
    <x v="2"/>
    <s v="Pen"/>
    <n v="19"/>
    <n v="20"/>
    <n v="20"/>
    <x v="214"/>
    <n v="3"/>
    <s v="Cash"/>
    <s v="Ritika"/>
    <s v="vikas.mehta@company.com"/>
    <s v="9786241263"/>
    <s v="Cancelled"/>
  </r>
  <r>
    <s v="ORD10276"/>
    <s v="C002"/>
    <s v="P303"/>
    <x v="206"/>
    <s v="07/04/2025"/>
    <s v="Pooja Shah"/>
    <s v="Female"/>
    <s v="19/08/1998"/>
    <s v="Ahmedabad"/>
    <x v="2"/>
    <x v="2"/>
    <s v="Marker"/>
    <n v="17"/>
    <n v="45"/>
    <n v="5"/>
    <x v="176"/>
    <n v="4"/>
    <s v="Cash"/>
    <s v="Neha"/>
    <s v="priYa.patel@company.com"/>
    <s v="9691078176"/>
    <s v="Pending"/>
  </r>
  <r>
    <s v="ORD10277"/>
    <s v="C007"/>
    <s v="P102"/>
    <x v="207"/>
    <s v="22/02/2026"/>
    <s v="Vikas Mehta"/>
    <s v="Male"/>
    <s v="20/10/1975"/>
    <s v="Bengaluru"/>
    <x v="3"/>
    <x v="2"/>
    <s v="Mouse"/>
    <n v="8"/>
    <n v="700"/>
    <n v="15"/>
    <x v="215"/>
    <n v="4"/>
    <s v="NetBanking"/>
    <s v="Ritika"/>
    <s v="arjun.rao@company.com"/>
    <s v="9336679085"/>
    <s v="Pending"/>
  </r>
  <r>
    <s v="ORD10278"/>
    <s v="C004"/>
    <s v="P202"/>
    <x v="208"/>
    <s v="29/01/2026"/>
    <s v="Priya Patel"/>
    <s v="Female"/>
    <s v="28/09/1975"/>
    <s v="Mumbai"/>
    <x v="2"/>
    <x v="2"/>
    <s v="Iron"/>
    <n v="15"/>
    <n v="2200"/>
    <n v="10"/>
    <x v="11"/>
    <n v="5"/>
    <s v="UPI"/>
    <s v="Karan"/>
    <s v="anita.gupta@company.com"/>
    <s v="9497351043"/>
    <s v="Completed"/>
  </r>
  <r>
    <s v="ORD10279"/>
    <s v="C002"/>
    <s v="P202"/>
    <x v="209"/>
    <s v="29/09/2025"/>
    <s v="Arjun Rao"/>
    <s v="Female"/>
    <s v="23/09/2002"/>
    <s v="Mumbai"/>
    <x v="0"/>
    <x v="1"/>
    <s v="Iron"/>
    <n v="1"/>
    <n v="2200"/>
    <n v="0"/>
    <x v="216"/>
    <n v="4"/>
    <s v="Cash"/>
    <s v="Rahul"/>
    <s v="priYa.patel@company.com"/>
    <s v="9357038998"/>
    <s v="Cancelled"/>
  </r>
  <r>
    <s v="ORD10280"/>
    <s v="C006"/>
    <s v="P201"/>
    <x v="138"/>
    <s v="30/06/2025"/>
    <s v="Anita Gupta"/>
    <s v="Female"/>
    <s v="17/06/1988"/>
    <s v="Ahmedabad"/>
    <x v="2"/>
    <x v="0"/>
    <s v="Mixer"/>
    <n v="10"/>
    <n v="3500"/>
    <n v="10"/>
    <x v="217"/>
    <n v="4"/>
    <s v="NetBanking"/>
    <s v="Ritika"/>
    <s v="sneha.joshi@company.com"/>
    <s v="9986371291"/>
    <s v="Cancelled"/>
  </r>
  <r>
    <s v="ORD10281"/>
    <s v="C009"/>
    <s v="P201"/>
    <x v="210"/>
    <s v="16/05/2025"/>
    <s v="Priya Patel"/>
    <s v="Male"/>
    <s v="02/02/1991"/>
    <s v="Jaipur"/>
    <x v="2"/>
    <x v="0"/>
    <s v="Mixer"/>
    <n v="16"/>
    <n v="3500"/>
    <n v="15"/>
    <x v="64"/>
    <n v="1"/>
    <s v="Card"/>
    <s v="Neha"/>
    <s v="mohit.verma@company.com"/>
    <s v="9397839191"/>
    <s v="Pending"/>
  </r>
  <r>
    <s v="ORD10282"/>
    <s v="C006"/>
    <s v="P104"/>
    <x v="211"/>
    <s v="18/09/2025"/>
    <s v="Sneha Joshi"/>
    <s v="Female"/>
    <s v="09/08/1978"/>
    <s v="Jaipur"/>
    <x v="2"/>
    <x v="0"/>
    <s v="Monitor"/>
    <n v="1"/>
    <n v="12000"/>
    <n v="0"/>
    <x v="175"/>
    <n v="4"/>
    <s v="NetBanking"/>
    <s v="Neha"/>
    <s v="sneha.joshi@company.com"/>
    <s v="9162975843"/>
    <s v="Cancelled"/>
  </r>
  <r>
    <s v="ORD10283"/>
    <s v="C007"/>
    <s v="P102"/>
    <x v="212"/>
    <s v="29/04/2025"/>
    <s v="Mohit Verma"/>
    <s v="Male"/>
    <s v="02/02/1994"/>
    <s v="Mumbai"/>
    <x v="1"/>
    <x v="0"/>
    <s v="Mouse"/>
    <n v="6"/>
    <n v="700"/>
    <n v="20"/>
    <x v="218"/>
    <n v="2"/>
    <s v="NetBanking"/>
    <s v="Neha"/>
    <s v="arjun.rao@company.com"/>
    <s v="9237616558"/>
    <s v="Pending"/>
  </r>
  <r>
    <s v="ORD10284"/>
    <s v="C009"/>
    <s v="P202"/>
    <x v="213"/>
    <s v="27/02/2026"/>
    <s v="Sneha Joshi"/>
    <s v="Male"/>
    <s v="28/03/1995"/>
    <s v="Ahmedabad"/>
    <x v="1"/>
    <x v="1"/>
    <s v="Iron"/>
    <n v="3"/>
    <n v="2200"/>
    <n v="0"/>
    <x v="219"/>
    <n v="4"/>
    <s v="Card"/>
    <s v="Ritika"/>
    <s v="mohit.verma@company.com"/>
    <s v="9935063989"/>
    <s v="Completed"/>
  </r>
  <r>
    <s v="ORD10285"/>
    <s v="C006"/>
    <s v="P303"/>
    <x v="193"/>
    <s v="01/01/2026"/>
    <s v="Arjun Rao"/>
    <s v="Female"/>
    <s v="12/03/1992"/>
    <s v="Hyderabad"/>
    <x v="2"/>
    <x v="1"/>
    <s v="Marker"/>
    <n v="6"/>
    <n v="45"/>
    <n v="15"/>
    <x v="220"/>
    <n v="1"/>
    <s v="UPI"/>
    <s v="Rahul"/>
    <s v="sneha.joshi@company.com"/>
    <s v="9167376169"/>
    <s v="Completed"/>
  </r>
  <r>
    <s v="ORD10286"/>
    <s v="C006"/>
    <s v="P103"/>
    <x v="214"/>
    <s v="30/09/2025"/>
    <s v="Mohit Verma"/>
    <s v="Female"/>
    <s v="23/01/1981"/>
    <s v="Bengaluru"/>
    <x v="2"/>
    <x v="0"/>
    <s v="Keyboard"/>
    <n v="2"/>
    <n v="1200"/>
    <n v="0"/>
    <x v="221"/>
    <n v="1"/>
    <s v="Cash"/>
    <s v="Karan"/>
    <s v="sneha.joshi@company.com"/>
    <s v="9231845497"/>
    <s v="Cancelled"/>
  </r>
  <r>
    <s v="ORD10287"/>
    <s v="C004"/>
    <s v="P102"/>
    <x v="215"/>
    <s v="11/05/2026"/>
    <s v="Sneha Joshi"/>
    <s v="Female"/>
    <s v="28/09/1984"/>
    <s v="Hyderabad"/>
    <x v="0"/>
    <x v="2"/>
    <s v="Mouse"/>
    <n v="14"/>
    <n v="700"/>
    <n v="15"/>
    <x v="222"/>
    <n v="5"/>
    <s v="Cash"/>
    <s v="Neha"/>
    <s v="anita.gupta@company.com"/>
    <s v="9409415805"/>
    <s v="Pending"/>
  </r>
  <r>
    <s v="ORD10288"/>
    <s v="C002"/>
    <s v="P302"/>
    <x v="34"/>
    <s v="06/11/2025"/>
    <s v="Sneha Joshi"/>
    <s v="Female"/>
    <s v="06/11/1975"/>
    <s v="Mumbai"/>
    <x v="0"/>
    <x v="1"/>
    <s v="Pen"/>
    <n v="13"/>
    <n v="20"/>
    <n v="5"/>
    <x v="211"/>
    <n v="1"/>
    <s v="Card"/>
    <s v="Ritika"/>
    <s v="priya.patecompany.com"/>
    <s v="9240800508"/>
    <s v="Pending"/>
  </r>
  <r>
    <s v="ORD10289"/>
    <s v="C009"/>
    <s v="P202"/>
    <x v="10"/>
    <s v="15/03/2025"/>
    <s v="Anita Gupta"/>
    <s v="Male"/>
    <s v="26/06/1995"/>
    <s v="Pune"/>
    <x v="0"/>
    <x v="1"/>
    <s v="Iron"/>
    <n v="3"/>
    <n v="2200"/>
    <n v="0"/>
    <x v="219"/>
    <n v="4"/>
    <s v="NetBanking"/>
    <s v="Aisha"/>
    <s v="mohit.verma@company.com"/>
    <s v="9764609936"/>
    <s v="Cancelled"/>
  </r>
  <r>
    <s v="ORD10290"/>
    <s v="C009"/>
    <s v="P301"/>
    <x v="62"/>
    <s v="21/02/2026"/>
    <s v="Priya Patel"/>
    <s v="Male"/>
    <s v="21/11/1979"/>
    <s v="Pune"/>
    <x v="2"/>
    <x v="2"/>
    <s v="Notebook"/>
    <n v="3"/>
    <n v="60"/>
    <n v="15"/>
    <x v="169"/>
    <n v="4"/>
    <s v="UPI"/>
    <s v="Neha"/>
    <s v="mohit.verma@company.com"/>
    <s v="9362733217"/>
    <s v="Completed"/>
  </r>
  <r>
    <s v="ORD10291"/>
    <s v="C003"/>
    <s v="P201"/>
    <x v="97"/>
    <s v="23/03/2025"/>
    <s v="Mohit Verma"/>
    <s v="Male"/>
    <s v="28/01/1987"/>
    <s v="Mumbai"/>
    <x v="2"/>
    <x v="0"/>
    <s v="Mixer"/>
    <n v="9"/>
    <n v="3500"/>
    <n v="5"/>
    <x v="223"/>
    <n v="1"/>
    <s v="Cash"/>
    <s v="Aisha"/>
    <s v="rohit.singh@company.com"/>
    <s v="9270466205"/>
    <s v="Pending"/>
  </r>
  <r>
    <s v="ORD10292"/>
    <s v="C001"/>
    <s v="P103"/>
    <x v="216"/>
    <s v="01/04/2025"/>
    <s v="Mohit Verma"/>
    <s v="Male"/>
    <s v="08/02/2001"/>
    <s v="Jaipur"/>
    <x v="2"/>
    <x v="2"/>
    <s v="Keyboard"/>
    <n v="5"/>
    <n v="1200"/>
    <n v="20"/>
    <x v="172"/>
    <n v="2"/>
    <s v="UPI"/>
    <s v="Neha"/>
    <s v="amit.sharma@company.com"/>
    <s v="9571436865"/>
    <s v="Pending"/>
  </r>
  <r>
    <s v="ORD10293"/>
    <s v="C010"/>
    <s v="P103"/>
    <x v="217"/>
    <s v="14/03/2025"/>
    <s v="Rohit Singh"/>
    <s v="Female"/>
    <s v="14/12/1989"/>
    <s v="Jaipur"/>
    <x v="2"/>
    <x v="0"/>
    <s v="Keyboard"/>
    <n v="10"/>
    <n v="1200"/>
    <n v="20"/>
    <x v="74"/>
    <n v="4"/>
    <s v="Cash"/>
    <s v="Rahul"/>
    <s v="pooja.shah@company.com"/>
    <s v="9307011171"/>
    <s v="Completed"/>
  </r>
  <r>
    <s v="ORD10294"/>
    <s v="C008"/>
    <s v="P103"/>
    <x v="218"/>
    <s v="24/02/2026"/>
    <s v="Amit Sharma"/>
    <s v="Female"/>
    <s v="15/12/1988"/>
    <s v="Ahmedabad"/>
    <x v="1"/>
    <x v="1"/>
    <s v="Keyboard"/>
    <n v="5"/>
    <n v="1200"/>
    <n v="20"/>
    <x v="172"/>
    <n v="3"/>
    <s v="NetBanking"/>
    <s v="Karan"/>
    <s v="KAvya.nair@company.com"/>
    <s v="9922380435"/>
    <s v="Completed"/>
  </r>
  <r>
    <s v="ORD10295"/>
    <s v="C004"/>
    <s v="P302"/>
    <x v="219"/>
    <s v="14/02/2025"/>
    <s v="Pooja Shah"/>
    <s v="Female"/>
    <s v="20/10/1990"/>
    <s v="Mumbai"/>
    <x v="1"/>
    <x v="1"/>
    <s v="Pen"/>
    <n v="10"/>
    <n v="20"/>
    <n v="5"/>
    <x v="224"/>
    <n v="4"/>
    <s v="Cash"/>
    <s v="Karan"/>
    <s v="anita.gupta@company.com"/>
    <s v="9463618792"/>
    <s v="Pending"/>
  </r>
  <r>
    <s v="ORD10296"/>
    <s v="C002"/>
    <s v="P301"/>
    <x v="220"/>
    <s v="27/01/2025"/>
    <s v="Kavya Nair"/>
    <s v="Female"/>
    <s v="08/09/1978"/>
    <s v="Delhi"/>
    <x v="2"/>
    <x v="1"/>
    <s v="Notebook"/>
    <n v="20"/>
    <n v="60"/>
    <n v="15"/>
    <x v="225"/>
    <n v="5"/>
    <s v="Card"/>
    <s v="Ritika"/>
    <s v="priYa.patel@company.com"/>
    <s v="9954973200"/>
    <s v="Pending"/>
  </r>
  <r>
    <s v="ORD10297"/>
    <s v="C001"/>
    <s v="P202"/>
    <x v="221"/>
    <s v="12/04/2025"/>
    <s v="Anita Gupta"/>
    <s v="Male"/>
    <s v="09/02/1978"/>
    <s v="Ahmedabad"/>
    <x v="2"/>
    <x v="2"/>
    <s v="Iron"/>
    <n v="7"/>
    <n v="2200"/>
    <n v="15"/>
    <x v="49"/>
    <n v="4"/>
    <s v="Cash"/>
    <s v="Aisha"/>
    <s v="amit.sharma@company.com"/>
    <s v="9383199236"/>
    <s v="Cancelled"/>
  </r>
  <r>
    <s v="ORD10298"/>
    <s v="C003"/>
    <s v="P101"/>
    <x v="96"/>
    <s v="16/01/2025"/>
    <s v="Priya Patel"/>
    <s v="Male"/>
    <s v="03/01/2004"/>
    <s v="Hyderabad"/>
    <x v="1"/>
    <x v="2"/>
    <s v="Laptop"/>
    <n v="11"/>
    <n v="55000"/>
    <n v="5"/>
    <x v="226"/>
    <n v="1"/>
    <s v="UPI"/>
    <s v="Ritika"/>
    <s v="rohit.singh@company.com"/>
    <s v="9482699727"/>
    <s v="Cancelled"/>
  </r>
  <r>
    <s v="ORD10299"/>
    <s v="C007"/>
    <s v="P201"/>
    <x v="37"/>
    <s v="17/10/2025"/>
    <s v="Amit Sharma"/>
    <s v="Male"/>
    <s v="02/05/1992"/>
    <s v="Jaipur"/>
    <x v="2"/>
    <x v="0"/>
    <s v="Mixer"/>
    <n v="12"/>
    <n v="3500"/>
    <n v="0"/>
    <x v="227"/>
    <n v="2"/>
    <s v="NetBanking"/>
    <s v="Not assigned"/>
    <s v="arjun.rao@company.com"/>
    <s v="9332473934"/>
    <s v="Pending"/>
  </r>
  <r>
    <s v="ORD10300"/>
    <s v="C009"/>
    <s v="P303"/>
    <x v="222"/>
    <s v="08/03/2026"/>
    <s v="Rohit Singh"/>
    <s v="Male"/>
    <s v="26/01/2003"/>
    <s v="Hyderabad"/>
    <x v="0"/>
    <x v="1"/>
    <s v="Marker"/>
    <n v="15"/>
    <n v="45"/>
    <n v="10"/>
    <x v="228"/>
    <n v="2"/>
    <s v="Cash"/>
    <s v="Karan"/>
    <s v="mohit.verma@company.com"/>
    <s v="9647657382"/>
    <s v="Pending"/>
  </r>
  <r>
    <s v="ORD10301"/>
    <s v="C001"/>
    <s v="P303"/>
    <x v="223"/>
    <s v="26/05/2025"/>
    <s v="Arjun Rao"/>
    <s v="Male"/>
    <s v="20/05/1987"/>
    <s v="Bengaluru"/>
    <x v="1"/>
    <x v="0"/>
    <s v="Marker"/>
    <n v="13"/>
    <n v="45"/>
    <n v="0"/>
    <x v="229"/>
    <n v="5"/>
    <s v="NetBanking"/>
    <s v="Rahul"/>
    <s v="amit.sharma@company.com"/>
    <s v="9736797776"/>
    <s v="Pending"/>
  </r>
  <r>
    <s v="ORD10302"/>
    <s v="C003"/>
    <s v="P101"/>
    <x v="112"/>
    <s v="05/01/2026"/>
    <s v="Mohit Verma"/>
    <s v="Male"/>
    <s v="07/09/1975"/>
    <s v="Bengaluru"/>
    <x v="0"/>
    <x v="2"/>
    <s v="Laptop"/>
    <n v="8"/>
    <n v="55000"/>
    <n v="0"/>
    <x v="208"/>
    <n v="2"/>
    <s v="UPI"/>
    <s v="Karan"/>
    <s v="rohit.singh@company.com"/>
    <s v="9745773533"/>
    <s v="Cancelled"/>
  </r>
  <r>
    <s v="ORD10303"/>
    <s v="C006"/>
    <s v="P101"/>
    <x v="224"/>
    <s v="27/07/2025"/>
    <s v="Amit Sharma"/>
    <s v="Female"/>
    <s v="10/08/1980"/>
    <s v="Delhi"/>
    <x v="0"/>
    <x v="2"/>
    <s v="Laptop"/>
    <n v="4"/>
    <n v="55000"/>
    <n v="20"/>
    <x v="230"/>
    <n v="5"/>
    <s v="Cash"/>
    <s v="Rahul"/>
    <s v="sneha.joshi@company.com"/>
    <s v="9246715757"/>
    <s v="Pending"/>
  </r>
  <r>
    <s v="ORD10304"/>
    <s v="C008"/>
    <s v="P201"/>
    <x v="225"/>
    <s v="26/04/2026"/>
    <s v="Rohit Singh"/>
    <s v="Female"/>
    <s v="07/04/1989"/>
    <s v="Ahmedabad"/>
    <x v="0"/>
    <x v="1"/>
    <s v="Mixer"/>
    <n v="19"/>
    <n v="3500"/>
    <n v="5"/>
    <x v="140"/>
    <n v="1"/>
    <s v="Card"/>
    <s v="Neha"/>
    <s v="KAvya.nair@company.com"/>
    <s v="9904065774"/>
    <s v="Completed"/>
  </r>
  <r>
    <s v="ORD10305"/>
    <s v="C005"/>
    <s v="P103"/>
    <x v="226"/>
    <s v="06/03/2025"/>
    <s v="Sneha Joshi"/>
    <s v="Male"/>
    <s v="20/08/1998"/>
    <s v="Jaipur"/>
    <x v="1"/>
    <x v="1"/>
    <s v="Keyboard"/>
    <n v="17"/>
    <n v="1200"/>
    <n v="15"/>
    <x v="99"/>
    <n v="2"/>
    <s v="NetBanking"/>
    <s v="Rahul"/>
    <s v="vikas.mehta@company.com"/>
    <s v="9652985385"/>
    <s v="Completed"/>
  </r>
  <r>
    <s v="ORD10306"/>
    <s v="C008"/>
    <s v="P202"/>
    <x v="62"/>
    <s v="17/02/2026"/>
    <s v="Kavya Nair"/>
    <s v="Female"/>
    <s v="03/04/2001"/>
    <s v="Hyderabad"/>
    <x v="2"/>
    <x v="0"/>
    <s v="Iron"/>
    <n v="8"/>
    <n v="2200"/>
    <n v="5"/>
    <x v="157"/>
    <n v="3"/>
    <s v="Card"/>
    <s v="Neha"/>
    <s v="KAvya.nair@company.com"/>
    <s v="9427001508"/>
    <s v="Pending"/>
  </r>
  <r>
    <s v="ORD10307"/>
    <s v="C006"/>
    <s v="P102"/>
    <x v="157"/>
    <s v="26/02/2025"/>
    <s v="Vikas Mehta"/>
    <s v="Female"/>
    <s v="05/03/1992"/>
    <s v="Mumbai"/>
    <x v="1"/>
    <x v="1"/>
    <s v="Mouse"/>
    <n v="17"/>
    <n v="700"/>
    <n v="20"/>
    <x v="231"/>
    <n v="4"/>
    <s v="NetBanking"/>
    <s v="Neha"/>
    <s v="sneha.joshi@company.com"/>
    <s v="9666803655"/>
    <s v="Completed"/>
  </r>
  <r>
    <s v="ORD10308"/>
    <s v="C006"/>
    <s v="P203"/>
    <x v="227"/>
    <s v="08/09/2025"/>
    <s v="Kavya Nair"/>
    <s v="Female"/>
    <s v="28/12/1976"/>
    <s v="Pune"/>
    <x v="0"/>
    <x v="0"/>
    <s v="Microwave"/>
    <n v="6"/>
    <n v="8500"/>
    <n v="15"/>
    <x v="197"/>
    <n v="1"/>
    <s v="Cash"/>
    <s v="Aisha"/>
    <s v="sneha.joshi@company.com"/>
    <s v="9134878547"/>
    <s v="Completed"/>
  </r>
  <r>
    <s v="ORD10309"/>
    <s v="C010"/>
    <s v="P201"/>
    <x v="228"/>
    <s v="11/10/2025"/>
    <s v="Sneha Joshi"/>
    <s v="Female"/>
    <s v="04/09/1986"/>
    <s v="Hyderabad"/>
    <x v="2"/>
    <x v="1"/>
    <s v="Mixer"/>
    <n v="3"/>
    <n v="3500"/>
    <n v="10"/>
    <x v="61"/>
    <n v="1"/>
    <s v="NetBanking"/>
    <s v="Rahul"/>
    <s v="pooja.shah@company.com"/>
    <s v="9253593557"/>
    <s v="Completed"/>
  </r>
  <r>
    <s v="ORD10310"/>
    <s v="C009"/>
    <s v="P104"/>
    <x v="220"/>
    <s v="29/01/2025"/>
    <s v="Sneha Joshi"/>
    <s v="Male"/>
    <s v="14/08/1989"/>
    <s v="Ahmedabad"/>
    <x v="2"/>
    <x v="0"/>
    <s v="Monitor"/>
    <n v="2"/>
    <n v="12000"/>
    <n v="20"/>
    <x v="66"/>
    <n v="1"/>
    <s v="Card"/>
    <s v="Aisha"/>
    <s v="mohit.verma@company.com"/>
    <s v="9183094051"/>
    <s v="Completed"/>
  </r>
  <r>
    <s v="ORD10311"/>
    <s v="C005"/>
    <s v="P302"/>
    <x v="43"/>
    <s v="16/10/2025"/>
    <s v="Pooja Shah"/>
    <s v="Male"/>
    <s v="02/03/1991"/>
    <s v="Delhi"/>
    <x v="0"/>
    <x v="0"/>
    <s v="Pen"/>
    <n v="12"/>
    <n v="20"/>
    <n v="20"/>
    <x v="232"/>
    <n v="2"/>
    <s v="Card"/>
    <s v="Rahul"/>
    <s v="vikas.mehta@company.com"/>
    <s v="9293147620"/>
    <s v="Completed"/>
  </r>
  <r>
    <s v="ORD10312"/>
    <s v="C002"/>
    <s v="P104"/>
    <x v="229"/>
    <s v="28/04/2026"/>
    <s v="Mohit Verma"/>
    <s v="Female"/>
    <s v="13/08/1989"/>
    <s v="Kolkata"/>
    <x v="2"/>
    <x v="1"/>
    <s v="Monitor"/>
    <n v="20"/>
    <n v="12000"/>
    <n v="15"/>
    <x v="233"/>
    <n v="3"/>
    <s v="Cash"/>
    <s v="Ritika"/>
    <s v="priYa.patel@company.com"/>
    <s v="9755583734"/>
    <s v="Pending"/>
  </r>
  <r>
    <s v="ORD10313"/>
    <s v="C010"/>
    <s v="P301"/>
    <x v="53"/>
    <s v="04/04/2026"/>
    <s v="Vikas Mehta"/>
    <s v="Female"/>
    <s v="02/02/2003"/>
    <s v="Jaipur"/>
    <x v="1"/>
    <x v="2"/>
    <s v="Notebook"/>
    <n v="13"/>
    <n v="60"/>
    <n v="10"/>
    <x v="234"/>
    <n v="5"/>
    <s v="Cash"/>
    <s v="Ritika"/>
    <s v="pooja.shah@company.com"/>
    <s v="9186592813"/>
    <s v="Pending"/>
  </r>
  <r>
    <s v="ORD10314"/>
    <s v="C009"/>
    <s v="P101"/>
    <x v="230"/>
    <s v="19/05/2025"/>
    <s v="Priya Patel"/>
    <s v="Male"/>
    <s v="16/11/1995"/>
    <s v="Pune"/>
    <x v="3"/>
    <x v="1"/>
    <s v="Laptop"/>
    <n v="13"/>
    <n v="55000"/>
    <n v="5"/>
    <x v="177"/>
    <n v="1"/>
    <s v="UPI"/>
    <s v="Karan"/>
    <s v="mohit.verma@company.com"/>
    <s v="9203482008"/>
    <s v="Pending"/>
  </r>
  <r>
    <s v="ORD10315"/>
    <s v="C002"/>
    <s v="P103"/>
    <x v="127"/>
    <s v="10/03/2026"/>
    <s v="Pooja Shah"/>
    <s v="Female"/>
    <s v="24/11/1989"/>
    <s v="Bengaluru"/>
    <x v="1"/>
    <x v="2"/>
    <s v="Keyboard"/>
    <n v="7"/>
    <n v="1200"/>
    <n v="15"/>
    <x v="73"/>
    <n v="5"/>
    <s v="UPI"/>
    <s v="Rahul"/>
    <s v="priYa.patel@company.com"/>
    <s v="9829888777"/>
    <s v="Pending"/>
  </r>
  <r>
    <s v="ORD10316"/>
    <s v="C007"/>
    <s v="P104"/>
    <x v="231"/>
    <s v="30/12/2025"/>
    <s v="Mohit Verma"/>
    <s v="Male"/>
    <s v="20/04/1988"/>
    <s v="Jaipur"/>
    <x v="2"/>
    <x v="1"/>
    <s v="Monitor"/>
    <n v="17"/>
    <n v="12000"/>
    <n v="5"/>
    <x v="235"/>
    <n v="1"/>
    <s v="Cash"/>
    <s v="Aisha"/>
    <s v="arjun.rao@company.com"/>
    <s v="9566101317"/>
    <s v="Cancelled"/>
  </r>
  <r>
    <s v="ORD10317"/>
    <s v="C007"/>
    <s v="P302"/>
    <x v="46"/>
    <s v="25/04/2026"/>
    <s v="Priya Patel"/>
    <s v="Male"/>
    <s v="02/11/1978"/>
    <s v="Bengaluru"/>
    <x v="0"/>
    <x v="1"/>
    <s v="Pen"/>
    <n v="10"/>
    <n v="20"/>
    <n v="5"/>
    <x v="224"/>
    <n v="2"/>
    <s v="Cash"/>
    <s v="Aisha"/>
    <s v="arjun.rao@company.com"/>
    <s v="9706240823"/>
    <s v="Cancelled"/>
  </r>
  <r>
    <s v="ORD10318"/>
    <s v="C004"/>
    <s v="P202"/>
    <x v="34"/>
    <s v="08/11/2025"/>
    <s v="Arjun Rao"/>
    <s v="Female"/>
    <s v="13/12/1989"/>
    <s v="Delhi"/>
    <x v="1"/>
    <x v="1"/>
    <s v="Iron"/>
    <n v="11"/>
    <n v="2200"/>
    <n v="5"/>
    <x v="236"/>
    <n v="5"/>
    <s v="Card"/>
    <s v="Rahul"/>
    <s v="anita.gupta@company.com"/>
    <s v="9259943760"/>
    <s v="Pending"/>
  </r>
  <r>
    <s v="ORD10319"/>
    <s v="C002"/>
    <s v="P301"/>
    <x v="232"/>
    <s v="28/02/2026"/>
    <s v="Arjun Rao"/>
    <s v="Female"/>
    <s v="08/01/1995"/>
    <s v="Jaipur"/>
    <x v="0"/>
    <x v="2"/>
    <s v="Notebook"/>
    <n v="8"/>
    <n v="60"/>
    <n v="15"/>
    <x v="39"/>
    <n v="4"/>
    <s v="Cash"/>
    <s v="Rahul"/>
    <s v="priYa.patel@company.com"/>
    <s v="9527326977"/>
    <s v="Pending"/>
  </r>
  <r>
    <s v="ORD10320"/>
    <s v="C005"/>
    <s v="P303"/>
    <x v="194"/>
    <s v="25/03/2025"/>
    <s v="Anita Gupta"/>
    <s v="Male"/>
    <s v="23/10/1994"/>
    <s v="Delhi"/>
    <x v="1"/>
    <x v="0"/>
    <s v="Marker"/>
    <n v="17"/>
    <n v="45"/>
    <n v="15"/>
    <x v="145"/>
    <n v="2"/>
    <s v="UPI"/>
    <s v="Karan"/>
    <s v="vikas.mehta@company.com"/>
    <s v="9886970990"/>
    <s v="Completed"/>
  </r>
  <r>
    <s v="ORD10321"/>
    <s v="C001"/>
    <s v="P102"/>
    <x v="233"/>
    <s v="10/03/2025"/>
    <s v="Priya Patel"/>
    <s v="Male"/>
    <s v="21/05/1996"/>
    <s v="Jaipur"/>
    <x v="1"/>
    <x v="2"/>
    <s v="Mouse"/>
    <n v="14"/>
    <n v="700"/>
    <n v="15"/>
    <x v="222"/>
    <n v="1"/>
    <s v="Card"/>
    <s v="Neha"/>
    <s v="amit.sharma@company.com"/>
    <s v="9106930369"/>
    <s v="Completed"/>
  </r>
  <r>
    <s v="ORD10322"/>
    <s v="C007"/>
    <s v="P103"/>
    <x v="234"/>
    <s v="14/06/2025"/>
    <s v="Vikas Mehta"/>
    <s v="Male"/>
    <s v="26/05/1982"/>
    <s v="Pune"/>
    <x v="1"/>
    <x v="2"/>
    <s v="Keyboard"/>
    <n v="3"/>
    <n v="1200"/>
    <n v="5"/>
    <x v="14"/>
    <n v="3"/>
    <s v="NetBanking"/>
    <s v="Karan"/>
    <s v="arjun.rao@company.com"/>
    <s v="9342009114"/>
    <s v="Completed"/>
  </r>
  <r>
    <s v="ORD10323"/>
    <s v="C008"/>
    <s v="P103"/>
    <x v="129"/>
    <s v="16/07/2025"/>
    <s v="Amit Sharma"/>
    <s v="Female"/>
    <s v="22/11/2001"/>
    <s v="Ahmedabad"/>
    <x v="1"/>
    <x v="1"/>
    <s v="Keyboard"/>
    <n v="9"/>
    <n v="1200"/>
    <n v="15"/>
    <x v="237"/>
    <n v="3"/>
    <s v="Cash"/>
    <s v="Rahul"/>
    <s v="KAvya.nair@company.com"/>
    <s v="9992739960"/>
    <s v="Completed"/>
  </r>
  <r>
    <s v="ORD10324"/>
    <s v="C006"/>
    <s v="P302"/>
    <x v="113"/>
    <s v="21/04/2026"/>
    <s v="Arjun Rao"/>
    <s v="Female"/>
    <s v="26/02/1989"/>
    <s v="Mumbai"/>
    <x v="2"/>
    <x v="1"/>
    <s v="Pen"/>
    <n v="5"/>
    <n v="20"/>
    <n v="5"/>
    <x v="213"/>
    <n v="4"/>
    <s v="Cash"/>
    <s v="Karan"/>
    <s v="sneha.joshi@company.com"/>
    <s v="9241987748"/>
    <s v="Completed"/>
  </r>
  <r>
    <s v="ORD10325"/>
    <s v="C006"/>
    <s v="P202"/>
    <x v="235"/>
    <s v="21/12/2025"/>
    <s v="Kavya Nair"/>
    <s v="Female"/>
    <s v="18/08/1985"/>
    <s v="Ahmedabad"/>
    <x v="2"/>
    <x v="1"/>
    <s v="Iron"/>
    <n v="8"/>
    <n v="2200"/>
    <n v="10"/>
    <x v="238"/>
    <n v="4"/>
    <s v="UPI"/>
    <s v="Aisha"/>
    <s v="sneha.joshi@company.com"/>
    <s v="9571990711"/>
    <s v="Cancelled"/>
  </r>
  <r>
    <s v="ORD10326"/>
    <s v="C006"/>
    <s v="P102"/>
    <x v="35"/>
    <s v="12/03/2026"/>
    <s v="Sneha Joshi"/>
    <s v="Female"/>
    <s v="03/01/1980"/>
    <s v="Mumbai"/>
    <x v="2"/>
    <x v="2"/>
    <s v="Mouse"/>
    <n v="10"/>
    <n v="700"/>
    <n v="20"/>
    <x v="19"/>
    <n v="1"/>
    <s v="UPI"/>
    <s v="Neha"/>
    <s v="sneha.joshi@company.com"/>
    <s v="9219231183"/>
    <s v="Completed"/>
  </r>
  <r>
    <s v="ORD10327"/>
    <s v="C007"/>
    <s v="P102"/>
    <x v="236"/>
    <s v="28/11/2025"/>
    <s v="Sneha Joshi"/>
    <s v="Male"/>
    <s v="08/01/1978"/>
    <s v="Bengaluru"/>
    <x v="2"/>
    <x v="0"/>
    <s v="Mouse"/>
    <n v="2"/>
    <n v="700"/>
    <n v="20"/>
    <x v="239"/>
    <n v="2"/>
    <s v="Cash"/>
    <s v="Neha"/>
    <s v="arjun.rao@company.com"/>
    <s v="9847386174"/>
    <s v="Pending"/>
  </r>
  <r>
    <s v="ORD10328"/>
    <s v="C005"/>
    <s v="P201"/>
    <x v="138"/>
    <s v="28/06/2025"/>
    <s v="Sneha Joshi"/>
    <s v="Male"/>
    <s v="05/08/1992"/>
    <s v="Pune"/>
    <x v="2"/>
    <x v="1"/>
    <s v="Mixer"/>
    <n v="16"/>
    <n v="3500"/>
    <n v="20"/>
    <x v="240"/>
    <n v="2"/>
    <s v="UPI"/>
    <s v="Ritika"/>
    <s v="vikas.mehta@company.com"/>
    <s v="9941274924"/>
    <s v="Pending"/>
  </r>
  <r>
    <s v="ORD10329"/>
    <s v="C004"/>
    <s v="P201"/>
    <x v="134"/>
    <s v="01/08/2025"/>
    <s v="Arjun Rao"/>
    <s v="Female"/>
    <s v="28/12/2004"/>
    <s v="Delhi"/>
    <x v="0"/>
    <x v="1"/>
    <s v="Mixer"/>
    <n v="9"/>
    <n v="3500"/>
    <n v="20"/>
    <x v="134"/>
    <n v="1"/>
    <s v="Card"/>
    <s v="Rahul"/>
    <s v="anita.gupta@company.com"/>
    <s v="9950650508"/>
    <s v="Cancelled"/>
  </r>
  <r>
    <s v="ORD10330"/>
    <s v="C003"/>
    <s v="P102"/>
    <x v="237"/>
    <s v="30/10/2025"/>
    <s v="Vikas Mehta"/>
    <s v="Male"/>
    <s v="07/01/2003"/>
    <s v="Hyderabad"/>
    <x v="2"/>
    <x v="0"/>
    <s v="Mouse"/>
    <n v="15"/>
    <n v="700"/>
    <n v="5"/>
    <x v="119"/>
    <n v="1"/>
    <s v="Cash"/>
    <s v="Rahul"/>
    <s v="rohit.singh@company.com"/>
    <s v="9464035549"/>
    <s v="Cancelled"/>
  </r>
  <r>
    <s v="ORD10331"/>
    <s v="C010"/>
    <s v="P103"/>
    <x v="238"/>
    <s v="10/03/2026"/>
    <s v="Anita Gupta"/>
    <s v="Female"/>
    <s v="09/03/1993"/>
    <s v="Ahmedabad"/>
    <x v="1"/>
    <x v="0"/>
    <s v="Keyboard"/>
    <n v="13"/>
    <n v="1200"/>
    <n v="0"/>
    <x v="241"/>
    <n v="3"/>
    <s v="NetBanking"/>
    <s v="Neha"/>
    <s v="pooja.shah@company.com"/>
    <s v="9142334315"/>
    <s v="Cancelled"/>
  </r>
  <r>
    <s v="ORD10332"/>
    <s v="C001"/>
    <s v="P104"/>
    <x v="239"/>
    <s v="07/09/2025"/>
    <s v="Rohit Singh"/>
    <s v="Male"/>
    <s v="03/06/1993"/>
    <s v="Delhi"/>
    <x v="0"/>
    <x v="1"/>
    <s v="Monitor"/>
    <n v="5"/>
    <n v="12000"/>
    <n v="10"/>
    <x v="242"/>
    <n v="3"/>
    <s v="UPI"/>
    <s v="Rahul"/>
    <s v="amit.sharma@company.com"/>
    <s v="9123961962"/>
    <s v="Completed"/>
  </r>
  <r>
    <s v="ORD10333"/>
    <s v="C010"/>
    <s v="P303"/>
    <x v="240"/>
    <s v="08/04/2025"/>
    <s v="Pooja Shah"/>
    <s v="Female"/>
    <s v="10/12/1999"/>
    <s v="Bengaluru"/>
    <x v="2"/>
    <x v="1"/>
    <s v="Marker"/>
    <n v="12"/>
    <n v="45"/>
    <n v="20"/>
    <x v="50"/>
    <n v="3"/>
    <s v="NetBanking"/>
    <s v="Aisha"/>
    <s v="pooja.shah@company.com"/>
    <s v="9741953402"/>
    <s v="Completed"/>
  </r>
  <r>
    <s v="ORD10334"/>
    <s v="C008"/>
    <s v="P201"/>
    <x v="102"/>
    <s v="14/04/2025"/>
    <s v="Amit Sharma"/>
    <s v="Female"/>
    <s v="06/06/1976"/>
    <s v="Bengaluru"/>
    <x v="1"/>
    <x v="1"/>
    <s v="Mixer"/>
    <n v="2"/>
    <n v="3500"/>
    <n v="0"/>
    <x v="243"/>
    <n v="1"/>
    <s v="NetBanking"/>
    <s v="Neha"/>
    <s v="KAvya.nair@company.com"/>
    <s v="9404733633"/>
    <s v="Pending"/>
  </r>
  <r>
    <s v="ORD10335"/>
    <s v="C008"/>
    <s v="P202"/>
    <x v="57"/>
    <s v="16/05/2026"/>
    <s v="Pooja Shah"/>
    <s v="Female"/>
    <s v="27/10/1984"/>
    <s v="Pune"/>
    <x v="0"/>
    <x v="2"/>
    <s v="Iron"/>
    <n v="15"/>
    <n v="2200"/>
    <n v="15"/>
    <x v="244"/>
    <n v="2"/>
    <s v="NetBanking"/>
    <s v="Rahul"/>
    <s v="KAvya.nair@company.com"/>
    <s v="9297492337"/>
    <s v="Pending"/>
  </r>
  <r>
    <s v="ORD10336"/>
    <s v="C002"/>
    <s v="P302"/>
    <x v="241"/>
    <s v="12/12/2025"/>
    <s v="Kavya Nair"/>
    <s v="Female"/>
    <s v="28/02/1975"/>
    <s v="Ahmedabad"/>
    <x v="0"/>
    <x v="0"/>
    <s v="Pen"/>
    <n v="8"/>
    <n v="20"/>
    <n v="20"/>
    <x v="245"/>
    <n v="5"/>
    <s v="UPI"/>
    <s v="Rahul"/>
    <s v="priYa.patel@company.com"/>
    <s v="9350338928"/>
    <s v="Completed"/>
  </r>
  <r>
    <s v="ORD10337"/>
    <s v="C003"/>
    <s v="P302"/>
    <x v="35"/>
    <s v="10/03/2026"/>
    <s v="Kavya Nair"/>
    <s v="Male"/>
    <s v="19/10/1993"/>
    <s v="Hyderabad"/>
    <x v="2"/>
    <x v="0"/>
    <s v="Pen"/>
    <n v="1"/>
    <n v="20"/>
    <n v="0"/>
    <x v="246"/>
    <n v="3"/>
    <s v="UPI"/>
    <s v="Ritika"/>
    <s v="rohit.singh@company.com"/>
    <s v="9933894798"/>
    <s v="Completed"/>
  </r>
  <r>
    <s v="ORD10338"/>
    <s v="C008"/>
    <s v="P102"/>
    <x v="242"/>
    <s v="16/01/2026"/>
    <s v="Priya Patel"/>
    <s v="Female"/>
    <s v="25/10/1983"/>
    <s v="Jaipur"/>
    <x v="2"/>
    <x v="2"/>
    <s v="Mouse"/>
    <n v="15"/>
    <n v="700"/>
    <n v="0"/>
    <x v="247"/>
    <n v="2"/>
    <s v="UPI"/>
    <s v="Rahul"/>
    <s v="KAvya.nair@company.com"/>
    <s v="9705218824"/>
    <s v="Completed"/>
  </r>
  <r>
    <s v="ORD10339"/>
    <s v="C001"/>
    <s v="P201"/>
    <x v="148"/>
    <s v="10/02/2025"/>
    <s v="Rohit Singh"/>
    <s v="Male"/>
    <s v="08/01/1983"/>
    <s v="Hyderabad"/>
    <x v="0"/>
    <x v="2"/>
    <s v="Mixer"/>
    <n v="15"/>
    <n v="3500"/>
    <n v="10"/>
    <x v="112"/>
    <n v="3"/>
    <s v="Cash"/>
    <s v="Karan"/>
    <s v="amit.sharma@company.com"/>
    <s v="9229164453"/>
    <s v="Pending"/>
  </r>
  <r>
    <s v="ORD10340"/>
    <s v="C008"/>
    <s v="P301"/>
    <x v="243"/>
    <s v="07/08/2025"/>
    <s v="Kavya Nair"/>
    <s v="Female"/>
    <s v="14/12/1983"/>
    <s v="Kolkata"/>
    <x v="1"/>
    <x v="1"/>
    <s v="Notebook"/>
    <n v="16"/>
    <n v="60"/>
    <n v="10"/>
    <x v="248"/>
    <n v="4"/>
    <s v="Card"/>
    <s v="Aisha"/>
    <s v="KAvya.nair@company.com"/>
    <s v="9219806176"/>
    <s v="Completed"/>
  </r>
  <r>
    <s v="ORD10341"/>
    <s v="C003"/>
    <s v="P303"/>
    <x v="244"/>
    <s v="21/10/2025"/>
    <s v="Amit Sharma"/>
    <s v="Male"/>
    <s v="26/09/1983"/>
    <s v="Delhi"/>
    <x v="0"/>
    <x v="0"/>
    <s v="Marker"/>
    <n v="2"/>
    <n v="45"/>
    <n v="15"/>
    <x v="162"/>
    <n v="1"/>
    <s v="UPI"/>
    <s v="Karan"/>
    <s v="rohit.singh@company.com"/>
    <s v="9630210250"/>
    <s v="Cancelled"/>
  </r>
  <r>
    <s v="ORD10342"/>
    <s v="C004"/>
    <s v="P301"/>
    <x v="245"/>
    <s v="15/12/2025"/>
    <s v="Kavya Nair"/>
    <s v="Female"/>
    <s v="23/05/1975"/>
    <s v="Delhi"/>
    <x v="3"/>
    <x v="2"/>
    <s v="Notebook"/>
    <n v="13"/>
    <n v="60"/>
    <n v="15"/>
    <x v="249"/>
    <n v="2"/>
    <s v="NetBanking"/>
    <s v="Aisha"/>
    <s v="anita.gupta@company.com"/>
    <s v="9583354052"/>
    <s v="Cancelled"/>
  </r>
  <r>
    <s v="ORD10343"/>
    <s v="C007"/>
    <s v="P104"/>
    <x v="182"/>
    <s v="22/05/2025"/>
    <s v="Rohit Singh"/>
    <s v="Male"/>
    <s v="09/11/1994"/>
    <s v="Delhi"/>
    <x v="1"/>
    <x v="2"/>
    <s v="Monitor"/>
    <n v="15"/>
    <n v="12000"/>
    <n v="20"/>
    <x v="250"/>
    <n v="3"/>
    <s v="Card"/>
    <s v="Ritika"/>
    <s v="arjun.rao@company.com"/>
    <s v="9242534507"/>
    <s v="Cancelled"/>
  </r>
  <r>
    <s v="ORD10344"/>
    <s v="C001"/>
    <s v="P302"/>
    <x v="119"/>
    <s v="02/08/2025"/>
    <s v="Anita Gupta"/>
    <s v="Male"/>
    <s v="17/12/1987"/>
    <s v="Delhi"/>
    <x v="1"/>
    <x v="2"/>
    <s v="Pen"/>
    <n v="2"/>
    <n v="20"/>
    <n v="20"/>
    <x v="251"/>
    <n v="4"/>
    <s v="Cash"/>
    <s v="Ritika"/>
    <s v="amit.sharma@company.com"/>
    <s v="9291239150"/>
    <s v="Pending"/>
  </r>
  <r>
    <s v="ORD10345"/>
    <s v="C003"/>
    <s v="P201"/>
    <x v="246"/>
    <s v="17/08/2025"/>
    <s v="Arjun Rao"/>
    <s v="Male"/>
    <s v="19/06/1975"/>
    <s v="Bengaluru"/>
    <x v="1"/>
    <x v="1"/>
    <s v="Mixer"/>
    <n v="16"/>
    <n v="3500"/>
    <n v="0"/>
    <x v="81"/>
    <n v="4"/>
    <s v="Cash"/>
    <s v="Neha"/>
    <s v="rohit.singh@company.com"/>
    <s v="9550820904"/>
    <s v="Completed"/>
  </r>
  <r>
    <s v="ORD10346"/>
    <s v="C010"/>
    <s v="P201"/>
    <x v="207"/>
    <s v="25/02/2026"/>
    <s v="Amit Sharma"/>
    <s v="Female"/>
    <s v="09/01/1977"/>
    <s v="Ahmedabad"/>
    <x v="1"/>
    <x v="2"/>
    <s v="Mixer"/>
    <n v="18"/>
    <n v="3500"/>
    <n v="15"/>
    <x v="252"/>
    <n v="5"/>
    <s v="Cash"/>
    <s v="Karan"/>
    <s v="pooja.shah@company.com"/>
    <s v="9294486423"/>
    <s v="Cancelled"/>
  </r>
  <r>
    <s v="ORD10347"/>
    <s v="C008"/>
    <s v="P303"/>
    <x v="247"/>
    <s v="26/03/2026"/>
    <s v="Rohit Singh"/>
    <s v="Female"/>
    <s v="20/09/1993"/>
    <s v="Ahmedabad"/>
    <x v="0"/>
    <x v="0"/>
    <s v="Marker"/>
    <n v="20"/>
    <n v="45"/>
    <n v="15"/>
    <x v="253"/>
    <n v="4"/>
    <s v="Cash"/>
    <s v="Karan"/>
    <s v="KAvya.nair@company.com"/>
    <s v="9260258621"/>
    <s v="Cancelled"/>
  </r>
  <r>
    <s v="ORD10348"/>
    <s v="C006"/>
    <s v="P202"/>
    <x v="248"/>
    <s v="19/04/2026"/>
    <s v="Pooja Shah"/>
    <s v="Female"/>
    <s v="05/03/1997"/>
    <s v="Delhi"/>
    <x v="2"/>
    <x v="0"/>
    <s v="Iron"/>
    <n v="13"/>
    <n v="2200"/>
    <n v="15"/>
    <x v="254"/>
    <n v="2"/>
    <s v="NetBanking"/>
    <s v="Neha"/>
    <s v="sneha.joshi@company.com"/>
    <s v="9697433584"/>
    <s v="Pending"/>
  </r>
  <r>
    <s v="ORD10349"/>
    <s v="C010"/>
    <s v="P999"/>
    <x v="43"/>
    <s v="14/10/2025"/>
    <s v="Kavya Nair"/>
    <s v="Female"/>
    <s v="10/07/2002"/>
    <s v="Kolkata"/>
    <x v="2"/>
    <x v="2"/>
    <s v="Microwave"/>
    <n v="11"/>
    <n v="8500"/>
    <n v="5"/>
    <x v="255"/>
    <n v="1"/>
    <s v="UPI"/>
    <s v="Neha"/>
    <s v="pooja.shah@company.com"/>
    <s v="9837969758"/>
    <s v="Cancelled"/>
  </r>
  <r>
    <s v="ORD10350"/>
    <s v="C010"/>
    <s v="P202"/>
    <x v="249"/>
    <s v="10/12/2025"/>
    <s v="Sneha Joshi"/>
    <s v="Female"/>
    <s v="18/04/1984"/>
    <s v="Jaipur"/>
    <x v="1"/>
    <x v="0"/>
    <s v="Iron"/>
    <n v="2"/>
    <n v="2200"/>
    <n v="0"/>
    <x v="256"/>
    <n v="4"/>
    <s v="UPI"/>
    <s v="Karan"/>
    <s v="pooja.shah@company.com"/>
    <s v="9209736419"/>
    <s v="Pending"/>
  </r>
  <r>
    <s v="ORD10351"/>
    <s v="C007"/>
    <s v="P102"/>
    <x v="250"/>
    <s v="04/08/2025"/>
    <s v="Pooja Shah"/>
    <s v="Male"/>
    <s v="01/07/2003"/>
    <s v="Mumbai"/>
    <x v="3"/>
    <x v="0"/>
    <s v="Mouse"/>
    <n v="15"/>
    <n v="700"/>
    <n v="15"/>
    <x v="45"/>
    <n v="3"/>
    <s v="NetBanking"/>
    <s v="Neha"/>
    <s v="arjun.rao@company.com"/>
    <s v="9645907237"/>
    <s v="Completed"/>
  </r>
  <r>
    <s v="ORD10352"/>
    <s v="C003"/>
    <s v="P202"/>
    <x v="251"/>
    <s v="24/07/2025"/>
    <s v="Pooja Shah"/>
    <s v="Male"/>
    <s v="25/10/1992"/>
    <s v="Ahmedabad"/>
    <x v="1"/>
    <x v="0"/>
    <s v="Iron"/>
    <n v="5"/>
    <n v="2200"/>
    <n v="15"/>
    <x v="257"/>
    <n v="1"/>
    <s v="NetBanking"/>
    <s v="Neha"/>
    <s v="rohit.singh@company.com"/>
    <s v="9566149945"/>
    <s v="Pending"/>
  </r>
  <r>
    <s v="ORD10353"/>
    <s v="C007"/>
    <s v="P103"/>
    <x v="83"/>
    <s v="12/03/2026"/>
    <s v="Arjun Rao"/>
    <s v="Male"/>
    <s v="05/08/1988"/>
    <s v="Ahmedabad"/>
    <x v="2"/>
    <x v="1"/>
    <s v="Keyboard"/>
    <n v="15"/>
    <n v="1200"/>
    <n v="0"/>
    <x v="258"/>
    <n v="3"/>
    <s v="NetBanking"/>
    <s v="Aisha"/>
    <s v="arjun.rao@company.com"/>
    <s v="9935018068"/>
    <s v="Cancelled"/>
  </r>
  <r>
    <s v="ORD10354"/>
    <s v="C006"/>
    <s v="P103"/>
    <x v="14"/>
    <s v="10/04/2026"/>
    <s v="Rohit Singh"/>
    <s v="Female"/>
    <s v="24/06/1987"/>
    <s v="Mumbai"/>
    <x v="2"/>
    <x v="0"/>
    <s v="Keyboard"/>
    <n v="19"/>
    <n v="1200"/>
    <n v="0"/>
    <x v="259"/>
    <n v="1"/>
    <s v="Cash"/>
    <s v="Rahul"/>
    <s v="sneha.joshi@company.com"/>
    <s v="9171794652"/>
    <s v="Cancelled"/>
  </r>
  <r>
    <s v="ORD10355"/>
    <s v="C004"/>
    <s v="P104"/>
    <x v="0"/>
    <s v="25/09/2025"/>
    <s v="Arjun Rao"/>
    <s v="Female"/>
    <s v="19/10/1989"/>
    <s v="Mumbai"/>
    <x v="2"/>
    <x v="1"/>
    <s v="Monitor"/>
    <n v="9"/>
    <n v="12000"/>
    <n v="15"/>
    <x v="260"/>
    <n v="3"/>
    <s v="UPI"/>
    <s v="Rahul"/>
    <s v="anita.gupta@company.com"/>
    <s v="9671497416"/>
    <s v="Cancelled"/>
  </r>
  <r>
    <s v="ORD10356"/>
    <s v="C008"/>
    <s v="P303"/>
    <x v="44"/>
    <s v="21/10/2025"/>
    <s v="Sneha Joshi"/>
    <s v="Female"/>
    <s v="22/05/1992"/>
    <s v="Jaipur"/>
    <x v="2"/>
    <x v="1"/>
    <s v="Marker"/>
    <n v="5"/>
    <n v="45"/>
    <n v="5"/>
    <x v="261"/>
    <n v="1"/>
    <s v="Card"/>
    <s v="Neha"/>
    <s v="KAvya.nair@company.com"/>
    <s v="9810433484"/>
    <s v="Completed"/>
  </r>
  <r>
    <s v="ORD10357"/>
    <s v="C006"/>
    <s v="P102"/>
    <x v="252"/>
    <s v="11/02/2025"/>
    <s v="Anita Gupta"/>
    <s v="Female"/>
    <s v="10/11/1989"/>
    <s v="Mumbai"/>
    <x v="2"/>
    <x v="1"/>
    <s v="Mouse"/>
    <n v="3"/>
    <n v="700"/>
    <n v="15"/>
    <x v="262"/>
    <n v="4"/>
    <s v="Cash"/>
    <s v="Karan"/>
    <s v="sneha.joshi@company.com"/>
    <s v="9990243436"/>
    <s v="Completed"/>
  </r>
  <r>
    <s v="ORD10358"/>
    <s v="C009"/>
    <s v="P203"/>
    <x v="63"/>
    <s v="26/12/2025"/>
    <s v="Kavya Nair"/>
    <s v="Male"/>
    <s v="03/09/1980"/>
    <s v="Jaipur"/>
    <x v="1"/>
    <x v="2"/>
    <s v="Microwave"/>
    <n v="12"/>
    <n v="8500"/>
    <n v="5"/>
    <x v="263"/>
    <n v="3"/>
    <s v="Card"/>
    <s v="Aisha"/>
    <s v="mohit.verma@company.com"/>
    <s v="9396678031"/>
    <s v="Pending"/>
  </r>
  <r>
    <s v="ORD10359"/>
    <s v="C006"/>
    <s v="P203"/>
    <x v="253"/>
    <s v="19/04/2026"/>
    <s v="Sneha Joshi"/>
    <s v="Female"/>
    <s v="06/03/1979"/>
    <s v="Pune"/>
    <x v="2"/>
    <x v="1"/>
    <s v="Microwave"/>
    <n v="4"/>
    <n v="8500"/>
    <n v="15"/>
    <x v="264"/>
    <n v="4"/>
    <s v="NetBanking"/>
    <s v="Aisha"/>
    <s v="sneha.joshi@company.com"/>
    <s v="9818591245"/>
    <s v="Pending"/>
  </r>
  <r>
    <s v="ORD10360"/>
    <s v="C003"/>
    <s v="P302"/>
    <x v="21"/>
    <s v="22/04/2025"/>
    <s v="Mohit Verma"/>
    <s v="Male"/>
    <s v="04/09/1996"/>
    <s v="Jaipur"/>
    <x v="1"/>
    <x v="0"/>
    <s v="Pen"/>
    <n v="16"/>
    <n v="20"/>
    <n v="10"/>
    <x v="265"/>
    <n v="4"/>
    <s v="Cash"/>
    <s v="Neha"/>
    <s v="rohit.singh@company.com"/>
    <s v="9505550047"/>
    <s v="Cancelled"/>
  </r>
  <r>
    <s v="ORD10361"/>
    <s v="C003"/>
    <s v="P301"/>
    <x v="254"/>
    <s v="18/05/2026"/>
    <s v="Sneha Joshi"/>
    <s v="Male"/>
    <s v="14/03/1999"/>
    <s v="Mumbai"/>
    <x v="2"/>
    <x v="0"/>
    <s v="Notebook"/>
    <n v="3"/>
    <n v="60"/>
    <n v="20"/>
    <x v="266"/>
    <n v="4"/>
    <s v="UPI"/>
    <s v="Karan"/>
    <s v="rohit.singh@company.com"/>
    <s v="9469828772"/>
    <s v="Pending"/>
  </r>
  <r>
    <s v="ORD10362"/>
    <s v="C009"/>
    <s v="P202"/>
    <x v="178"/>
    <s v="26/07/2025"/>
    <s v="Rohit Singh"/>
    <s v="Male"/>
    <s v="03/10/1984"/>
    <s v="Mumbai"/>
    <x v="1"/>
    <x v="2"/>
    <s v="Iron"/>
    <n v="19"/>
    <n v="2200"/>
    <n v="10"/>
    <x v="267"/>
    <n v="2"/>
    <s v="Cash"/>
    <s v="Karan"/>
    <s v="mohit.verma@company.com"/>
    <s v="9885092680"/>
    <s v="Pending"/>
  </r>
  <r>
    <s v="ORD10363"/>
    <s v="C009"/>
    <s v="P103"/>
    <x v="255"/>
    <s v="27/01/2026"/>
    <s v="Rohit Singh"/>
    <s v="Male"/>
    <s v="09/07/1984"/>
    <s v="Hyderabad"/>
    <x v="2"/>
    <x v="2"/>
    <s v="Keyboard"/>
    <n v="7"/>
    <n v="1200"/>
    <n v="20"/>
    <x v="268"/>
    <n v="3"/>
    <s v="Card"/>
    <s v="Neha"/>
    <s v="mohit.verma@company.com"/>
    <s v="9362319457"/>
    <s v="Cancelled"/>
  </r>
  <r>
    <s v="ORD10364"/>
    <s v="C010"/>
    <s v="P302"/>
    <x v="81"/>
    <s v="21/03/2026"/>
    <s v="Mohit Verma"/>
    <s v="Female"/>
    <s v="10/03/1989"/>
    <s v="Bengaluru"/>
    <x v="2"/>
    <x v="0"/>
    <s v="Pen"/>
    <n v="20"/>
    <n v="20"/>
    <n v="20"/>
    <x v="59"/>
    <n v="5"/>
    <s v="Card"/>
    <s v="Neha"/>
    <s v="pooja.shah@company.com"/>
    <s v="9223945130"/>
    <s v="Pending"/>
  </r>
  <r>
    <s v="ORD10365"/>
    <s v="C002"/>
    <s v="P103"/>
    <x v="256"/>
    <s v="07/05/2025"/>
    <s v="Mohit Verma"/>
    <s v="Female"/>
    <s v="19/04/1985"/>
    <s v="Hyderabad"/>
    <x v="0"/>
    <x v="1"/>
    <s v="Keyboard"/>
    <n v="19"/>
    <n v="1200"/>
    <n v="5"/>
    <x v="269"/>
    <n v="3"/>
    <s v="Card"/>
    <s v="Ritika"/>
    <s v="priYa.patel@company.com"/>
    <s v="9910804926"/>
    <s v="Pending"/>
  </r>
  <r>
    <s v="ORD10366"/>
    <s v="C010"/>
    <s v="P302"/>
    <x v="257"/>
    <s v="13/02/2025"/>
    <s v="Pooja Shah"/>
    <s v="Female"/>
    <s v="13/08/2003"/>
    <s v="Hyderabad"/>
    <x v="0"/>
    <x v="2"/>
    <s v="Pen"/>
    <n v="5"/>
    <n v="20"/>
    <n v="0"/>
    <x v="37"/>
    <n v="2"/>
    <s v="UPI"/>
    <s v="Rahul"/>
    <s v="pooja.shah@company.com"/>
    <s v="9274269744"/>
    <s v="Pending"/>
  </r>
  <r>
    <s v="ORD10367"/>
    <s v="C002"/>
    <s v="P303"/>
    <x v="127"/>
    <s v="16/03/2026"/>
    <s v="Priya Patel"/>
    <s v="Female"/>
    <s v="11/09/1983"/>
    <s v="Jaipur"/>
    <x v="0"/>
    <x v="1"/>
    <s v="Marker"/>
    <n v="16"/>
    <n v="45"/>
    <n v="15"/>
    <x v="189"/>
    <n v="5"/>
    <s v="Cash"/>
    <s v="Aisha"/>
    <s v="priYa.patel@company.com"/>
    <s v="9223196101"/>
    <s v="Cancelled"/>
  </r>
  <r>
    <s v="ORD10368"/>
    <s v="C008"/>
    <s v="P202"/>
    <x v="200"/>
    <s v="15/05/2025"/>
    <s v="Pooja Shah"/>
    <s v="Female"/>
    <s v="11/06/1976"/>
    <s v="Jaipur"/>
    <x v="0"/>
    <x v="2"/>
    <s v="Iron"/>
    <n v="1"/>
    <n v="2200"/>
    <n v="10"/>
    <x v="270"/>
    <n v="5"/>
    <s v="Card"/>
    <s v="Rahul"/>
    <s v="KAvya.nair@company.com"/>
    <s v="9888477457"/>
    <s v="Completed"/>
  </r>
  <r>
    <s v="ORD10369"/>
    <s v="C010"/>
    <s v="P301"/>
    <x v="141"/>
    <s v="05/04/2026"/>
    <s v="Priya Patel"/>
    <s v="Female"/>
    <s v="04/01/1987"/>
    <s v="Hyderabad"/>
    <x v="1"/>
    <x v="2"/>
    <s v="Notebook"/>
    <n v="19"/>
    <n v="60"/>
    <n v="15"/>
    <x v="53"/>
    <n v="4"/>
    <s v="NetBanking"/>
    <s v="Neha"/>
    <s v="pooja.shah@company.com"/>
    <s v="9435947486"/>
    <s v="Cancelled"/>
  </r>
  <r>
    <s v="ORD10370"/>
    <s v="C001"/>
    <s v="P101"/>
    <x v="252"/>
    <s v="02/02/2025"/>
    <s v="Kavya Nair"/>
    <s v="Male"/>
    <s v="14/05/1992"/>
    <s v="Delhi"/>
    <x v="1"/>
    <x v="0"/>
    <s v="Laptop"/>
    <n v="15"/>
    <n v="55000"/>
    <n v="0"/>
    <x v="271"/>
    <n v="5"/>
    <s v="Card"/>
    <s v="Neha"/>
    <s v="amit.sharma@company.com"/>
    <s v="9411668831"/>
    <s v="Cancelled"/>
  </r>
  <r>
    <s v="ORD10371"/>
    <s v="C009"/>
    <s v="P303"/>
    <x v="228"/>
    <s v="08/10/2025"/>
    <s v="Pooja Shah"/>
    <s v="Male"/>
    <s v="03/05/1989"/>
    <s v="Bengaluru"/>
    <x v="0"/>
    <x v="2"/>
    <s v="Marker"/>
    <n v="11"/>
    <n v="45"/>
    <n v="5"/>
    <x v="122"/>
    <n v="5"/>
    <s v="NetBanking"/>
    <s v="Karan"/>
    <s v="mohit.verma@company.com"/>
    <s v="9523682403"/>
    <s v="Completed"/>
  </r>
  <r>
    <s v="ORD10372"/>
    <s v="C006"/>
    <s v="P302"/>
    <x v="258"/>
    <s v="17/06/2025"/>
    <s v="Amit Sharma"/>
    <s v="Female"/>
    <s v="19/12/1990"/>
    <s v="Jaipur"/>
    <x v="1"/>
    <x v="1"/>
    <s v="Pen"/>
    <n v="9"/>
    <n v="20"/>
    <n v="10"/>
    <x v="96"/>
    <n v="1"/>
    <s v="Card"/>
    <s v="Rahul"/>
    <s v="sneha.joshi@company.com"/>
    <s v="9652936744"/>
    <s v="Cancelled"/>
  </r>
  <r>
    <s v="ORD10373"/>
    <s v="C004"/>
    <s v="P303"/>
    <x v="101"/>
    <s v="20/11/2025"/>
    <s v="Mohit Verma"/>
    <s v="Female"/>
    <s v="09/07/1995"/>
    <s v="Bengaluru"/>
    <x v="0"/>
    <x v="2"/>
    <s v="Marker"/>
    <n v="5"/>
    <n v="45"/>
    <n v="5"/>
    <x v="261"/>
    <n v="3"/>
    <s v="Card"/>
    <s v="Neha"/>
    <s v="anita.gupta@company.com"/>
    <s v="9726464733"/>
    <s v="Pending"/>
  </r>
  <r>
    <s v="ORD10374"/>
    <s v="C007"/>
    <s v="P102"/>
    <x v="259"/>
    <s v="02/11/2025"/>
    <s v="Sneha Joshi"/>
    <s v="Male"/>
    <s v="23/12/1998"/>
    <s v="Hyderabad"/>
    <x v="1"/>
    <x v="2"/>
    <s v="Mouse"/>
    <n v="5"/>
    <n v="700"/>
    <n v="10"/>
    <x v="272"/>
    <n v="2"/>
    <s v="UPI"/>
    <s v="Rahul"/>
    <s v="arjun.rao@company.com"/>
    <s v="9273520544"/>
    <s v="Completed"/>
  </r>
  <r>
    <s v="ORD10375"/>
    <s v="C005"/>
    <s v="P102"/>
    <x v="260"/>
    <s v="31/01/2025"/>
    <s v="Anita Gupta"/>
    <s v="Male"/>
    <s v="23/12/1979"/>
    <s v="Kolkata"/>
    <x v="0"/>
    <x v="2"/>
    <s v="Mouse"/>
    <n v="1"/>
    <n v="700"/>
    <n v="0"/>
    <x v="273"/>
    <n v="1"/>
    <s v="UPI"/>
    <s v="Karan"/>
    <s v="vikas.mehta@company.com"/>
    <s v="9374259988"/>
    <s v="Completed"/>
  </r>
  <r>
    <s v="ORD10376"/>
    <s v="C008"/>
    <s v="P102"/>
    <x v="218"/>
    <s v="21/02/2026"/>
    <s v="Arjun Rao"/>
    <s v="Female"/>
    <s v="15/12/1975"/>
    <s v="Mumbai"/>
    <x v="0"/>
    <x v="1"/>
    <s v="Mouse"/>
    <n v="13"/>
    <n v="700"/>
    <n v="20"/>
    <x v="274"/>
    <n v="2"/>
    <s v="Card"/>
    <s v="Ritika"/>
    <s v="KAvya.nair@company.com"/>
    <s v="9538129419"/>
    <s v="Completed"/>
  </r>
  <r>
    <s v="ORD10377"/>
    <s v="C009"/>
    <s v="P104"/>
    <x v="188"/>
    <s v="19/02/2025"/>
    <s v="Vikas Mehta"/>
    <s v="Male"/>
    <s v="17/05/1993"/>
    <s v="Pune"/>
    <x v="3"/>
    <x v="1"/>
    <s v="Monitor"/>
    <n v="20"/>
    <n v="12000"/>
    <n v="0"/>
    <x v="275"/>
    <n v="2"/>
    <s v="Card"/>
    <s v="Neha"/>
    <s v="mohit.verma@company.com"/>
    <s v="9382815686"/>
    <s v="Completed"/>
  </r>
  <r>
    <s v="ORD10378"/>
    <s v="C007"/>
    <s v="P103"/>
    <x v="193"/>
    <s v="06/01/2026"/>
    <s v="Kavya Nair"/>
    <s v="Male"/>
    <s v="17/09/1976"/>
    <s v="Kolkata"/>
    <x v="2"/>
    <x v="1"/>
    <s v="Keyboard"/>
    <n v="9"/>
    <n v="1200"/>
    <n v="15"/>
    <x v="237"/>
    <n v="1"/>
    <s v="UPI"/>
    <s v="Ritika"/>
    <s v="arjun.rao@company.com"/>
    <s v="9450746157"/>
    <s v="Pending"/>
  </r>
  <r>
    <s v="ORD10379"/>
    <s v="C007"/>
    <s v="P302"/>
    <x v="261"/>
    <s v="03/10/2025"/>
    <s v="Mohit Verma"/>
    <s v="Male"/>
    <s v="22/12/1996"/>
    <s v="Jaipur"/>
    <x v="2"/>
    <x v="1"/>
    <s v="Pen"/>
    <n v="3"/>
    <n v="20"/>
    <n v="15"/>
    <x v="212"/>
    <n v="3"/>
    <s v="Cash"/>
    <s v="Neha"/>
    <s v="arjun.rao@company.com"/>
    <s v="9349012570"/>
    <s v="Pending"/>
  </r>
  <r>
    <s v="ORD10380"/>
    <s v="C006"/>
    <s v="P101"/>
    <x v="167"/>
    <s v="19/12/2025"/>
    <s v="Arjun Rao"/>
    <s v="Female"/>
    <s v="25/12/1995"/>
    <s v="Delhi"/>
    <x v="3"/>
    <x v="1"/>
    <s v="Laptop"/>
    <n v="8"/>
    <n v="55000"/>
    <n v="20"/>
    <x v="18"/>
    <n v="5"/>
    <s v="Card"/>
    <s v="Karan"/>
    <s v="sneha.joshi@company.com"/>
    <s v="9442163790"/>
    <s v="Pending"/>
  </r>
  <r>
    <s v="ORD10381"/>
    <s v="C006"/>
    <s v="P301"/>
    <x v="262"/>
    <s v="07/10/2025"/>
    <s v="Arjun Rao"/>
    <s v="Female"/>
    <s v="23/06/1985"/>
    <s v="Delhi"/>
    <x v="1"/>
    <x v="2"/>
    <s v="Notebook"/>
    <n v="17"/>
    <n v="60"/>
    <n v="20"/>
    <x v="276"/>
    <n v="1"/>
    <s v="UPI"/>
    <s v="Ritika"/>
    <s v="sneha.joshi@company.com"/>
    <s v="9953329223"/>
    <s v="Pending"/>
  </r>
  <r>
    <s v="ORD10382"/>
    <s v="C003"/>
    <s v="P302"/>
    <x v="263"/>
    <s v="22/05/2025"/>
    <s v="Sneha Joshi"/>
    <s v="Male"/>
    <s v="10/02/1984"/>
    <s v="Bengaluru"/>
    <x v="1"/>
    <x v="1"/>
    <s v="Pen"/>
    <n v="4"/>
    <n v="20"/>
    <n v="15"/>
    <x v="277"/>
    <n v="3"/>
    <s v="NetBanking"/>
    <s v="Aisha"/>
    <s v="rohit.singh@company.com"/>
    <s v="9202321359"/>
    <s v="Pending"/>
  </r>
  <r>
    <s v="ORD10383"/>
    <s v="C003"/>
    <s v="P202"/>
    <x v="221"/>
    <s v="11/04/2025"/>
    <s v="Sneha Joshi"/>
    <s v="Male"/>
    <s v="02/04/2002"/>
    <s v="Kolkata"/>
    <x v="1"/>
    <x v="2"/>
    <s v="Iron"/>
    <n v="2"/>
    <n v="2200"/>
    <n v="10"/>
    <x v="278"/>
    <n v="2"/>
    <s v="UPI"/>
    <s v="Rahul"/>
    <s v="rohit.singh@company.com"/>
    <s v="9812564160"/>
    <s v="Pending"/>
  </r>
  <r>
    <s v="ORD10384"/>
    <s v="C005"/>
    <s v="P301"/>
    <x v="64"/>
    <s v="18/04/2025"/>
    <s v="Rohit Singh"/>
    <s v="Male"/>
    <s v="17/07/2003"/>
    <s v="Bengaluru"/>
    <x v="0"/>
    <x v="2"/>
    <s v="Notebook"/>
    <n v="5"/>
    <n v="60"/>
    <n v="5"/>
    <x v="103"/>
    <n v="1"/>
    <s v="UPI"/>
    <s v="Ritika"/>
    <s v="vikas.mehta@company.com"/>
    <s v="9688458222"/>
    <s v="Cancelled"/>
  </r>
  <r>
    <s v="ORD10385"/>
    <s v="C003"/>
    <s v="P202"/>
    <x v="264"/>
    <s v="23/02/2026"/>
    <s v="Rohit Singh"/>
    <s v="Male"/>
    <s v="06/10/1991"/>
    <s v="Delhi"/>
    <x v="3"/>
    <x v="0"/>
    <s v="Iron"/>
    <n v="17"/>
    <n v="2200"/>
    <n v="0"/>
    <x v="124"/>
    <n v="2"/>
    <s v="UPI"/>
    <s v="Karan"/>
    <s v="rohit.singh@company.com"/>
    <s v="9634473337"/>
    <s v="Cancelled"/>
  </r>
  <r>
    <s v="ORD10386"/>
    <s v="C004"/>
    <s v="P301"/>
    <x v="241"/>
    <s v="11/12/2025"/>
    <s v="Vikas Mehta"/>
    <s v="Female"/>
    <s v="05/01/1984"/>
    <s v="Ahmedabad"/>
    <x v="0"/>
    <x v="2"/>
    <s v="Notebook"/>
    <n v="7"/>
    <n v="60"/>
    <n v="0"/>
    <x v="138"/>
    <n v="2"/>
    <s v="UPI"/>
    <s v="Aisha"/>
    <s v="anita.gupta@company.com"/>
    <s v="9608737026"/>
    <s v="Pending"/>
  </r>
  <r>
    <s v="ORD10387"/>
    <s v="C005"/>
    <s v="P101"/>
    <x v="110"/>
    <s v="24/10/2025"/>
    <s v="Rohit Singh"/>
    <s v="Male"/>
    <s v="12/03/1975"/>
    <s v="Hyderabad"/>
    <x v="1"/>
    <x v="0"/>
    <s v="Laptop"/>
    <n v="6"/>
    <n v="55000"/>
    <n v="5"/>
    <x v="279"/>
    <n v="4"/>
    <s v="Card"/>
    <s v="Aisha"/>
    <s v="vikas.mehta@company.com"/>
    <s v="9804498139"/>
    <s v="Completed"/>
  </r>
  <r>
    <s v="ORD10388"/>
    <s v="C009"/>
    <s v="P302"/>
    <x v="208"/>
    <s v="25/01/2026"/>
    <s v="Anita Gupta"/>
    <s v="Male"/>
    <s v="15/03/1983"/>
    <s v="Hyderabad"/>
    <x v="2"/>
    <x v="2"/>
    <s v="Pen"/>
    <n v="16"/>
    <n v="20"/>
    <n v="5"/>
    <x v="214"/>
    <n v="1"/>
    <s v="Card"/>
    <s v="Rahul"/>
    <s v="mohit.verma@company.com"/>
    <s v="9798643580"/>
    <s v="Completed"/>
  </r>
  <r>
    <s v="ORD10389"/>
    <s v="C008"/>
    <s v="P202"/>
    <x v="265"/>
    <s v="28/01/2025"/>
    <s v="Vikas Mehta"/>
    <s v="Female"/>
    <s v="20/04/1976"/>
    <s v="Kolkata"/>
    <x v="0"/>
    <x v="1"/>
    <s v="Iron"/>
    <n v="11"/>
    <n v="2200"/>
    <n v="15"/>
    <x v="280"/>
    <n v="1"/>
    <s v="NetBanking"/>
    <s v="Neha"/>
    <s v="KAvya.nair@company.com"/>
    <s v="9809823278"/>
    <s v="Cancelled"/>
  </r>
  <r>
    <s v="ORD10390"/>
    <s v="C002"/>
    <s v="P302"/>
    <x v="171"/>
    <s v="02/03/2025"/>
    <s v="Mohit Verma"/>
    <s v="Female"/>
    <s v="11/02/1986"/>
    <s v="Pune"/>
    <x v="0"/>
    <x v="2"/>
    <s v="Pen"/>
    <n v="19"/>
    <n v="20"/>
    <n v="5"/>
    <x v="146"/>
    <n v="4"/>
    <s v="UPI"/>
    <s v="Ritika"/>
    <s v="priYa.patel@company.com"/>
    <s v="9177767854"/>
    <s v="Pending"/>
  </r>
  <r>
    <s v="ORD10391"/>
    <s v="C002"/>
    <s v="P103"/>
    <x v="266"/>
    <s v="21/06/2025"/>
    <s v="Kavya Nair"/>
    <s v="Female"/>
    <s v="21/03/1978"/>
    <s v="Pune"/>
    <x v="3"/>
    <x v="0"/>
    <s v="Keyboard"/>
    <n v="20"/>
    <n v="1200"/>
    <n v="15"/>
    <x v="281"/>
    <n v="4"/>
    <s v="Card"/>
    <s v="Ritika"/>
    <s v="priYa.patel@company.com"/>
    <s v="9643440006"/>
    <s v="Pending"/>
  </r>
  <r>
    <s v="ORD10392"/>
    <s v="C010"/>
    <s v="P302"/>
    <x v="267"/>
    <s v="06/06/2025"/>
    <s v="Priya Patel"/>
    <s v="Female"/>
    <s v="12/07/1996"/>
    <s v="Hyderabad"/>
    <x v="2"/>
    <x v="2"/>
    <s v="Pen"/>
    <n v="13"/>
    <n v="20"/>
    <n v="15"/>
    <x v="282"/>
    <n v="4"/>
    <s v="Cash"/>
    <s v="Ritika"/>
    <s v="pooja.shah@company.com"/>
    <s v="9673698825"/>
    <s v="Pending"/>
  </r>
  <r>
    <s v="ORD10393"/>
    <s v="C006"/>
    <s v="P103"/>
    <x v="20"/>
    <s v="08/01/2025"/>
    <s v="Priya Patel"/>
    <s v="Female"/>
    <s v="02/12/1992"/>
    <s v="Delhi"/>
    <x v="2"/>
    <x v="1"/>
    <s v="Keyboard"/>
    <n v="12"/>
    <n v="1200"/>
    <n v="10"/>
    <x v="283"/>
    <n v="3"/>
    <s v="NetBanking"/>
    <s v="Ritika"/>
    <s v="sneha.joshi@company.com"/>
    <s v="9706238784"/>
    <s v="Pending"/>
  </r>
  <r>
    <s v="ORD10394"/>
    <s v="C002"/>
    <s v="P203"/>
    <x v="268"/>
    <s v="29/01/2025"/>
    <s v="Pooja Shah"/>
    <s v="Female"/>
    <s v="23/03/1996"/>
    <s v="Kolkata"/>
    <x v="0"/>
    <x v="2"/>
    <s v="Microwave"/>
    <n v="6"/>
    <n v="8500"/>
    <n v="5"/>
    <x v="284"/>
    <n v="5"/>
    <s v="Cash"/>
    <s v="Neha"/>
    <s v="priYa.patel@company.com"/>
    <s v="9132959877"/>
    <s v="Cancelled"/>
  </r>
  <r>
    <s v="ORD10395"/>
    <s v="C008"/>
    <s v="P203"/>
    <x v="207"/>
    <s v="26/02/2026"/>
    <s v="Sneha Joshi"/>
    <s v="Female"/>
    <s v="23/06/1994"/>
    <s v="Ahmedabad"/>
    <x v="1"/>
    <x v="1"/>
    <s v="Microwave"/>
    <n v="15"/>
    <n v="8500"/>
    <n v="10"/>
    <x v="285"/>
    <n v="1"/>
    <s v="Cash"/>
    <s v="Neha"/>
    <s v="KAvya.nair@company.com"/>
    <s v="9295011645"/>
    <s v="Completed"/>
  </r>
  <r>
    <s v="ORD10396"/>
    <s v="C003"/>
    <s v="P104"/>
    <x v="269"/>
    <s v="15/08/2025"/>
    <s v="Priya Patel"/>
    <s v="Male"/>
    <s v="02/02/1980"/>
    <s v="Hyderabad"/>
    <x v="3"/>
    <x v="0"/>
    <s v="Monitor"/>
    <n v="19"/>
    <n v="12000"/>
    <n v="20"/>
    <x v="286"/>
    <n v="5"/>
    <s v="Cash"/>
    <s v="Neha"/>
    <s v="rohit.singh@company.com"/>
    <s v="9677606427"/>
    <s v="Completed"/>
  </r>
  <r>
    <s v="ORD10397"/>
    <s v="C007"/>
    <s v="P102"/>
    <x v="270"/>
    <s v="18/01/2025"/>
    <s v="Kavya Nair"/>
    <s v="Male"/>
    <s v="24/08/1990"/>
    <s v="Delhi"/>
    <x v="2"/>
    <x v="0"/>
    <s v="Mouse"/>
    <n v="5"/>
    <n v="700"/>
    <n v="0"/>
    <x v="287"/>
    <n v="2"/>
    <s v="Card"/>
    <s v="Aisha"/>
    <s v="arjun.rao@company.com"/>
    <s v="9161631566"/>
    <s v="Cancelled"/>
  </r>
  <r>
    <s v="ORD10398"/>
    <s v="C007"/>
    <s v="P104"/>
    <x v="271"/>
    <s v="04/02/2025"/>
    <s v="Rohit Singh"/>
    <s v="Male"/>
    <s v="10/12/1978"/>
    <s v="Kolkata"/>
    <x v="0"/>
    <x v="1"/>
    <s v="Monitor"/>
    <n v="19"/>
    <n v="12000"/>
    <n v="0"/>
    <x v="47"/>
    <n v="4"/>
    <s v="UPI"/>
    <s v="Aisha"/>
    <s v="arjun.rao@company.com"/>
    <s v="9136906750"/>
    <s v="Pending"/>
  </r>
  <r>
    <s v="ORD10399"/>
    <s v="C001"/>
    <s v="P102"/>
    <x v="252"/>
    <s v="03/11/2025"/>
    <s v="Arjun Rao"/>
    <s v="Male"/>
    <s v="01/09/1979"/>
    <s v="Bengaluru"/>
    <x v="1"/>
    <x v="1"/>
    <s v="Mouse"/>
    <n v="12"/>
    <n v="700"/>
    <n v="15"/>
    <x v="73"/>
    <n v="3"/>
    <s v="Card"/>
    <s v="Ritika"/>
    <s v="amit.sharma@company.com"/>
    <s v="9485286324"/>
    <s v="Completed"/>
  </r>
  <r>
    <s v="ORD10400"/>
    <s v="C008"/>
    <s v="P103"/>
    <x v="272"/>
    <s v="21/05/2025"/>
    <s v="Arjun Rao"/>
    <s v="Female"/>
    <s v="08/04/2001"/>
    <s v="Delhi"/>
    <x v="3"/>
    <x v="1"/>
    <s v="Keyboard"/>
    <n v="16"/>
    <n v="1200"/>
    <n v="20"/>
    <x v="288"/>
    <n v="1"/>
    <s v="Cash"/>
    <s v="Rahul"/>
    <s v="KAvya.nair@company.com"/>
    <s v="9414633966"/>
    <s v="Pending"/>
  </r>
  <r>
    <s v="ORD10401"/>
    <s v="C009"/>
    <s v="P203"/>
    <x v="273"/>
    <s v="04/01/2026"/>
    <s v="Amit Sharma"/>
    <s v="Male"/>
    <s v="01/01/1983"/>
    <s v="Hyderabad"/>
    <x v="0"/>
    <x v="1"/>
    <s v="Microwave"/>
    <n v="10"/>
    <n v="8500"/>
    <n v="5"/>
    <x v="289"/>
    <n v="5"/>
    <s v="NetBanking"/>
    <s v="Ritika"/>
    <s v="mohit.verma@company.com"/>
    <s v="9833735234"/>
    <s v="Completed"/>
  </r>
  <r>
    <s v="ORD10402"/>
    <s v="C008"/>
    <s v="P302"/>
    <x v="219"/>
    <s v="21/02/2025"/>
    <s v="Kavya Nair"/>
    <s v="Female"/>
    <s v="09/08/1989"/>
    <s v="Ahmedabad"/>
    <x v="1"/>
    <x v="1"/>
    <s v="Pen"/>
    <n v="18"/>
    <n v="20"/>
    <n v="20"/>
    <x v="265"/>
    <n v="1"/>
    <s v="UPI"/>
    <s v="Ritika"/>
    <s v="KAvya.nair@company.com"/>
    <s v="9523689108"/>
    <s v="Pending"/>
  </r>
  <r>
    <s v="ORD10403"/>
    <s v="C009"/>
    <s v="P203"/>
    <x v="26"/>
    <s v="19/03/2026"/>
    <s v="Mohit Verma"/>
    <s v="Male"/>
    <s v="22/10/1993"/>
    <s v="Mumbai"/>
    <x v="0"/>
    <x v="0"/>
    <s v="Microwave"/>
    <n v="9"/>
    <n v="8500"/>
    <n v="0"/>
    <x v="290"/>
    <n v="2"/>
    <s v="Card"/>
    <s v="Ritika"/>
    <s v="mohit.verma@company.com"/>
    <s v="9812909831"/>
    <s v="Pending"/>
  </r>
  <r>
    <s v="ORD10404"/>
    <s v="C008"/>
    <s v="P203"/>
    <x v="261"/>
    <s v="12/10/2025"/>
    <s v="Kavya Nair"/>
    <s v="Female"/>
    <s v="05/05/2000"/>
    <s v="Mumbai"/>
    <x v="2"/>
    <x v="2"/>
    <s v="Microwave"/>
    <n v="8"/>
    <n v="8500"/>
    <n v="10"/>
    <x v="291"/>
    <n v="4"/>
    <s v="Cash"/>
    <s v="Neha"/>
    <s v="KAvya.nair@company.com"/>
    <s v="9106290987"/>
    <s v="Cancelled"/>
  </r>
  <r>
    <s v="ORD10405"/>
    <s v="C010"/>
    <s v="P302"/>
    <x v="69"/>
    <s v="01/02/2026"/>
    <s v="Mohit Verma"/>
    <s v="Female"/>
    <s v="18/02/1984"/>
    <s v="Pune"/>
    <x v="2"/>
    <x v="0"/>
    <s v="Pen"/>
    <n v="3"/>
    <n v="20"/>
    <n v="10"/>
    <x v="292"/>
    <n v="3"/>
    <s v="Card"/>
    <s v="Karan"/>
    <s v="pooja.shah@company.com"/>
    <s v="9767727724"/>
    <s v="Pending"/>
  </r>
  <r>
    <s v="ORD10406"/>
    <s v="C004"/>
    <s v="P203"/>
    <x v="274"/>
    <s v="12/07/2025"/>
    <s v="Kavya Nair"/>
    <s v="Female"/>
    <s v="13/06/1991"/>
    <s v="Kolkata"/>
    <x v="2"/>
    <x v="0"/>
    <s v="Microwave"/>
    <n v="18"/>
    <n v="8500"/>
    <n v="10"/>
    <x v="293"/>
    <n v="4"/>
    <s v="Cash"/>
    <s v="Rahul"/>
    <s v="anita.gupta@company.com"/>
    <s v="9865401727"/>
    <s v="Cancelled"/>
  </r>
  <r>
    <s v="ORD10407"/>
    <s v="C010"/>
    <s v="P303"/>
    <x v="37"/>
    <s v="09/10/2025"/>
    <s v="Pooja Shah"/>
    <s v="Female"/>
    <s v="19/05/1996"/>
    <s v="Pune"/>
    <x v="2"/>
    <x v="2"/>
    <s v="Marker"/>
    <n v="5"/>
    <n v="45"/>
    <n v="10"/>
    <x v="294"/>
    <n v="3"/>
    <s v="Cash"/>
    <s v="Neha"/>
    <s v="pooja.shah@company.com"/>
    <s v="9603848571"/>
    <s v="Pending"/>
  </r>
  <r>
    <s v="ORD10408"/>
    <s v="C009"/>
    <s v="P303"/>
    <x v="108"/>
    <s v="02/06/2025"/>
    <s v="Anita Gupta"/>
    <s v="Male"/>
    <s v="23/05/1992"/>
    <s v="Mumbai"/>
    <x v="3"/>
    <x v="0"/>
    <s v="Marker"/>
    <n v="2"/>
    <n v="45"/>
    <n v="20"/>
    <x v="295"/>
    <n v="5"/>
    <s v="UPI"/>
    <s v="Aisha"/>
    <s v="mohit.verma@company.com"/>
    <s v="9101231789"/>
    <s v="Cancelled"/>
  </r>
  <r>
    <s v="ORD10409"/>
    <s v="C002"/>
    <s v="P303"/>
    <x v="275"/>
    <s v="06/02/2025"/>
    <s v="Pooja Shah"/>
    <s v="Female"/>
    <s v="15/06/1988"/>
    <s v="Hyderabad"/>
    <x v="2"/>
    <x v="2"/>
    <s v="Marker"/>
    <n v="18"/>
    <n v="45"/>
    <n v="10"/>
    <x v="296"/>
    <n v="2"/>
    <s v="NetBanking"/>
    <s v="Neha"/>
    <s v="priYa.patel@company.com"/>
    <s v="9485017802"/>
    <s v="Pending"/>
  </r>
  <r>
    <s v="ORD10410"/>
    <s v="C003"/>
    <s v="P103"/>
    <x v="65"/>
    <s v="01/01/2026"/>
    <s v="Mohit Verma"/>
    <s v="Male"/>
    <s v="22/07/1993"/>
    <s v="Kolkata"/>
    <x v="2"/>
    <x v="2"/>
    <s v="Keyboard"/>
    <n v="13"/>
    <n v="1200"/>
    <n v="5"/>
    <x v="297"/>
    <n v="4"/>
    <s v="Card"/>
    <s v="Neha"/>
    <s v="rohit.singh@company.com"/>
    <s v="9815464650"/>
    <s v="Completed"/>
  </r>
  <r>
    <s v="ORD10411"/>
    <s v="C008"/>
    <s v="P302"/>
    <x v="276"/>
    <s v="17/05/2026"/>
    <s v="Priya Patel"/>
    <s v="Female"/>
    <s v="03/02/2004"/>
    <s v="Hyderabad"/>
    <x v="0"/>
    <x v="2"/>
    <s v="Pen"/>
    <n v="14"/>
    <n v="20"/>
    <n v="20"/>
    <x v="298"/>
    <n v="5"/>
    <s v="UPI"/>
    <s v="Rahul"/>
    <s v="KAvya.nair@company.com"/>
    <s v="9860715839"/>
    <s v="Pending"/>
  </r>
  <r>
    <s v="ORD10412"/>
    <s v="C002"/>
    <s v="P201"/>
    <x v="277"/>
    <s v="23/02/2026"/>
    <s v="Rohit Singh"/>
    <s v="Female"/>
    <s v="23/12/1978"/>
    <s v="Hyderabad"/>
    <x v="3"/>
    <x v="1"/>
    <s v="Mixer"/>
    <n v="16"/>
    <n v="3500"/>
    <n v="15"/>
    <x v="64"/>
    <n v="3"/>
    <s v="UPI"/>
    <s v="Aisha"/>
    <s v="priYa.patel@company.com"/>
    <s v="9207561051"/>
    <s v="Cancelled"/>
  </r>
  <r>
    <s v="ORD10413"/>
    <s v="C006"/>
    <s v="P302"/>
    <x v="157"/>
    <s v="24/02/2025"/>
    <s v="Kavya Nair"/>
    <s v="Female"/>
    <s v="15/10/1993"/>
    <s v="Bengaluru"/>
    <x v="0"/>
    <x v="2"/>
    <s v="Pen"/>
    <n v="20"/>
    <n v="20"/>
    <n v="15"/>
    <x v="299"/>
    <n v="1"/>
    <s v="NetBanking"/>
    <s v="Aisha"/>
    <s v="sneha.joshi@company.com"/>
    <s v="9159894508"/>
    <s v="Cancelled"/>
  </r>
  <r>
    <s v="ORD10414"/>
    <s v="C004"/>
    <s v="P101"/>
    <x v="102"/>
    <s v="14/04/2025"/>
    <s v="Priya Patel"/>
    <s v="Female"/>
    <s v="12/12/1979"/>
    <s v="Ahmedabad"/>
    <x v="0"/>
    <x v="0"/>
    <s v="Laptop"/>
    <n v="1"/>
    <n v="55000"/>
    <n v="15"/>
    <x v="300"/>
    <n v="2"/>
    <s v="UPI"/>
    <s v="Neha"/>
    <s v="anita.gupta@company.com"/>
    <s v="9531465024"/>
    <s v="Cancelled"/>
  </r>
  <r>
    <s v="ORD10415"/>
    <s v="C002"/>
    <s v="P301"/>
    <x v="270"/>
    <s v="20/01/2025"/>
    <s v="Sneha Joshi"/>
    <s v="Female"/>
    <s v="24/05/2002"/>
    <s v="Ahmedabad"/>
    <x v="0"/>
    <x v="2"/>
    <s v="Notebook"/>
    <n v="15"/>
    <n v="60"/>
    <n v="5"/>
    <x v="170"/>
    <n v="4"/>
    <s v="NetBanking"/>
    <s v="Aisha"/>
    <s v="priYa.patel@company.com"/>
    <s v="9158813608"/>
    <s v="Completed"/>
  </r>
  <r>
    <s v="ORD10416"/>
    <s v="C007"/>
    <s v="P102"/>
    <x v="278"/>
    <s v="02/04/2026"/>
    <s v="Anita Gupta"/>
    <s v="Male"/>
    <s v="09/03/1976"/>
    <s v="Mumbai"/>
    <x v="2"/>
    <x v="1"/>
    <s v="Mouse"/>
    <n v="15"/>
    <n v="700"/>
    <n v="0"/>
    <x v="247"/>
    <n v="5"/>
    <s v="NetBanking"/>
    <s v="Neha"/>
    <s v="arjun.rao@company.com"/>
    <s v="9308461700"/>
    <s v="Completed"/>
  </r>
  <r>
    <s v="ORD10417"/>
    <s v="C005"/>
    <s v="P104"/>
    <x v="242"/>
    <s v="09/01/2026"/>
    <s v="Priya Patel"/>
    <s v="Male"/>
    <s v="20/09/1980"/>
    <s v="Kolkata"/>
    <x v="2"/>
    <x v="2"/>
    <s v="Monitor"/>
    <n v="13"/>
    <n v="12000"/>
    <n v="10"/>
    <x v="201"/>
    <n v="1"/>
    <s v="Cash"/>
    <s v="Karan"/>
    <s v="vikas.mehta@company.com"/>
    <s v="9882279049"/>
    <s v="Cancelled"/>
  </r>
  <r>
    <s v="ORD10418"/>
    <s v="C007"/>
    <s v="P104"/>
    <x v="279"/>
    <s v="29/04/2026"/>
    <s v="Arjun Rao"/>
    <s v="Male"/>
    <s v="24/06/1988"/>
    <s v="Hyderabad"/>
    <x v="2"/>
    <x v="1"/>
    <s v="Monitor"/>
    <n v="12"/>
    <n v="12000"/>
    <n v="20"/>
    <x v="301"/>
    <n v="2"/>
    <s v="Cash"/>
    <s v="Ritika"/>
    <s v="arjun.rao@company.com"/>
    <s v="9961801338"/>
    <s v="Completed"/>
  </r>
  <r>
    <s v="ORD10419"/>
    <s v="C007"/>
    <s v="P303"/>
    <x v="8"/>
    <s v="29/03/2025"/>
    <s v="Vikas Mehta"/>
    <s v="Male"/>
    <s v="11/06/2003"/>
    <s v="Mumbai"/>
    <x v="3"/>
    <x v="1"/>
    <s v="Marker"/>
    <n v="10"/>
    <n v="45"/>
    <n v="0"/>
    <x v="188"/>
    <n v="5"/>
    <s v="Card"/>
    <s v="Neha"/>
    <s v="arjun.rao@company.com"/>
    <s v="9853525026"/>
    <s v="Cancelled"/>
  </r>
  <r>
    <s v="ORD10420"/>
    <s v="C003"/>
    <s v="P103"/>
    <x v="1"/>
    <s v="09/05/2025"/>
    <s v="Arjun Rao"/>
    <s v="Male"/>
    <s v="10/12/1981"/>
    <s v="Mumbai"/>
    <x v="0"/>
    <x v="1"/>
    <s v="Keyboard"/>
    <n v="20"/>
    <n v="1200"/>
    <n v="20"/>
    <x v="66"/>
    <n v="5"/>
    <s v="NetBanking"/>
    <s v="Aisha"/>
    <s v="rohit.singh@company.com"/>
    <s v="9209649485"/>
    <s v="Cancelled"/>
  </r>
  <r>
    <s v="ORD10421"/>
    <s v="C009"/>
    <s v="P103"/>
    <x v="9"/>
    <s v="26/09/2025"/>
    <s v="Arjun Rao"/>
    <s v="Male"/>
    <s v="24/02/1975"/>
    <s v="Pune"/>
    <x v="2"/>
    <x v="2"/>
    <s v="Keyboard"/>
    <n v="8"/>
    <n v="1200"/>
    <n v="10"/>
    <x v="302"/>
    <n v="4"/>
    <s v="NetBanking"/>
    <s v="Aisha"/>
    <s v="mohit.verma@company.com"/>
    <s v="9712905525"/>
    <s v="Completed"/>
  </r>
  <r>
    <s v="ORD10422"/>
    <s v="C003"/>
    <s v="P103"/>
    <x v="174"/>
    <s v="20/05/2025"/>
    <s v="Rohit Singh"/>
    <s v="Male"/>
    <s v="27/09/1977"/>
    <s v="Jaipur"/>
    <x v="2"/>
    <x v="1"/>
    <s v="Keyboard"/>
    <n v="8"/>
    <n v="1200"/>
    <n v="10"/>
    <x v="302"/>
    <n v="5"/>
    <s v="Card"/>
    <s v="Rahul"/>
    <s v="rohit.singh@company.com"/>
    <s v="9812472447"/>
    <s v="Cancelled"/>
  </r>
  <r>
    <s v="ORD10423"/>
    <s v="C001"/>
    <s v="P202"/>
    <x v="280"/>
    <s v="30/12/2025"/>
    <s v="Mohit Verma"/>
    <s v="Male"/>
    <s v="25/12/1987"/>
    <s v="Jaipur"/>
    <x v="2"/>
    <x v="1"/>
    <s v="Iron"/>
    <n v="9"/>
    <n v="2200"/>
    <n v="20"/>
    <x v="238"/>
    <n v="1"/>
    <s v="NetBanking"/>
    <s v="Neha"/>
    <s v="amit.sharma@company.com"/>
    <s v="9281127052"/>
    <s v="Completed"/>
  </r>
  <r>
    <s v="ORD10424"/>
    <s v="C003"/>
    <s v="P302"/>
    <x v="281"/>
    <s v="16/01/2025"/>
    <s v="Rohit Singh"/>
    <s v="Male"/>
    <s v="23/03/2001"/>
    <s v="Kolkata"/>
    <x v="1"/>
    <x v="1"/>
    <s v="Pen"/>
    <n v="8"/>
    <n v="20"/>
    <n v="20"/>
    <x v="245"/>
    <n v="4"/>
    <s v="Cash"/>
    <s v="Ritika"/>
    <s v="rohit.singh@company.com"/>
    <s v="9346312555"/>
    <s v="Cancelled"/>
  </r>
  <r>
    <s v="ORD10425"/>
    <s v="C005"/>
    <s v="P101"/>
    <x v="282"/>
    <s v="22/01/2026"/>
    <s v="Amit Sharma"/>
    <s v="Male"/>
    <s v="22/09/1982"/>
    <s v="Pune"/>
    <x v="1"/>
    <x v="0"/>
    <s v="Laptop"/>
    <n v="5"/>
    <n v="55000"/>
    <n v="0"/>
    <x v="303"/>
    <n v="1"/>
    <s v="Card"/>
    <s v="Neha"/>
    <s v="vikas.mehta@company.com"/>
    <s v="9443786067"/>
    <s v="Completed"/>
  </r>
  <r>
    <s v="ORD10426"/>
    <s v="C002"/>
    <s v="P103"/>
    <x v="283"/>
    <s v="18/03/2026"/>
    <s v="Rohit Singh"/>
    <s v="Female"/>
    <s v="15/09/1986"/>
    <s v="Mumbai"/>
    <x v="3"/>
    <x v="2"/>
    <s v="Keyboard"/>
    <n v="13"/>
    <n v="1200"/>
    <n v="5"/>
    <x v="297"/>
    <n v="2"/>
    <s v="Card"/>
    <s v="Ritika"/>
    <s v="priYa.patel@company.com"/>
    <s v="9452540528"/>
    <s v="Cancelled"/>
  </r>
  <r>
    <s v="ORD10427"/>
    <s v="C007"/>
    <s v="P203"/>
    <x v="236"/>
    <s v="30/11/2025"/>
    <s v="Vikas Mehta"/>
    <s v="Male"/>
    <s v="12/12/2002"/>
    <s v="Jaipur"/>
    <x v="2"/>
    <x v="1"/>
    <s v="Microwave"/>
    <n v="13"/>
    <n v="8500"/>
    <n v="20"/>
    <x v="15"/>
    <n v="5"/>
    <s v="Cash"/>
    <s v="Rahul"/>
    <s v="arjun.rao@company.com"/>
    <s v="9750918728"/>
    <s v="Pending"/>
  </r>
  <r>
    <s v="ORD10428"/>
    <s v="C009"/>
    <s v="P301"/>
    <x v="121"/>
    <s v="15/02/2025"/>
    <s v="Priya Patel"/>
    <s v="Male"/>
    <s v="15/09/1998"/>
    <s v="Pune"/>
    <x v="2"/>
    <x v="1"/>
    <s v="Notebook"/>
    <n v="14"/>
    <n v="60"/>
    <n v="10"/>
    <x v="304"/>
    <n v="1"/>
    <s v="Cash"/>
    <s v="Aisha"/>
    <s v="mohit.verma@company.com"/>
    <s v="9375975834"/>
    <s v="Cancelled"/>
  </r>
  <r>
    <s v="ORD10429"/>
    <s v="C006"/>
    <s v="P202"/>
    <x v="158"/>
    <s v="29/04/2025"/>
    <s v="Arjun Rao"/>
    <s v="Female"/>
    <s v="17/10/1985"/>
    <s v="Bengaluru"/>
    <x v="1"/>
    <x v="0"/>
    <s v="Iron"/>
    <n v="15"/>
    <n v="2200"/>
    <n v="0"/>
    <x v="305"/>
    <n v="1"/>
    <s v="Cash"/>
    <s v="Aisha"/>
    <s v="sneha.joshi@company.com"/>
    <s v="9497321112"/>
    <s v="Completed"/>
  </r>
  <r>
    <s v="ORD10430"/>
    <s v="C007"/>
    <s v="P301"/>
    <x v="284"/>
    <s v="29/08/2025"/>
    <s v="Mohit Verma"/>
    <s v="Male"/>
    <s v="15/08/1995"/>
    <s v="Jaipur"/>
    <x v="2"/>
    <x v="2"/>
    <s v="Notebook"/>
    <n v="19"/>
    <n v="60"/>
    <n v="20"/>
    <x v="149"/>
    <n v="3"/>
    <s v="Cash"/>
    <s v="Karan"/>
    <s v="arjun.rao@company.com"/>
    <s v="9828749888"/>
    <s v="Pending"/>
  </r>
  <r>
    <s v="ORD10431"/>
    <s v="C010"/>
    <s v="P303"/>
    <x v="285"/>
    <s v="23/10/2025"/>
    <s v="Sneha Joshi"/>
    <s v="Female"/>
    <s v="27/08/1985"/>
    <s v="Jaipur"/>
    <x v="0"/>
    <x v="0"/>
    <s v="Marker"/>
    <n v="13"/>
    <n v="45"/>
    <n v="15"/>
    <x v="306"/>
    <n v="2"/>
    <s v="Cash"/>
    <s v="Rahul"/>
    <s v="pooja.shah@company.com"/>
    <s v="9814267382"/>
    <s v="Completed"/>
  </r>
  <r>
    <s v="ORD10432"/>
    <s v="C006"/>
    <s v="P104"/>
    <x v="286"/>
    <s v="24/01/2026"/>
    <s v="Arjun Rao"/>
    <s v="Female"/>
    <s v="05/06/1975"/>
    <s v="Mumbai"/>
    <x v="1"/>
    <x v="2"/>
    <s v="Monitor"/>
    <n v="7"/>
    <n v="12000"/>
    <n v="5"/>
    <x v="166"/>
    <n v="4"/>
    <s v="Card"/>
    <s v="Karan"/>
    <s v="sneha.joshi@company.com"/>
    <s v="9937007439"/>
    <s v="Cancelled"/>
  </r>
  <r>
    <s v="ORD10433"/>
    <s v="C001"/>
    <s v="P302"/>
    <x v="254"/>
    <s v="Pending"/>
    <s v="Pooja Shah"/>
    <s v="Male"/>
    <s v="25/03/1997"/>
    <s v="Kolkata"/>
    <x v="1"/>
    <x v="2"/>
    <s v="Pen"/>
    <n v="8"/>
    <n v="20"/>
    <n v="0"/>
    <x v="307"/>
    <n v="4"/>
    <s v="Card"/>
    <s v="Aisha"/>
    <s v="amit.sharma@company.com"/>
    <s v="9657513435"/>
    <s v="Pending"/>
  </r>
  <r>
    <s v="ORD10434"/>
    <s v="C008"/>
    <s v="P201"/>
    <x v="287"/>
    <s v="06/02/2025"/>
    <s v="Sneha Joshi"/>
    <s v="Female"/>
    <s v="18/04/1997"/>
    <s v="Kolkata"/>
    <x v="2"/>
    <x v="1"/>
    <s v="Mixer"/>
    <n v="16"/>
    <n v="3500"/>
    <n v="5"/>
    <x v="44"/>
    <n v="1"/>
    <s v="Card"/>
    <s v="Aisha"/>
    <s v="KAvya.nair@company.com"/>
    <s v="9999406260"/>
    <s v="Cancelled"/>
  </r>
  <r>
    <s v="ORD10435"/>
    <s v="C001"/>
    <s v="P203"/>
    <x v="288"/>
    <s v="04/03/2025"/>
    <s v="Amit Sharma"/>
    <s v="Male"/>
    <s v="28/05/1999"/>
    <s v="Mumbai"/>
    <x v="3"/>
    <x v="2"/>
    <s v="Microwave"/>
    <n v="12"/>
    <n v="8500"/>
    <n v="10"/>
    <x v="260"/>
    <n v="3"/>
    <s v="Card"/>
    <s v="Ritika"/>
    <s v="amit.sharma@company.com"/>
    <s v="9233727886"/>
    <s v="Completed"/>
  </r>
  <r>
    <s v="ORD10436"/>
    <s v="C008"/>
    <s v="P301"/>
    <x v="289"/>
    <s v="20/04/2025"/>
    <s v="Kavya Nair"/>
    <s v="Female"/>
    <s v="25/06/1983"/>
    <s v="Ahmedabad"/>
    <x v="3"/>
    <x v="0"/>
    <s v="Notebook"/>
    <n v="1"/>
    <n v="60"/>
    <n v="20"/>
    <x v="308"/>
    <n v="2"/>
    <s v="Card"/>
    <s v="Karan"/>
    <s v="KAvya.nair@company.com"/>
    <s v="9831688801"/>
    <s v="Completed"/>
  </r>
  <r>
    <s v="ORD10437"/>
    <s v="C003"/>
    <s v="P301"/>
    <x v="74"/>
    <s v="11/11/2025"/>
    <s v="Amit Sharma"/>
    <s v="Male"/>
    <s v="26/01/1993"/>
    <s v="Hyderabad"/>
    <x v="2"/>
    <x v="0"/>
    <s v="Notebook"/>
    <n v="3"/>
    <n v="60"/>
    <n v="15"/>
    <x v="169"/>
    <n v="4"/>
    <s v="Card"/>
    <s v="Ritika"/>
    <s v="rohit.singh@company.com"/>
    <s v="9982849508"/>
    <s v="Completed"/>
  </r>
  <r>
    <s v="ORD10438"/>
    <s v="C002"/>
    <s v="P102"/>
    <x v="290"/>
    <s v="25/03/2025"/>
    <s v="Kavya Nair"/>
    <s v="Female"/>
    <s v="03/03/1979"/>
    <s v="Kolkata"/>
    <x v="2"/>
    <x v="2"/>
    <s v="Mouse"/>
    <n v="10"/>
    <n v="700"/>
    <n v="15"/>
    <x v="309"/>
    <n v="3"/>
    <s v="NetBanking"/>
    <s v="Ritika"/>
    <s v="priYa.patel@company.com"/>
    <s v="9288309246"/>
    <s v="Pending"/>
  </r>
  <r>
    <s v="ORD10439"/>
    <s v="C007"/>
    <s v="P302"/>
    <x v="291"/>
    <s v="25/10/2025"/>
    <s v="Rohit Singh"/>
    <s v="Male"/>
    <s v="13/09/1976"/>
    <s v="Ahmedabad"/>
    <x v="0"/>
    <x v="2"/>
    <s v="Pen"/>
    <n v="2"/>
    <n v="20"/>
    <n v="10"/>
    <x v="129"/>
    <n v="2"/>
    <s v="UPI"/>
    <s v="Aisha"/>
    <s v="arjun.rao@company.com"/>
    <s v="9808476235"/>
    <s v="Completed"/>
  </r>
  <r>
    <s v="ORD10440"/>
    <s v="C007"/>
    <s v="P302"/>
    <x v="292"/>
    <s v="05/01/2026"/>
    <s v="Priya Patel"/>
    <s v="Male"/>
    <s v="27/07/1991"/>
    <s v="Delhi"/>
    <x v="3"/>
    <x v="1"/>
    <s v="Pen"/>
    <n v="14"/>
    <n v="20"/>
    <n v="20"/>
    <x v="298"/>
    <n v="5"/>
    <s v="Cash"/>
    <s v="Karan"/>
    <s v="arjun.rao@company.com"/>
    <s v="9869056117"/>
    <s v="Pending"/>
  </r>
  <r>
    <s v="ORD10441"/>
    <s v="C001"/>
    <s v="P201"/>
    <x v="293"/>
    <s v="25/06/2025"/>
    <s v="Arjun Rao"/>
    <s v="Male"/>
    <s v="25/10/1987"/>
    <s v="Ahmedabad"/>
    <x v="2"/>
    <x v="2"/>
    <s v="Mixer"/>
    <n v="4"/>
    <n v="3500"/>
    <n v="0"/>
    <x v="310"/>
    <n v="2"/>
    <s v="UPI"/>
    <s v="Ritika"/>
    <s v="amit.sharma@company.com"/>
    <s v="9734229772"/>
    <s v="Cancelled"/>
  </r>
  <r>
    <s v="ORD10442"/>
    <s v="C007"/>
    <s v="P201"/>
    <x v="39"/>
    <s v="05/06/2025"/>
    <s v="Arjun Rao"/>
    <s v="Male"/>
    <s v="09/11/1983"/>
    <s v="Jaipur"/>
    <x v="1"/>
    <x v="2"/>
    <s v="Mixer"/>
    <n v="9"/>
    <n v="3500"/>
    <n v="5"/>
    <x v="223"/>
    <n v="3"/>
    <s v="Card"/>
    <s v="Aisha"/>
    <s v="arjun.rao@company.com"/>
    <s v="9791617906"/>
    <s v="Completed"/>
  </r>
  <r>
    <s v="ORD10443"/>
    <s v="C003"/>
    <s v="P301"/>
    <x v="108"/>
    <s v="03/06/2025"/>
    <s v="Amit Sharma"/>
    <s v="Male"/>
    <s v="28/12/1983"/>
    <s v="Mumbai"/>
    <x v="2"/>
    <x v="0"/>
    <s v="Notebook"/>
    <n v="9"/>
    <n v="60"/>
    <n v="0"/>
    <x v="311"/>
    <n v="3"/>
    <s v="UPI"/>
    <s v="Ritika"/>
    <s v="rohit.singh@company.com"/>
    <s v="9286316823"/>
    <s v="Pending"/>
  </r>
  <r>
    <s v="ORD10444"/>
    <s v="C004"/>
    <s v="P103"/>
    <x v="294"/>
    <s v="03/05/2025"/>
    <s v="Arjun Rao"/>
    <s v="Female"/>
    <s v="15/09/1992"/>
    <s v="Ahmedabad"/>
    <x v="1"/>
    <x v="0"/>
    <s v="Keyboard"/>
    <n v="4"/>
    <n v="1200"/>
    <n v="0"/>
    <x v="172"/>
    <n v="1"/>
    <s v="NetBanking"/>
    <s v="Aisha"/>
    <s v="anita.gupta@company.com"/>
    <s v="9810569252"/>
    <s v="Completed"/>
  </r>
  <r>
    <s v="ORD10445"/>
    <s v="C010"/>
    <s v="P101"/>
    <x v="257"/>
    <s v="13/02/2025"/>
    <s v="Rohit Singh"/>
    <s v="Female"/>
    <s v="09/08/1999"/>
    <s v="Hyderabad"/>
    <x v="2"/>
    <x v="2"/>
    <s v="Laptop"/>
    <n v="10"/>
    <n v="55000"/>
    <n v="5"/>
    <x v="111"/>
    <n v="5"/>
    <s v="UPI"/>
    <s v="Neha"/>
    <s v="pooja.shah@company.com"/>
    <s v="9771745925"/>
    <s v="Completed"/>
  </r>
  <r>
    <s v="ORD10446"/>
    <s v="C005"/>
    <s v="P303"/>
    <x v="295"/>
    <s v="06/07/2025"/>
    <s v="Anita Gupta"/>
    <s v="Male"/>
    <s v="27/02/1990"/>
    <s v="Hyderabad"/>
    <x v="2"/>
    <x v="1"/>
    <s v="Marker"/>
    <n v="20"/>
    <n v="45"/>
    <n v="15"/>
    <x v="253"/>
    <n v="2"/>
    <s v="Card"/>
    <s v="Ritika"/>
    <s v="vikas.mehta@company.com"/>
    <s v="9820683063"/>
    <s v="Cancelled"/>
  </r>
  <r>
    <s v="ORD10447"/>
    <s v="C008"/>
    <s v="P302"/>
    <x v="296"/>
    <s v="22/02/2026"/>
    <s v="Pooja Shah"/>
    <s v="Female"/>
    <s v="27/03/1994"/>
    <s v="Mumbai"/>
    <x v="0"/>
    <x v="1"/>
    <s v="Pen"/>
    <n v="9"/>
    <n v="20"/>
    <n v="20"/>
    <x v="266"/>
    <n v="3"/>
    <s v="Card"/>
    <s v="Aisha"/>
    <s v="KAvya.nair@company.com"/>
    <s v="9292891941"/>
    <s v="Completed"/>
  </r>
  <r>
    <s v="ORD10448"/>
    <s v="C008"/>
    <s v="P101"/>
    <x v="297"/>
    <s v="14/03/2025"/>
    <s v="Vikas Mehta"/>
    <s v="Female"/>
    <s v="11/06/1980"/>
    <s v="Pune"/>
    <x v="0"/>
    <x v="2"/>
    <s v="Laptop"/>
    <n v="8"/>
    <n v="55000"/>
    <n v="0"/>
    <x v="208"/>
    <n v="4"/>
    <s v="Cash"/>
    <s v="Neha"/>
    <s v="KAvya.nair@company.com"/>
    <s v="9413789556"/>
    <s v="Completed"/>
  </r>
  <r>
    <s v="ORD10449"/>
    <s v="C001"/>
    <s v="P103"/>
    <x v="298"/>
    <s v="28/04/2026"/>
    <s v="Kavya Nair"/>
    <s v="Male"/>
    <s v="10/06/2000"/>
    <s v="Ahmedabad"/>
    <x v="2"/>
    <x v="2"/>
    <s v="Keyboard"/>
    <n v="4"/>
    <n v="1200"/>
    <n v="10"/>
    <x v="312"/>
    <n v="4"/>
    <s v="UPI"/>
    <s v="Ritika"/>
    <s v="amit.sharma@company.com"/>
    <s v="98765"/>
    <s v="Cancelled"/>
  </r>
  <r>
    <s v="ORD10450"/>
    <s v="C001"/>
    <s v="P203"/>
    <x v="130"/>
    <s v="13/05/2026"/>
    <s v="Kavya Nair"/>
    <s v="Male"/>
    <s v="21/04/1998"/>
    <s v="Kolkata"/>
    <x v="2"/>
    <x v="1"/>
    <s v="Microwave"/>
    <n v="14"/>
    <n v="8500"/>
    <n v="10"/>
    <x v="313"/>
    <n v="4"/>
    <s v="Cash"/>
    <s v="Ritika"/>
    <s v="amit.sharma@company.com"/>
    <s v="9211936331"/>
    <s v="Completed"/>
  </r>
  <r>
    <s v="ORD10451"/>
    <s v="C009"/>
    <s v="P303"/>
    <x v="108"/>
    <s v="07/06/2025"/>
    <s v="Amit Sharma"/>
    <s v="Male"/>
    <s v="10/05/1984"/>
    <s v="Hyderabad"/>
    <x v="2"/>
    <x v="1"/>
    <s v="Marker"/>
    <n v="1"/>
    <n v="45"/>
    <n v="0"/>
    <x v="314"/>
    <n v="3"/>
    <s v="UPI"/>
    <s v="Karan"/>
    <s v="mohit.verma@company.com"/>
    <s v="9167291747"/>
    <s v="Cancelled"/>
  </r>
  <r>
    <s v="ORD10452"/>
    <s v="C009"/>
    <s v="P101"/>
    <x v="299"/>
    <s v="28/02/2025"/>
    <s v="Amit Sharma"/>
    <s v="Male"/>
    <s v="07/10/1986"/>
    <s v="Delhi"/>
    <x v="3"/>
    <x v="0"/>
    <s v="Laptop"/>
    <n v="16"/>
    <n v="55000"/>
    <n v="15"/>
    <x v="315"/>
    <n v="1"/>
    <s v="Card"/>
    <s v="Karan"/>
    <s v="mohit.verma@company.com"/>
    <s v="9637283597"/>
    <s v="Cancelled"/>
  </r>
  <r>
    <s v="ORD10453"/>
    <s v="C010"/>
    <s v="P102"/>
    <x v="300"/>
    <s v="29/03/2026"/>
    <s v="Mohit Verma"/>
    <s v="Female"/>
    <s v="01/11/2003"/>
    <s v="Ahmedabad"/>
    <x v="0"/>
    <x v="2"/>
    <s v="Mouse"/>
    <n v="8"/>
    <n v="700"/>
    <n v="0"/>
    <x v="19"/>
    <n v="3"/>
    <s v="Cash"/>
    <s v="Rahul"/>
    <s v="pooja.shah@company.com"/>
    <s v="9514269002"/>
    <s v="Completed"/>
  </r>
  <r>
    <s v="ORD10454"/>
    <s v="C006"/>
    <s v="P103"/>
    <x v="301"/>
    <s v="13/04/2026"/>
    <s v="Mohit Verma"/>
    <s v="Female"/>
    <s v="10/06/2003"/>
    <s v="Ahmedabad"/>
    <x v="1"/>
    <x v="1"/>
    <s v="Keyboard"/>
    <n v="3"/>
    <n v="1200"/>
    <n v="0"/>
    <x v="316"/>
    <n v="1"/>
    <s v="Card"/>
    <s v="Rahul"/>
    <s v="sneha.joshi@company.com"/>
    <s v="9778908233"/>
    <s v="Cancelled"/>
  </r>
  <r>
    <s v="ORD10455"/>
    <s v="C009"/>
    <s v="P201"/>
    <x v="302"/>
    <s v="26/02/2025"/>
    <s v="Pooja Shah"/>
    <s v="Male"/>
    <s v="27/03/1990"/>
    <s v="Kolkata"/>
    <x v="2"/>
    <x v="1"/>
    <s v="Mixer"/>
    <n v="7"/>
    <n v="3500"/>
    <n v="15"/>
    <x v="63"/>
    <n v="4"/>
    <s v="Card"/>
    <s v="Aisha"/>
    <s v="mohit.verma@company.com"/>
    <s v="9981118755"/>
    <s v="Pending"/>
  </r>
  <r>
    <s v="ORD10456"/>
    <s v="C010"/>
    <s v="P101"/>
    <x v="303"/>
    <s v="04/04/2026"/>
    <s v="Sneha Joshi"/>
    <s v="Female"/>
    <s v="28/05/2003"/>
    <s v="Pune"/>
    <x v="2"/>
    <x v="1"/>
    <s v="Laptop"/>
    <n v="9"/>
    <n v="55000"/>
    <n v="15"/>
    <x v="317"/>
    <n v="3"/>
    <s v="UPI"/>
    <s v="Ritika"/>
    <s v="pooja.shah@company.com"/>
    <s v="9887896743"/>
    <s v="Cancelled"/>
  </r>
  <r>
    <s v="ORD10457"/>
    <s v="C001"/>
    <s v="P104"/>
    <x v="17"/>
    <s v="02/12/2025"/>
    <s v="Mohit Verma"/>
    <s v="Male"/>
    <s v="06/02/1993"/>
    <s v="Bengaluru"/>
    <x v="3"/>
    <x v="0"/>
    <s v="Monitor"/>
    <n v="12"/>
    <n v="12000"/>
    <n v="0"/>
    <x v="250"/>
    <n v="3"/>
    <s v="Card"/>
    <s v="Karan"/>
    <s v="amit.sharma@company.com"/>
    <s v="9585330043"/>
    <s v="Cancelled"/>
  </r>
  <r>
    <s v="ORD10458"/>
    <s v="C002"/>
    <s v="P301"/>
    <x v="304"/>
    <s v="11/05/2025"/>
    <s v="Pooja Shah"/>
    <s v="Female"/>
    <s v="02/09/1975"/>
    <s v="Ahmedabad"/>
    <x v="2"/>
    <x v="1"/>
    <s v="Notebook"/>
    <n v="7"/>
    <n v="60"/>
    <n v="10"/>
    <x v="318"/>
    <n v="4"/>
    <s v="Cash"/>
    <s v="Rahul"/>
    <s v="priYa.patel@company.com"/>
    <s v="9423719975"/>
    <s v="Cancelled"/>
  </r>
  <r>
    <s v="ORD10459"/>
    <s v="C005"/>
    <s v="P202"/>
    <x v="305"/>
    <s v="31/08/2025"/>
    <s v="Amit Sharma"/>
    <s v="Male"/>
    <s v="09/09/1994"/>
    <s v="Mumbai"/>
    <x v="0"/>
    <x v="1"/>
    <s v="Iron"/>
    <n v="17"/>
    <n v="2200"/>
    <n v="15"/>
    <x v="319"/>
    <n v="3"/>
    <s v="UPI"/>
    <s v="Karan"/>
    <s v="vikas.mehta@company.com"/>
    <s v="9270746961"/>
    <s v="Pending"/>
  </r>
  <r>
    <s v="ORD10460"/>
    <s v="C001"/>
    <s v="P102"/>
    <x v="45"/>
    <s v="06/12/2025"/>
    <s v="Priya Patel"/>
    <s v="Male"/>
    <s v="07/10/1992"/>
    <s v="Bengaluru"/>
    <x v="2"/>
    <x v="2"/>
    <s v="Mouse"/>
    <n v="17"/>
    <n v="700"/>
    <n v="10"/>
    <x v="165"/>
    <n v="2"/>
    <s v="Cash"/>
    <s v="Aisha"/>
    <s v="amit.sharma@company.com"/>
    <s v="9333162025"/>
    <s v="Pending"/>
  </r>
  <r>
    <s v="ORD10461"/>
    <s v="C001"/>
    <s v="P101"/>
    <x v="306"/>
    <s v="01/06/2025"/>
    <s v="Vikas Mehta"/>
    <s v="Male"/>
    <s v="17/07/2002"/>
    <s v="Delhi"/>
    <x v="2"/>
    <x v="0"/>
    <s v="Laptop"/>
    <n v="19"/>
    <n v="55000"/>
    <n v="20"/>
    <x v="320"/>
    <n v="5"/>
    <s v="NetBanking"/>
    <s v="Aisha"/>
    <s v="amit.sharma@company.com"/>
    <s v="9247023285"/>
    <s v="Completed"/>
  </r>
  <r>
    <s v="ORD10462"/>
    <s v="C003"/>
    <s v="P301"/>
    <x v="307"/>
    <s v="19/09/2025"/>
    <s v="Amit Sharma"/>
    <s v="Male"/>
    <s v="03/02/2001"/>
    <s v="Delhi"/>
    <x v="0"/>
    <x v="1"/>
    <s v="Notebook"/>
    <n v="1"/>
    <n v="60"/>
    <n v="10"/>
    <x v="292"/>
    <n v="4"/>
    <s v="NetBanking"/>
    <s v="Not assigned"/>
    <s v="rohit.singh@company.com"/>
    <s v="9448658297"/>
    <s v="Cancelled"/>
  </r>
  <r>
    <s v="ORD10463"/>
    <s v="C009"/>
    <s v="P201"/>
    <x v="308"/>
    <s v="11/03/2026"/>
    <s v="Amit Sharma"/>
    <s v="Male"/>
    <s v="23/06/1990"/>
    <s v="Hyderabad"/>
    <x v="1"/>
    <x v="1"/>
    <s v="Mixer"/>
    <n v="16"/>
    <n v="3500"/>
    <n v="0"/>
    <x v="81"/>
    <n v="4"/>
    <s v="NetBanking"/>
    <s v="Ritika"/>
    <s v="mohit.verma@company.com"/>
    <s v="9906748486"/>
    <s v="Pending"/>
  </r>
  <r>
    <s v="ORD10464"/>
    <s v="C003"/>
    <s v="P302"/>
    <x v="260"/>
    <s v="05/02/2025"/>
    <s v="Rohit Singh"/>
    <s v="Male"/>
    <s v="13/05/1978"/>
    <s v="Pune"/>
    <x v="1"/>
    <x v="2"/>
    <s v="Pen"/>
    <n v="14"/>
    <n v="20"/>
    <n v="10"/>
    <x v="321"/>
    <n v="1"/>
    <s v="NetBanking"/>
    <s v="Aisha"/>
    <s v="rohit.singh@company.com"/>
    <s v="9365182725"/>
    <s v="Pending"/>
  </r>
  <r>
    <s v="ORD10465"/>
    <s v="C009"/>
    <s v="P202"/>
    <x v="67"/>
    <s v="14/12/2025"/>
    <s v="Mohit Verma"/>
    <s v="Male"/>
    <s v="22/07/2000"/>
    <s v="Bengaluru"/>
    <x v="0"/>
    <x v="0"/>
    <s v="Iron"/>
    <n v="11"/>
    <n v="2200"/>
    <n v="15"/>
    <x v="280"/>
    <n v="4"/>
    <s v="NetBanking"/>
    <s v="Rahul"/>
    <s v="mohit.verma@company.com"/>
    <s v="9937119494"/>
    <s v="Cancelled"/>
  </r>
  <r>
    <s v="ORD10466"/>
    <s v="C007"/>
    <s v="P101"/>
    <x v="309"/>
    <s v="09/08/2025"/>
    <s v="Rohit Singh"/>
    <s v="Male"/>
    <s v="20/03/1985"/>
    <s v="Jaipur"/>
    <x v="2"/>
    <x v="2"/>
    <s v="Laptop"/>
    <n v="2"/>
    <n v="55000"/>
    <n v="0"/>
    <x v="322"/>
    <n v="4"/>
    <s v="NetBanking"/>
    <s v="Rahul"/>
    <s v="arjun.rao@company.com"/>
    <s v="9828015293"/>
    <s v="Cancelled"/>
  </r>
  <r>
    <s v="ORD10467"/>
    <s v="C010"/>
    <s v="P202"/>
    <x v="75"/>
    <s v="07/01/2025"/>
    <s v="Mohit Verma"/>
    <s v="Female"/>
    <s v="08/02/1988"/>
    <s v="Pune"/>
    <x v="0"/>
    <x v="0"/>
    <s v="Iron"/>
    <n v="7"/>
    <n v="2200"/>
    <n v="5"/>
    <x v="202"/>
    <n v="4"/>
    <s v="Card"/>
    <s v="Neha"/>
    <s v="pooja.shah@company.com"/>
    <s v="9864206250"/>
    <s v="Cancelled"/>
  </r>
  <r>
    <s v="ORD10468"/>
    <s v="C008"/>
    <s v="P303"/>
    <x v="310"/>
    <s v="12/04/2025"/>
    <s v="Arjun Rao"/>
    <s v="Female"/>
    <s v="26/04/1997"/>
    <s v="Ahmedabad"/>
    <x v="1"/>
    <x v="1"/>
    <s v="Marker"/>
    <n v="11"/>
    <n v="45"/>
    <n v="15"/>
    <x v="323"/>
    <n v="4"/>
    <s v="Card"/>
    <s v="Aisha"/>
    <s v="KAvya.nair@company.com"/>
    <s v="9519293104"/>
    <s v="Pending"/>
  </r>
  <r>
    <s v="ORD10469"/>
    <s v="C002"/>
    <s v="P301"/>
    <x v="180"/>
    <s v="30/04/2025"/>
    <s v="Pooja Shah"/>
    <s v="Female"/>
    <s v="22/05/2001"/>
    <s v="Mumbai"/>
    <x v="2"/>
    <x v="0"/>
    <s v="Notebook"/>
    <n v="16"/>
    <n v="60"/>
    <n v="5"/>
    <x v="149"/>
    <n v="2"/>
    <s v="Cash"/>
    <s v="Neha"/>
    <s v="priYa.patel@company.com"/>
    <s v="9296075245"/>
    <s v="Cancelled"/>
  </r>
  <r>
    <s v="ORD10470"/>
    <s v="C001"/>
    <s v="P101"/>
    <x v="311"/>
    <s v="04/11/2025"/>
    <s v="Kavya Nair"/>
    <s v="Male"/>
    <s v="19/06/1982"/>
    <s v="Pune"/>
    <x v="2"/>
    <x v="2"/>
    <s v="Laptop"/>
    <n v="18"/>
    <n v="55000"/>
    <n v="0"/>
    <x v="142"/>
    <n v="5"/>
    <s v="NetBanking"/>
    <s v="Rahul"/>
    <s v="amit.sharma@company.com"/>
    <s v="9316770206"/>
    <s v="Pending"/>
  </r>
  <r>
    <s v="ORD10471"/>
    <s v="C008"/>
    <s v="P103"/>
    <x v="312"/>
    <s v="22/10/2025"/>
    <s v="Priya Patel"/>
    <s v="Female"/>
    <s v="23/06/1999"/>
    <s v="Bengaluru"/>
    <x v="2"/>
    <x v="2"/>
    <s v="Keyboard"/>
    <n v="17"/>
    <n v="1200"/>
    <n v="5"/>
    <x v="324"/>
    <n v="1"/>
    <s v="NetBanking"/>
    <s v="Ritika"/>
    <s v="KAvya.nair@company.com"/>
    <s v="9706553861"/>
    <s v="Pending"/>
  </r>
  <r>
    <s v="ORD10472"/>
    <s v="C010"/>
    <s v="P101"/>
    <x v="1"/>
    <s v="05/05/2025"/>
    <s v="Amit Sharma"/>
    <s v="Female"/>
    <s v="02/02/2001"/>
    <s v="Pune"/>
    <x v="2"/>
    <x v="1"/>
    <s v="Laptop"/>
    <n v="11"/>
    <n v="55000"/>
    <n v="0"/>
    <x v="325"/>
    <n v="2"/>
    <s v="Cash"/>
    <s v="Aisha"/>
    <s v="pooja.shah@company.com"/>
    <s v="9524904662"/>
    <s v="Pending"/>
  </r>
  <r>
    <s v="ORD10473"/>
    <s v="C006"/>
    <s v="P102"/>
    <x v="25"/>
    <s v="31/05/2025"/>
    <s v="Kavya Nair"/>
    <s v="Female"/>
    <s v="09/02/1999"/>
    <s v="Delhi"/>
    <x v="0"/>
    <x v="1"/>
    <s v="Mouse"/>
    <n v="20"/>
    <n v="700"/>
    <n v="20"/>
    <x v="187"/>
    <n v="5"/>
    <s v="NetBanking"/>
    <s v="Aisha"/>
    <s v="sneha.joshi@company.com"/>
    <s v="9577624596"/>
    <s v="Completed"/>
  </r>
  <r>
    <s v="ORD10474"/>
    <s v="C009"/>
    <s v="P302"/>
    <x v="313"/>
    <s v="08/02/2026"/>
    <s v="Pooja Shah"/>
    <s v="Male"/>
    <s v="06/05/1988"/>
    <s v="Delhi"/>
    <x v="2"/>
    <x v="1"/>
    <s v="Pen"/>
    <n v="5"/>
    <n v="20"/>
    <n v="5"/>
    <x v="213"/>
    <n v="4"/>
    <s v="Cash"/>
    <s v="Rahul"/>
    <s v="mohit.verma@company.com"/>
    <s v="9898452436"/>
    <s v="Cancelled"/>
  </r>
  <r>
    <s v="ORD10475"/>
    <s v="C001"/>
    <s v="P101"/>
    <x v="121"/>
    <s v="11/02/2025"/>
    <s v="Sneha Joshi"/>
    <s v="Male"/>
    <s v="12/02/1975"/>
    <s v="Mumbai"/>
    <x v="1"/>
    <x v="1"/>
    <s v="Laptop"/>
    <n v="13"/>
    <n v="55000"/>
    <n v="5"/>
    <x v="177"/>
    <n v="1"/>
    <s v="NetBanking"/>
    <s v="Rahul"/>
    <s v="amit.sharma@company.com"/>
    <s v="9960757012"/>
    <s v="Pending"/>
  </r>
  <r>
    <s v="ORD10476"/>
    <s v="C003"/>
    <s v="P101"/>
    <x v="21"/>
    <s v="20/04/2025"/>
    <s v="Mohit Verma"/>
    <s v="Male"/>
    <s v="01/01/2004"/>
    <s v="Kolkata"/>
    <x v="1"/>
    <x v="2"/>
    <s v="Laptop"/>
    <n v="12"/>
    <n v="55000"/>
    <n v="5"/>
    <x v="51"/>
    <n v="1"/>
    <s v="NetBanking"/>
    <s v="Neha"/>
    <s v="rohit.singh@company.com"/>
    <s v="9331268182"/>
    <s v="Cancelled"/>
  </r>
  <r>
    <s v="ORD10477"/>
    <s v="C010"/>
    <s v="P303"/>
    <x v="314"/>
    <s v="28/01/2025"/>
    <s v="Amit Sharma"/>
    <s v="Female"/>
    <s v="23/08/2001"/>
    <s v="Mumbai"/>
    <x v="2"/>
    <x v="1"/>
    <s v="Marker"/>
    <n v="16"/>
    <n v="45"/>
    <n v="20"/>
    <x v="326"/>
    <n v="2"/>
    <s v="Cash"/>
    <s v="Rahul"/>
    <s v="pooja.shah@company.com"/>
    <s v="9135996862"/>
    <s v="Pending"/>
  </r>
  <r>
    <s v="ORD10478"/>
    <s v="C008"/>
    <s v="P103"/>
    <x v="0"/>
    <s v="27/09/2025"/>
    <s v="Rohit Singh"/>
    <s v="Female"/>
    <s v="23/01/1998"/>
    <s v="Bengaluru"/>
    <x v="3"/>
    <x v="1"/>
    <s v="Keyboard"/>
    <n v="5"/>
    <n v="1200"/>
    <n v="10"/>
    <x v="327"/>
    <n v="1"/>
    <s v="Cash"/>
    <s v="Not assigned"/>
    <s v="KAvya.nair@company.com"/>
    <s v="9540813143"/>
    <s v="Completed"/>
  </r>
  <r>
    <s v="ORD10479"/>
    <s v="C004"/>
    <s v="P303"/>
    <x v="315"/>
    <s v="20/10/2025"/>
    <s v="Pooja Shah"/>
    <s v="Female"/>
    <s v="28/05/2004"/>
    <s v="Kolkata"/>
    <x v="2"/>
    <x v="2"/>
    <s v="Marker"/>
    <n v="2"/>
    <n v="45"/>
    <n v="10"/>
    <x v="328"/>
    <n v="4"/>
    <s v="UPI"/>
    <s v="Rahul"/>
    <s v="anita.gupta@company.com"/>
    <s v="9910913552"/>
    <s v="Pending"/>
  </r>
  <r>
    <s v="ORD10480"/>
    <s v="C003"/>
    <s v="P104"/>
    <x v="316"/>
    <s v="18/01/2026"/>
    <s v="Kavya Nair"/>
    <s v="Male"/>
    <s v="06/03/1985"/>
    <s v="Ahmedabad"/>
    <x v="0"/>
    <x v="1"/>
    <s v="Monitor"/>
    <n v="3"/>
    <n v="12000"/>
    <n v="0"/>
    <x v="329"/>
    <n v="2"/>
    <s v="UPI"/>
    <s v="Karan"/>
    <s v="rohit.singh@company.com"/>
    <s v="9282751683"/>
    <s v="Pending"/>
  </r>
  <r>
    <s v="ORD10481"/>
    <s v="C008"/>
    <s v="P104"/>
    <x v="317"/>
    <s v="01/02/2025"/>
    <s v="Anita Gupta"/>
    <s v="Female"/>
    <s v="06/09/1986"/>
    <s v="Bengaluru"/>
    <x v="3"/>
    <x v="2"/>
    <s v="Monitor"/>
    <n v="3"/>
    <n v="12000"/>
    <n v="20"/>
    <x v="330"/>
    <n v="3"/>
    <s v="UPI"/>
    <s v="Neha"/>
    <s v="KAvya.nair@company.com"/>
    <s v="9939332058"/>
    <s v="Completed"/>
  </r>
  <r>
    <s v="ORD10482"/>
    <s v="C003"/>
    <s v="P203"/>
    <x v="318"/>
    <s v="08/04/2026"/>
    <s v="Rohit Singh"/>
    <s v="Male"/>
    <s v="21/08/1981"/>
    <s v="Kolkata"/>
    <x v="2"/>
    <x v="1"/>
    <s v="Microwave"/>
    <n v="9"/>
    <n v="8500"/>
    <n v="15"/>
    <x v="331"/>
    <n v="5"/>
    <s v="Cash"/>
    <s v="Rahul"/>
    <s v="rohit.singh@company.com"/>
    <s v="9780626473"/>
    <s v="Pending"/>
  </r>
  <r>
    <s v="ORD10483"/>
    <s v="C009"/>
    <s v="P102"/>
    <x v="319"/>
    <s v="06/07/2025"/>
    <s v="Kavya Nair"/>
    <s v="Male"/>
    <s v="23/04/1992"/>
    <s v="Kolkata"/>
    <x v="0"/>
    <x v="1"/>
    <s v="Mouse"/>
    <n v="17"/>
    <n v="700"/>
    <n v="0"/>
    <x v="332"/>
    <n v="2"/>
    <s v="Cash"/>
    <s v="Aisha"/>
    <s v="mohit.verma@company.com"/>
    <s v="9347298020"/>
    <s v="Cancelled"/>
  </r>
  <r>
    <s v="ORD10484"/>
    <s v="C008"/>
    <s v="P102"/>
    <x v="198"/>
    <s v="18/07/2025"/>
    <s v="Rohit Singh"/>
    <s v="Female"/>
    <s v="03/07/1991"/>
    <s v="Hyderabad"/>
    <x v="3"/>
    <x v="0"/>
    <s v="Mouse"/>
    <n v="20"/>
    <n v="700"/>
    <n v="5"/>
    <x v="333"/>
    <n v="2"/>
    <s v="UPI"/>
    <s v="Ritika"/>
    <s v="KAvya.nair@company.com"/>
    <s v="9345328522"/>
    <s v="Completed"/>
  </r>
  <r>
    <s v="ORD10485"/>
    <s v="C001"/>
    <s v="P103"/>
    <x v="83"/>
    <s v="21/03/2026"/>
    <s v="Mohit Verma"/>
    <s v="Male"/>
    <s v="05/02/1978"/>
    <s v="Ahmedabad"/>
    <x v="3"/>
    <x v="1"/>
    <s v="Keyboard"/>
    <n v="13"/>
    <n v="1200"/>
    <n v="20"/>
    <x v="334"/>
    <n v="5"/>
    <s v="Card"/>
    <s v="Neha"/>
    <s v="amit.sharma@company.com"/>
    <s v="9160310438"/>
    <s v="Completed"/>
  </r>
  <r>
    <s v="ORD10486"/>
    <s v="C002"/>
    <s v="P101"/>
    <x v="320"/>
    <s v="29/03/2026"/>
    <s v="Kavya Nair"/>
    <s v="Female"/>
    <s v="18/07/1999"/>
    <s v="Jaipur"/>
    <x v="0"/>
    <x v="1"/>
    <s v="Laptop"/>
    <n v="20"/>
    <n v="55000"/>
    <n v="10"/>
    <x v="142"/>
    <n v="1"/>
    <s v="UPI"/>
    <s v="Ritika"/>
    <s v="priYa.patel@company.com"/>
    <s v="9343776153"/>
    <s v="Pending"/>
  </r>
  <r>
    <s v="ORD10487"/>
    <s v="C006"/>
    <s v="P103"/>
    <x v="79"/>
    <s v="05/11/2025"/>
    <s v="Amit Sharma"/>
    <s v="Female"/>
    <s v="03/04/1988"/>
    <s v="Kolkata"/>
    <x v="2"/>
    <x v="1"/>
    <s v="Keyboard"/>
    <n v="8"/>
    <n v="1200"/>
    <n v="0"/>
    <x v="74"/>
    <n v="2"/>
    <s v="NetBanking"/>
    <s v="Karan"/>
    <s v="sneha.joshi@company.com"/>
    <s v="9458599727"/>
    <s v="Completed"/>
  </r>
  <r>
    <s v="ORD10488"/>
    <s v="C010"/>
    <s v="P302"/>
    <x v="321"/>
    <s v="09/05/2026"/>
    <s v="Priya Patel"/>
    <s v="Female"/>
    <s v="11/11/1978"/>
    <s v="Kolkata"/>
    <x v="1"/>
    <x v="1"/>
    <s v="Pen"/>
    <n v="18"/>
    <n v="20"/>
    <n v="10"/>
    <x v="335"/>
    <n v="5"/>
    <s v="Card"/>
    <s v="Not assigned"/>
    <s v="pooja.shah@company.com"/>
    <s v="9218660140"/>
    <s v="Pending"/>
  </r>
  <r>
    <s v="ORD10489"/>
    <s v="C004"/>
    <s v="P104"/>
    <x v="322"/>
    <s v="07/03/2025"/>
    <s v="Sneha Joshi"/>
    <s v="Female"/>
    <s v="02/04/1994"/>
    <s v="Pune"/>
    <x v="3"/>
    <x v="1"/>
    <s v="Monitor"/>
    <n v="11"/>
    <n v="12000"/>
    <n v="10"/>
    <x v="336"/>
    <n v="1"/>
    <s v="Card"/>
    <s v="Rahul"/>
    <s v="anita.gupta@company.com"/>
    <s v="9341979199"/>
    <s v="Cancelled"/>
  </r>
  <r>
    <s v="ORD10490"/>
    <s v="C001"/>
    <s v="P203"/>
    <x v="270"/>
    <s v="17/01/2025"/>
    <s v="Pooja Shah"/>
    <s v="Male"/>
    <s v="09/05/1993"/>
    <s v="Hyderabad"/>
    <x v="3"/>
    <x v="2"/>
    <s v="Microwave"/>
    <n v="2"/>
    <n v="8500"/>
    <n v="5"/>
    <x v="337"/>
    <n v="1"/>
    <s v="Card"/>
    <s v="Aisha"/>
    <s v="amit.sharma@company.com"/>
    <s v="9823080381"/>
    <s v="Completed"/>
  </r>
  <r>
    <s v="ORD10491"/>
    <s v="C002"/>
    <s v="P202"/>
    <x v="41"/>
    <s v="08/04/2025"/>
    <s v="Anita Gupta"/>
    <s v="Female"/>
    <s v="11/07/1994"/>
    <s v="Pune"/>
    <x v="2"/>
    <x v="1"/>
    <s v="Iron"/>
    <n v="7"/>
    <n v="2200"/>
    <n v="0"/>
    <x v="155"/>
    <n v="5"/>
    <s v="NetBanking"/>
    <s v="Ritika"/>
    <s v="priYa.patel@company.com"/>
    <s v="9981183477"/>
    <s v="Pending"/>
  </r>
  <r>
    <s v="ORD10492"/>
    <s v="C007"/>
    <s v="P203"/>
    <x v="298"/>
    <s v="02/05/2026"/>
    <s v="Amit Sharma"/>
    <s v="Male"/>
    <s v="19/12/1982"/>
    <s v="Delhi"/>
    <x v="0"/>
    <x v="0"/>
    <s v="Microwave"/>
    <n v="20"/>
    <n v="8500"/>
    <n v="0"/>
    <x v="38"/>
    <n v="3"/>
    <s v="NetBanking"/>
    <s v="Rahul"/>
    <s v="arjun.rao@company.com"/>
    <s v="9281596011"/>
    <s v="Completed"/>
  </r>
  <r>
    <s v="ORD10493"/>
    <s v="C003"/>
    <s v="P103"/>
    <x v="178"/>
    <s v="29/07/2025"/>
    <s v="Priya Patel"/>
    <s v="Male"/>
    <s v="02/11/2001"/>
    <s v="Hyderabad"/>
    <x v="2"/>
    <x v="0"/>
    <s v="Keyboard"/>
    <n v="11"/>
    <n v="1200"/>
    <n v="5"/>
    <x v="118"/>
    <n v="2"/>
    <s v="Cash"/>
    <s v="Ritika"/>
    <s v="rohit.singh@company.com"/>
    <s v="9211734022"/>
    <s v="Pending"/>
  </r>
  <r>
    <s v="ORD10494"/>
    <s v="C007"/>
    <s v="P102"/>
    <x v="323"/>
    <s v="01/08/2025"/>
    <s v="Arjun Rao"/>
    <s v="Male"/>
    <s v="18/10/2001"/>
    <s v="Ahmedabad"/>
    <x v="1"/>
    <x v="0"/>
    <s v="Mouse"/>
    <n v="14"/>
    <n v="700"/>
    <n v="0"/>
    <x v="338"/>
    <n v="2"/>
    <s v="Card"/>
    <s v="Karan"/>
    <s v="arjun.rao@company.com"/>
    <s v="9447151666"/>
    <s v="Cancelled"/>
  </r>
  <r>
    <s v="ORD10495"/>
    <s v="C009"/>
    <s v="P103"/>
    <x v="324"/>
    <s v="01/11/2025"/>
    <s v="Rohit Singh"/>
    <s v="Male"/>
    <s v="21/12/2000"/>
    <s v="Pune"/>
    <x v="0"/>
    <x v="1"/>
    <s v="Keyboard"/>
    <n v="16"/>
    <n v="1200"/>
    <n v="15"/>
    <x v="339"/>
    <n v="4"/>
    <s v="Cash"/>
    <s v="Karan"/>
    <s v="mohit.verma@company.com"/>
    <s v="9345342793"/>
    <s v="Pending"/>
  </r>
  <r>
    <s v="ORD10496"/>
    <s v="C004"/>
    <s v="P202"/>
    <x v="71"/>
    <s v="29/03/2026"/>
    <s v="Arjun Rao"/>
    <s v="Female"/>
    <s v="20/02/1983"/>
    <s v="Jaipur"/>
    <x v="2"/>
    <x v="1"/>
    <s v="Iron"/>
    <n v="20"/>
    <n v="2200"/>
    <n v="0"/>
    <x v="340"/>
    <n v="5"/>
    <s v="Cash"/>
    <s v="Ritika"/>
    <s v="anita.gupta@company.com"/>
    <s v="9329668173"/>
    <s v="Cancelled"/>
  </r>
  <r>
    <s v="ORD10497"/>
    <s v="C007"/>
    <s v="P104"/>
    <x v="322"/>
    <s v="07/03/2025"/>
    <s v="Mohit Verma"/>
    <s v="Male"/>
    <s v="13/06/1988"/>
    <s v="Jaipur"/>
    <x v="2"/>
    <x v="1"/>
    <s v="Monitor"/>
    <n v="12"/>
    <n v="12000"/>
    <n v="15"/>
    <x v="341"/>
    <n v="5"/>
    <s v="Cash"/>
    <s v="Karan"/>
    <s v="arjun.rao@company.com"/>
    <s v="9294740227"/>
    <s v="Completed"/>
  </r>
  <r>
    <s v="ORD10498"/>
    <s v="C005"/>
    <s v="P103"/>
    <x v="95"/>
    <s v="20/12/2025"/>
    <s v="Anita Gupta"/>
    <s v="Male"/>
    <s v="22/07/1992"/>
    <s v="Delhi"/>
    <x v="1"/>
    <x v="0"/>
    <s v="Keyboard"/>
    <n v="3"/>
    <n v="1200"/>
    <n v="20"/>
    <x v="342"/>
    <n v="2"/>
    <s v="NetBanking"/>
    <s v="Neha"/>
    <s v="vikas.mehtacompany.com"/>
    <s v="9549426303"/>
    <s v="Pending"/>
  </r>
  <r>
    <s v="ORD10499"/>
    <s v="C002"/>
    <s v="P101"/>
    <x v="124"/>
    <s v="05/07/2025"/>
    <s v="Arjun Rao"/>
    <s v="Female"/>
    <s v="12/08/1979"/>
    <s v="Mumbai"/>
    <x v="1"/>
    <x v="1"/>
    <s v="Laptop,Mouse"/>
    <n v="6"/>
    <n v="55000"/>
    <n v="20"/>
    <x v="205"/>
    <n v="3"/>
    <s v="Cash"/>
    <s v="Karan"/>
    <s v="priYa.patel@company.com"/>
    <s v="9374249303"/>
    <s v="Completed"/>
  </r>
  <r>
    <s v="ORD10500"/>
    <s v="C002"/>
    <s v="P201"/>
    <x v="325"/>
    <s v="23/09/2025"/>
    <s v="Vikas Mehta"/>
    <s v="Female"/>
    <s v="24/11/1976"/>
    <s v="Bengaluru"/>
    <x v="1"/>
    <x v="1"/>
    <s v="Mixer"/>
    <n v="20"/>
    <n v="3500"/>
    <n v="0"/>
    <x v="343"/>
    <n v="1"/>
    <s v="NetBanking"/>
    <s v="Karan"/>
    <s v="priYa.patel@company.com"/>
    <s v="9810334941"/>
    <s v="Pending"/>
  </r>
  <r>
    <m/>
    <m/>
    <m/>
    <x v="326"/>
    <m/>
    <m/>
    <m/>
    <m/>
    <m/>
    <x v="4"/>
    <x v="4"/>
    <m/>
    <m/>
    <m/>
    <m/>
    <x v="344"/>
    <m/>
    <m/>
    <m/>
    <m/>
    <m/>
    <m/>
  </r>
  <r>
    <m/>
    <m/>
    <m/>
    <x v="326"/>
    <m/>
    <m/>
    <m/>
    <m/>
    <m/>
    <x v="4"/>
    <x v="4"/>
    <m/>
    <m/>
    <m/>
    <m/>
    <x v="344"/>
    <m/>
    <m/>
    <m/>
    <m/>
    <m/>
    <m/>
  </r>
  <r>
    <m/>
    <m/>
    <m/>
    <x v="326"/>
    <m/>
    <m/>
    <m/>
    <m/>
    <m/>
    <x v="4"/>
    <x v="4"/>
    <m/>
    <m/>
    <m/>
    <m/>
    <x v="344"/>
    <m/>
    <m/>
    <m/>
    <m/>
    <m/>
    <m/>
  </r>
</pivotCacheRecords>
</file>

<file path=xl/pivotCache/pivotCacheRecords2.xml><?xml version="1.0" encoding="utf-8"?>
<pivotCacheRecords xmlns="http://schemas.openxmlformats.org/spreadsheetml/2006/main" xmlns:r="http://schemas.openxmlformats.org/officeDocument/2006/relationships" count="498">
  <r>
    <s v="ORD10001"/>
    <s v="C008"/>
    <s v="P202"/>
    <x v="0"/>
    <s v="22/09/2025"/>
    <s v="Kavya Nair"/>
    <s v="Female"/>
    <s v="01/08/1976"/>
    <s v="Hyderabad"/>
    <s v="South"/>
    <s v="Home Appliances"/>
    <s v="Iron"/>
    <n v="4"/>
    <n v="2200"/>
    <n v="20"/>
    <n v="7920"/>
    <n v="4"/>
    <s v="Cash"/>
    <s v="Ritika"/>
    <s v="KAvya.nair@company.com"/>
    <s v="9431429797"/>
    <s v="Completed"/>
    <x v="0"/>
  </r>
  <r>
    <s v="ORD10002"/>
    <s v="C008"/>
    <s v="P104"/>
    <x v="1"/>
    <s v="04/05/2025"/>
    <s v="Kavya Nair"/>
    <s v="Female"/>
    <s v="16/10/2000"/>
    <s v="Delhi"/>
    <s v="North"/>
    <s v="Electronics"/>
    <s v="Monitor"/>
    <n v="17"/>
    <n v="12000"/>
    <n v="10"/>
    <n v="183600"/>
    <n v="1"/>
    <s v="NetBanking"/>
    <s v="Rahul"/>
    <s v="KAvya.nair@company.com"/>
    <s v="9129865339"/>
    <s v="Completed"/>
    <x v="1"/>
  </r>
  <r>
    <s v="ORD10003"/>
    <s v="C010"/>
    <s v="P101"/>
    <x v="2"/>
    <s v="14/09/2025"/>
    <s v="Pooja Shah"/>
    <s v="Female"/>
    <s v="16/09/1994"/>
    <s v="Bengaluru"/>
    <s v="South"/>
    <s v="Electronics"/>
    <s v="Laptop"/>
    <n v="5"/>
    <n v="55000"/>
    <n v="5"/>
    <n v="261250"/>
    <n v="3"/>
    <s v="NetBanking"/>
    <s v="Aisha"/>
    <s v="pooja.shah@company.com"/>
    <s v="9380975626"/>
    <s v="Pending"/>
    <x v="0"/>
  </r>
  <r>
    <s v="ORD10005"/>
    <s v="C009"/>
    <s v="P103"/>
    <x v="3"/>
    <s v="07/10/2025"/>
    <s v="Kavya Nair"/>
    <s v="Male"/>
    <s v="13/04/1976"/>
    <s v="Delhi"/>
    <s v="South"/>
    <s v="Home Appliances"/>
    <s v="Keyboard"/>
    <n v="8"/>
    <n v="1200"/>
    <n v="5"/>
    <n v="9120"/>
    <n v="2"/>
    <s v="Card"/>
    <s v="Aisha"/>
    <s v="mohit.verma@company.com"/>
    <s v="9724635978"/>
    <s v="Pending"/>
    <x v="0"/>
  </r>
  <r>
    <s v="ORD10006"/>
    <s v="C007"/>
    <s v="P202"/>
    <x v="4"/>
    <s v="12/01/2026"/>
    <s v="Mohit Verma"/>
    <s v="Male"/>
    <s v="07/02/1988"/>
    <s v="Hyderabad"/>
    <s v="North"/>
    <s v="Electronics"/>
    <s v="Iron"/>
    <n v="4"/>
    <n v="2200"/>
    <n v="0"/>
    <n v="8800"/>
    <n v="1"/>
    <s v="UPI"/>
    <s v="Ritika"/>
    <s v="arjun.rao@company.com"/>
    <s v="9780584905"/>
    <s v="Completed"/>
    <x v="2"/>
  </r>
  <r>
    <s v="ORD10007"/>
    <s v="C008"/>
    <s v="P201"/>
    <x v="5"/>
    <s v="25/02/2026"/>
    <s v="Arjun Rao"/>
    <s v="Female"/>
    <s v="20/03/2003"/>
    <s v="Hyderabad"/>
    <s v="South"/>
    <s v="Home Appliances"/>
    <s v="Iron"/>
    <n v="2"/>
    <n v="3500"/>
    <n v="5"/>
    <n v="6650"/>
    <n v="1"/>
    <s v="UPI"/>
    <s v="Ritika"/>
    <s v="KAvya.nair@company.com"/>
    <s v="9958252176"/>
    <s v="Completed"/>
    <x v="3"/>
  </r>
  <r>
    <s v="ORD10008"/>
    <s v="C002"/>
    <s v="P104"/>
    <x v="6"/>
    <s v="19/04/2025"/>
    <s v="Kavya Nair"/>
    <s v="Female"/>
    <s v="07/03/1995"/>
    <s v="Mumbai"/>
    <s v="South"/>
    <s v="Home Appliances"/>
    <s v="Monitor"/>
    <n v="14"/>
    <n v="12000"/>
    <n v="15"/>
    <n v="142800"/>
    <n v="4"/>
    <s v="NetBanking"/>
    <s v="Ritika"/>
    <s v="priYa.patel@company.com"/>
    <s v="9705521654"/>
    <s v="Completed"/>
    <x v="1"/>
  </r>
  <r>
    <s v="ORD10009"/>
    <s v="C008"/>
    <s v="P104"/>
    <x v="7"/>
    <s v="02/02/2026"/>
    <s v="Priya Patel"/>
    <s v="Female"/>
    <s v="06/04/1997"/>
    <s v="Pune"/>
    <s v="West"/>
    <s v="Electronics"/>
    <s v="Monitor"/>
    <n v="4"/>
    <n v="12000"/>
    <n v="15"/>
    <n v="40800"/>
    <n v="4"/>
    <s v="UPI"/>
    <s v="Neha"/>
    <s v="KAvya.nair@company.com"/>
    <s v="9588041011"/>
    <s v="Completed"/>
    <x v="2"/>
  </r>
  <r>
    <s v="ORD10010"/>
    <s v="C002"/>
    <s v="P301"/>
    <x v="8"/>
    <s v="27/03/2025"/>
    <s v="Kavya Nair"/>
    <s v="Female"/>
    <s v="07/01/1990"/>
    <s v="Mumbai"/>
    <s v="West"/>
    <s v="Electronics"/>
    <s v="Notebook"/>
    <n v="6"/>
    <n v="60"/>
    <n v="0"/>
    <n v="360"/>
    <n v="4"/>
    <s v="Card"/>
    <s v="Neha"/>
    <s v="priYa.patel@company.com"/>
    <s v="9340540608"/>
    <s v="Completed"/>
    <x v="4"/>
  </r>
  <r>
    <s v="ORD10011"/>
    <s v="C003"/>
    <s v="P202"/>
    <x v="9"/>
    <s v="23/09/2025"/>
    <s v="Priya Patel"/>
    <s v="Male"/>
    <s v="10/05/1982"/>
    <s v="Delhi"/>
    <s v="West"/>
    <s v="Stationery"/>
    <s v="Iron"/>
    <n v="-3"/>
    <n v="2200"/>
    <n v="0"/>
    <n v="35200"/>
    <n v="2"/>
    <s v="Card"/>
    <s v="Rahul"/>
    <s v="rohit.singh@company.com"/>
    <s v="9521710321"/>
    <s v="Pending"/>
    <x v="0"/>
  </r>
  <r>
    <s v="ORD10012"/>
    <s v="C008"/>
    <s v="P201"/>
    <x v="10"/>
    <s v="15/03/2025"/>
    <s v="Rohit Singh"/>
    <s v="Female"/>
    <s v="23/01/1982"/>
    <s v="Ahmedabad"/>
    <s v="North"/>
    <s v="Home Appliances"/>
    <s v="Mixer"/>
    <n v="10"/>
    <n v="3500"/>
    <n v="5"/>
    <n v="33250"/>
    <n v="5"/>
    <s v="Card"/>
    <s v="Aisha"/>
    <s v="KAvya.nair@company.com"/>
    <s v="9123535241"/>
    <s v="Cancelled"/>
    <x v="4"/>
  </r>
  <r>
    <s v="ORD10013"/>
    <s v="C002"/>
    <s v="P202"/>
    <x v="11"/>
    <s v="15/01/2025"/>
    <s v="Kavya Nair"/>
    <s v="Female"/>
    <s v="06/07/1992"/>
    <s v="Pune"/>
    <s v="West"/>
    <s v="Home Appliances"/>
    <s v="Iron"/>
    <n v="15"/>
    <n v="2200"/>
    <n v="10"/>
    <n v="29700"/>
    <n v="1"/>
    <s v="UPI"/>
    <s v="Neha"/>
    <s v="priYa.patel@company.com"/>
    <s v="9367316892"/>
    <s v="Pending"/>
    <x v="2"/>
  </r>
  <r>
    <s v="ORD10014"/>
    <s v="C003"/>
    <s v="P202"/>
    <x v="12"/>
    <s v="13/03/2025"/>
    <s v="Priya Patel"/>
    <s v="Male"/>
    <s v="19/03/2002"/>
    <s v="Mumbai"/>
    <s v="West"/>
    <s v="Home Appliances"/>
    <s v="Iron"/>
    <n v="17"/>
    <n v="2200"/>
    <n v="5"/>
    <n v="35530"/>
    <n v="1"/>
    <s v="Cash"/>
    <s v="Karan"/>
    <s v="rohit.singh@company.com"/>
    <s v="9778489803"/>
    <s v="Completed"/>
    <x v="4"/>
  </r>
  <r>
    <s v="ORD10015"/>
    <s v="C008"/>
    <s v="P201"/>
    <x v="13"/>
    <s v="07/08/2025"/>
    <s v="Rohit Singh"/>
    <s v="Female"/>
    <s v="17/01/2001"/>
    <s v="Mumbai"/>
    <s v="West"/>
    <s v="Home Appliances"/>
    <s v="Mixer"/>
    <n v="15"/>
    <n v="3500"/>
    <n v="15"/>
    <n v="44625"/>
    <n v="2"/>
    <s v="Cash"/>
    <s v="Neha"/>
    <s v="KAvya.nair@company.com"/>
    <s v="9582960180"/>
    <s v="Cancelled"/>
    <x v="5"/>
  </r>
  <r>
    <s v="ORD10016"/>
    <s v="C010"/>
    <s v="P103"/>
    <x v="14"/>
    <s v="11/04/2026"/>
    <s v="Kavya Nair"/>
    <s v="Female"/>
    <s v="11/04/2002"/>
    <s v="Hyderabad"/>
    <s v="West"/>
    <s v="Home Appliances"/>
    <s v="Keyboard"/>
    <n v="3"/>
    <n v="1200"/>
    <n v="5"/>
    <n v="3420"/>
    <n v="5"/>
    <s v="UPI"/>
    <s v="Ritika"/>
    <s v="pooja.shahcompany.com"/>
    <s v="9611394005"/>
    <s v="Completed"/>
    <x v="1"/>
  </r>
  <r>
    <s v="ORD10017"/>
    <s v="C004"/>
    <s v="P203"/>
    <x v="15"/>
    <s v="03/03/2026"/>
    <s v="Pooja Shah"/>
    <s v="Female"/>
    <s v="16/01/2002"/>
    <s v="Pune"/>
    <s v="South"/>
    <s v="Electronics"/>
    <s v="Microwave"/>
    <n v="13"/>
    <n v="8500"/>
    <n v="20"/>
    <n v="88400"/>
    <n v="4"/>
    <s v="Card"/>
    <s v="Rahul"/>
    <s v="anita.gupta@company.com"/>
    <s v="9692599404"/>
    <s v="Pending"/>
    <x v="3"/>
  </r>
  <r>
    <s v="ORD10018"/>
    <s v="C007"/>
    <s v="P203"/>
    <x v="16"/>
    <s v="05/03/2026"/>
    <s v="Amit Sharma"/>
    <s v="Male"/>
    <s v="09/10/1989"/>
    <s v="Ahmedabad"/>
    <s v="West"/>
    <s v="Home Appliances"/>
    <s v="Microwave"/>
    <n v="4"/>
    <n v="8500"/>
    <n v="20"/>
    <n v="27200"/>
    <n v="5"/>
    <s v="Card"/>
    <s v="Aisha"/>
    <s v="arjun.rao@company.com"/>
    <s v="9426119622"/>
    <s v="Pending"/>
    <x v="3"/>
  </r>
  <r>
    <s v="ORD10019"/>
    <s v="C007"/>
    <s v="P102"/>
    <x v="17"/>
    <s v="04/12/2025"/>
    <s v="Arjun Rao"/>
    <s v="Male"/>
    <s v="28/10/1991"/>
    <s v="Mumbai"/>
    <s v="West"/>
    <s v="Home Appliances"/>
    <s v="Mouse"/>
    <n v="9"/>
    <n v="700"/>
    <n v="5"/>
    <n v="5985"/>
    <n v="3"/>
    <s v="UPI"/>
    <s v="Ritika"/>
    <s v="arjun.rao@company.com"/>
    <s v="9184436009"/>
    <s v="Pending"/>
    <x v="6"/>
  </r>
  <r>
    <s v="ORD10020"/>
    <s v="C008"/>
    <s v="P101"/>
    <x v="18"/>
    <s v="03/07/2025"/>
    <s v="Arjun Rao"/>
    <s v="Female"/>
    <s v="01/03/1990"/>
    <s v="Ahmedabad"/>
    <s v="West"/>
    <s v="Electronics"/>
    <s v="Laptop"/>
    <n v="8"/>
    <n v="55000"/>
    <n v="20"/>
    <n v="352000"/>
    <n v="1"/>
    <s v="Cash"/>
    <s v="Karan"/>
    <s v="KAvya.nair@company.com"/>
    <s v="9263774934"/>
    <s v="Completed"/>
    <x v="7"/>
  </r>
  <r>
    <s v="ORD10021"/>
    <s v="C003"/>
    <s v="P102"/>
    <x v="19"/>
    <s v="05/05/2025"/>
    <s v="Kavya Nair"/>
    <s v="Male"/>
    <s v="18/07/2002"/>
    <s v="Delhi"/>
    <s v="West"/>
    <s v="Electronics"/>
    <s v="Mouse"/>
    <n v="10"/>
    <n v="700"/>
    <n v="20"/>
    <n v="5600"/>
    <n v="4"/>
    <s v="Card"/>
    <s v="Aisha"/>
    <s v="rohit.singh@company.com"/>
    <s v="9473159572"/>
    <s v="Cancelled"/>
    <x v="1"/>
  </r>
  <r>
    <s v="ORD10022"/>
    <s v="C008"/>
    <s v="P201"/>
    <x v="20"/>
    <s v="08/01/2025"/>
    <s v="Rohit Singh"/>
    <s v="Female"/>
    <s v="15/12/2004"/>
    <s v="Bengaluru"/>
    <s v="North"/>
    <s v="Electronics"/>
    <s v="Mixer"/>
    <n v="1"/>
    <n v="3500"/>
    <n v="5"/>
    <n v="3325"/>
    <n v="3"/>
    <s v="UPI"/>
    <s v="Neha"/>
    <s v="KAvya.nair@company.com"/>
    <s v="9660493688"/>
    <s v="Cancelled"/>
    <x v="2"/>
  </r>
  <r>
    <s v="ORD10023"/>
    <s v="C002"/>
    <s v="P102"/>
    <x v="21"/>
    <s v="30/04/2025"/>
    <s v="Kavya Nair"/>
    <s v="Female"/>
    <s v="04/07/1984"/>
    <s v="Jaipur"/>
    <s v="South"/>
    <s v="Home Appliances"/>
    <s v="Mouse"/>
    <n v="19"/>
    <n v="700"/>
    <n v="15"/>
    <n v="11305"/>
    <n v="3"/>
    <s v="NetBanking"/>
    <s v="Karan"/>
    <s v="priYa.patel@company.com"/>
    <s v="9513325819"/>
    <s v="Pending"/>
    <x v="1"/>
  </r>
  <r>
    <s v="ORD10024"/>
    <s v="C009"/>
    <s v="P101"/>
    <x v="22"/>
    <s v="01/01/2026"/>
    <s v="Priya Patel"/>
    <s v="Male"/>
    <s v="25/02/1978"/>
    <s v="Bengaluru"/>
    <s v="North"/>
    <s v="Electronics"/>
    <s v="Laptop"/>
    <n v="12"/>
    <n v="55000"/>
    <n v="0"/>
    <n v="660000"/>
    <n v="1"/>
    <s v="Card"/>
    <s v="Rahul"/>
    <s v="mohit.verma@company.com"/>
    <s v="9641063242"/>
    <s v="Pending"/>
    <x v="6"/>
  </r>
  <r>
    <s v="ORD10025"/>
    <s v="C005"/>
    <s v="P302"/>
    <x v="23"/>
    <s v="20/04/2026"/>
    <s v="Mohit Verma"/>
    <s v="Male"/>
    <s v="03/08/1991"/>
    <s v="Mumbai"/>
    <s v="South"/>
    <s v="Electronics"/>
    <s v="Pen"/>
    <n v="1"/>
    <n v="20"/>
    <n v="5"/>
    <n v="19"/>
    <n v="5"/>
    <s v="Card"/>
    <s v="Ritika"/>
    <s v="vikas.mehta@company.com"/>
    <s v="9277372518"/>
    <s v="Cancelled"/>
    <x v="1"/>
  </r>
  <r>
    <s v="ORD10026"/>
    <s v="C007"/>
    <s v="P302"/>
    <x v="24"/>
    <s v="02/07/2025"/>
    <s v="Vikas Mehta"/>
    <s v="Male"/>
    <s v="11/12/1977"/>
    <s v="Mumbai"/>
    <s v="West"/>
    <s v="Stationery"/>
    <s v="Pen"/>
    <n v="2"/>
    <n v="20"/>
    <n v="15"/>
    <n v="34"/>
    <n v="1"/>
    <s v="UPI"/>
    <s v="Ritika"/>
    <s v="arjun.rao@company.com"/>
    <s v="9193154372"/>
    <s v="Pending"/>
    <x v="7"/>
  </r>
  <r>
    <s v="ORD10027"/>
    <s v="C009"/>
    <s v="P201"/>
    <x v="25"/>
    <s v="25/05/2025"/>
    <s v="Arjun Rao"/>
    <s v="Male"/>
    <s v="08/02/1992"/>
    <s v="Ahmedabad"/>
    <s v="West"/>
    <s v="Stationery"/>
    <s v="Mixer"/>
    <n v="12"/>
    <n v="3500"/>
    <n v="15"/>
    <n v="35700"/>
    <n v="4"/>
    <s v="Cash"/>
    <s v="Rahul"/>
    <s v="mohit.verma@company.com"/>
    <s v="9400073244"/>
    <s v="Cancelled"/>
    <x v="8"/>
  </r>
  <r>
    <s v="ORD10028"/>
    <s v="C008"/>
    <s v="P103"/>
    <x v="26"/>
    <s v="20/03/2026"/>
    <s v="Mohit Verma"/>
    <s v="Female"/>
    <s v="05/06/2004"/>
    <s v="Ahmedabad"/>
    <s v="West"/>
    <s v="Home Appliances"/>
    <s v="Keyboard"/>
    <n v="11"/>
    <n v="1200"/>
    <n v="0"/>
    <n v="13200"/>
    <n v="2"/>
    <s v="UPI"/>
    <s v="Karan"/>
    <s v="KAvya.nair@company.com"/>
    <s v="9771556720"/>
    <s v="Completed"/>
    <x v="4"/>
  </r>
  <r>
    <s v="ORD10029"/>
    <s v="C003"/>
    <s v="P203"/>
    <x v="27"/>
    <s v="20/09/2025"/>
    <s v="Kavya Nair"/>
    <s v="Male"/>
    <s v="11/08/2001"/>
    <s v="Pune"/>
    <s v="West"/>
    <s v="Electronics"/>
    <s v="Microwave"/>
    <n v="6"/>
    <n v="8500"/>
    <n v="65"/>
    <n v="51000"/>
    <n v="1"/>
    <s v="Card"/>
    <s v="Aisha"/>
    <s v="rohit.singh@company.com"/>
    <s v="9127480734"/>
    <s v="Completed"/>
    <x v="0"/>
  </r>
  <r>
    <s v="ORD10030"/>
    <s v="C006"/>
    <s v="P301"/>
    <x v="28"/>
    <s v="16/01/2026"/>
    <s v="Rohit Singh"/>
    <s v="Female"/>
    <s v="04/04/1981"/>
    <s v="Pune"/>
    <s v="West"/>
    <s v="Home Appliances"/>
    <s v="Notebook"/>
    <n v="2"/>
    <n v="60"/>
    <n v="5"/>
    <n v="114"/>
    <n v="3"/>
    <s v="Cash"/>
    <s v="Karan"/>
    <s v="sneha.joshi@company.com"/>
    <s v="9512997042"/>
    <s v="Cancelled"/>
    <x v="2"/>
  </r>
  <r>
    <s v="ORD10031"/>
    <s v="C008"/>
    <s v="P303"/>
    <x v="29"/>
    <s v="26/06/2025"/>
    <s v="Sneha Joshi"/>
    <s v="Female"/>
    <s v="02/07/1996"/>
    <s v="Bengaluru"/>
    <s v="West"/>
    <s v="Stationery"/>
    <s v="Marker"/>
    <n v="19"/>
    <n v="45"/>
    <n v="20"/>
    <n v="684"/>
    <n v="4"/>
    <s v="NetBanking"/>
    <s v="Aisha"/>
    <s v="KAvya.nair@company.com"/>
    <s v="9372748661"/>
    <s v="Cancelled"/>
    <x v="7"/>
  </r>
  <r>
    <s v="ORD10032"/>
    <s v="C002"/>
    <s v="P104"/>
    <x v="30"/>
    <s v="13/07/2025"/>
    <s v="Kavya Nair"/>
    <s v="Female"/>
    <s v="15/11/1976"/>
    <s v="Ahmedabad"/>
    <s v="South"/>
    <s v="Stationery"/>
    <s v="Monitor"/>
    <n v="11"/>
    <n v="12000"/>
    <n v="0"/>
    <n v="132000"/>
    <n v="3"/>
    <s v="UPI"/>
    <s v="Ritika"/>
    <s v="priYa.patel@company.com"/>
    <s v="9570437805"/>
    <s v="Pending"/>
    <x v="5"/>
  </r>
  <r>
    <s v="ORD10033"/>
    <s v="C006"/>
    <s v="P202"/>
    <x v="31"/>
    <s v="15/03/2025"/>
    <s v="Priya Patel"/>
    <s v="Female"/>
    <s v="28/10/1988"/>
    <s v="Bengaluru"/>
    <s v="West"/>
    <s v="Electronics"/>
    <s v="Iron"/>
    <n v="20"/>
    <n v="2200"/>
    <n v="5"/>
    <n v="41800"/>
    <n v="1"/>
    <s v="Cash"/>
    <s v="Rahul"/>
    <s v="sneha.joshi@company.com"/>
    <s v="9310669113"/>
    <s v="Pending"/>
    <x v="4"/>
  </r>
  <r>
    <s v="ORD10034"/>
    <s v="C007"/>
    <s v="P302"/>
    <x v="24"/>
    <s v="04/07/2025"/>
    <s v="Sneha Joshi"/>
    <s v="Male"/>
    <s v="23/06/2004"/>
    <s v="Ahmedabad"/>
    <s v="South"/>
    <s v="Home Appliances"/>
    <s v="Pen"/>
    <n v="3"/>
    <n v="20"/>
    <n v="0"/>
    <n v="60"/>
    <n v="2"/>
    <s v="Card"/>
    <s v="Ritika"/>
    <s v="wrongmail"/>
    <s v="9437132894"/>
    <s v="Cancelled"/>
    <x v="7"/>
  </r>
  <r>
    <s v="ORD10035"/>
    <s v="C003"/>
    <s v="P303"/>
    <x v="32"/>
    <s v="19/10/2025"/>
    <s v="Arjun Rao"/>
    <s v="Male"/>
    <s v="22/04/1996"/>
    <s v="Pune"/>
    <s v="West"/>
    <s v="Stationery"/>
    <s v="Marker"/>
    <n v="18"/>
    <n v="45"/>
    <n v="20"/>
    <n v="648"/>
    <n v="4"/>
    <s v="NetBanking"/>
    <s v="Ritika"/>
    <s v="rohit.singh@company.com"/>
    <s v="9762437243"/>
    <s v="Cancelled"/>
    <x v="9"/>
  </r>
  <r>
    <s v="ORD10036"/>
    <s v="C003"/>
    <s v="P103"/>
    <x v="33"/>
    <s v="26/11/2025"/>
    <s v="Rohit Singh"/>
    <s v="Male"/>
    <s v="07/07/1979"/>
    <s v="Bengaluru"/>
    <s v="West"/>
    <s v="Stationery"/>
    <s v="Keyboard"/>
    <n v="4"/>
    <n v="1200"/>
    <n v="20"/>
    <n v="3840"/>
    <n v="3"/>
    <s v="NetBanking"/>
    <s v="Aisha"/>
    <s v="rohit.singh@company.com"/>
    <s v="9149046970"/>
    <s v="Completed"/>
    <x v="10"/>
  </r>
  <r>
    <s v="ORD10037"/>
    <s v="C009"/>
    <s v="P101"/>
    <x v="34"/>
    <s v="14/11/2025"/>
    <s v="Rohit Singh"/>
    <s v="Male"/>
    <s v="27/09/1980"/>
    <s v="Kolkata"/>
    <s v="South"/>
    <s v="Electronics"/>
    <s v="Laptop"/>
    <n v="10"/>
    <n v="55000"/>
    <n v="0"/>
    <n v="550000"/>
    <n v="1"/>
    <s v="UPI"/>
    <s v="Rahul"/>
    <s v="mohit.verma@company.com"/>
    <s v="9869182901"/>
    <s v="Cancelled"/>
    <x v="10"/>
  </r>
  <r>
    <s v="ORD10038"/>
    <s v="C006"/>
    <s v="P201"/>
    <x v="35"/>
    <s v="20/03/2026"/>
    <s v="Mohit Verma"/>
    <s v="Female"/>
    <s v="21/06/1980"/>
    <s v="Delhi"/>
    <s v="East"/>
    <s v="Electronics"/>
    <s v="Mixer"/>
    <n v="20"/>
    <n v="3500"/>
    <n v="10"/>
    <n v="63000"/>
    <n v="3"/>
    <s v="Card"/>
    <s v="Rahul"/>
    <s v="sneha.joshi@company.com"/>
    <s v="9283578533"/>
    <s v="Cancelled"/>
    <x v="4"/>
  </r>
  <r>
    <s v="ORD10039"/>
    <s v="C008"/>
    <s v="P302"/>
    <x v="36"/>
    <s v="19/02/2025"/>
    <s v="Sneha Joshi"/>
    <s v="Female"/>
    <s v="17/06/1979"/>
    <s v="Pune"/>
    <s v="North"/>
    <s v="Home Appliances"/>
    <s v="Pen"/>
    <n v="5"/>
    <s v="1200 "/>
    <n v="0"/>
    <n v="100"/>
    <n v="1"/>
    <s v="Cash"/>
    <s v="Rahul"/>
    <s v="KAvya.nair@company.com"/>
    <s v="9963005771"/>
    <s v="Cancelled"/>
    <x v="3"/>
  </r>
  <r>
    <s v="ORD10040"/>
    <s v="C010"/>
    <s v="P203"/>
    <x v="37"/>
    <s v="15/10/2025"/>
    <s v="Kavya Nair"/>
    <s v="Female"/>
    <s v="18/06/1992"/>
    <s v="Mumbai"/>
    <s v="West"/>
    <s v="Stationery"/>
    <s v="Microwave"/>
    <n v="20"/>
    <n v="8500"/>
    <n v="0"/>
    <n v="170000"/>
    <n v="1"/>
    <s v="UPI"/>
    <s v="Neha"/>
    <s v="pooja.shah@company.com"/>
    <s v="9484632635"/>
    <s v="Cancelled"/>
    <x v="9"/>
  </r>
  <r>
    <s v="ORD10041"/>
    <s v="C007"/>
    <s v="P301"/>
    <x v="38"/>
    <s v="12/02/2026"/>
    <s v="Pooja Shah"/>
    <s v="Male"/>
    <s v="06/06/1994"/>
    <s v="Bengaluru"/>
    <s v="West"/>
    <s v="Home Appliances"/>
    <s v="Notebook"/>
    <n v="8"/>
    <n v="60"/>
    <n v="15"/>
    <n v="408"/>
    <n v="5"/>
    <s v="UPI"/>
    <s v="Rahul"/>
    <s v="arjun.rao@company.com"/>
    <s v="9276319484"/>
    <s v="Pending"/>
    <x v="3"/>
  </r>
  <r>
    <s v="ORD10042"/>
    <s v="C010"/>
    <s v="P201"/>
    <x v="39"/>
    <s v="16/06/2025"/>
    <s v="Arjun Rao"/>
    <s v="Female"/>
    <s v="22/09/1988"/>
    <s v="Pune"/>
    <s v="South"/>
    <s v="Stationery"/>
    <s v="Mixer"/>
    <n v="8"/>
    <n v="3500"/>
    <n v="5"/>
    <n v="26600"/>
    <n v="1"/>
    <s v="Card"/>
    <s v="Neha"/>
    <s v="pooja.shah@company.com"/>
    <s v="9619034852"/>
    <s v="Pending"/>
    <x v="7"/>
  </r>
  <r>
    <s v="ORD10043"/>
    <s v="C009"/>
    <s v="P203"/>
    <x v="40"/>
    <s v="14/02/2026"/>
    <s v="Pooja Shah"/>
    <s v="Male"/>
    <s v="14/07/2001"/>
    <s v="Jaipur"/>
    <s v="West"/>
    <s v="Home Appliances"/>
    <s v="Microwave"/>
    <n v="1"/>
    <n v="8500"/>
    <n v="0"/>
    <n v="8500"/>
    <n v="2"/>
    <s v="Card"/>
    <s v="Neha"/>
    <s v="mohit.verma@company.com"/>
    <s v="9636416962"/>
    <s v="Pending"/>
    <x v="3"/>
  </r>
  <r>
    <s v="ORD10044"/>
    <s v="C001"/>
    <s v="P303"/>
    <x v="41"/>
    <s v="31/03/2025"/>
    <s v="Mohit Verma"/>
    <s v="Male"/>
    <s v="09/08/1991"/>
    <s v="Pune"/>
    <s v="North"/>
    <s v="Home Appliances"/>
    <s v="Marker"/>
    <n v="8"/>
    <n v="45"/>
    <n v="15"/>
    <n v="306"/>
    <n v="2"/>
    <s v="Card"/>
    <s v="Aisha"/>
    <s v="amit.sharma@company.com"/>
    <s v="9357133880"/>
    <s v="Completed"/>
    <x v="4"/>
  </r>
  <r>
    <s v="ORD10045"/>
    <s v="C006"/>
    <s v="P202"/>
    <x v="42"/>
    <s v="28/04/2025"/>
    <s v="Amit Sharma"/>
    <s v="Female"/>
    <s v="21/10/1988"/>
    <s v="Pune"/>
    <s v="West"/>
    <s v="Stationery"/>
    <s v="Iron"/>
    <n v="16"/>
    <n v="2200"/>
    <n v="5"/>
    <n v="33440"/>
    <n v="5"/>
    <s v="Card"/>
    <s v="Aisha"/>
    <s v="sneha.joshi@company.com"/>
    <s v="9575210324"/>
    <s v="Cancelled"/>
    <x v="1"/>
  </r>
  <r>
    <s v="ORD10046"/>
    <s v="C009"/>
    <s v="P201"/>
    <x v="43"/>
    <s v="23/10/2025"/>
    <s v="Sneha Joshi"/>
    <s v="Male"/>
    <s v="19/11/2002"/>
    <s v="Bengaluru"/>
    <s v="West"/>
    <s v="Home Appliances"/>
    <s v="Mixer"/>
    <n v="19"/>
    <n v="3500"/>
    <n v="20"/>
    <n v="53200"/>
    <n v="3"/>
    <s v="Cash"/>
    <s v="Karan"/>
    <s v="mohit.verma@company.com"/>
    <s v="9276080204"/>
    <s v="Cancelled"/>
    <x v="9"/>
  </r>
  <r>
    <s v="ORD10047"/>
    <s v="C006"/>
    <s v="P102"/>
    <x v="44"/>
    <s v="14/10/2025"/>
    <s v="Mohit Verma"/>
    <s v="Female"/>
    <s v="06/07/2000"/>
    <s v="Pune"/>
    <s v="South"/>
    <s v="Home Appliances"/>
    <s v="Mouse"/>
    <n v="15"/>
    <n v="700"/>
    <n v="15"/>
    <n v="8925"/>
    <n v="4"/>
    <s v="UPI"/>
    <s v="Neha"/>
    <s v="sneha.joshicompany.com"/>
    <s v="9856624471"/>
    <s v="Completed"/>
    <x v="9"/>
  </r>
  <r>
    <s v="ORD10048"/>
    <s v="C006"/>
    <s v="P102"/>
    <x v="45"/>
    <s v="03/12/2025"/>
    <s v="Sneha Joshi"/>
    <s v="Female"/>
    <s v="26/11/1998"/>
    <s v="Jaipur"/>
    <s v="West"/>
    <s v="Electronics"/>
    <s v="Mouse"/>
    <n v="19"/>
    <n v="700"/>
    <n v="20"/>
    <n v="10640"/>
    <n v="1"/>
    <s v="Cash"/>
    <s v="Neha"/>
    <s v="sneha.joshi@company.com"/>
    <s v="9238141322"/>
    <s v="Completed"/>
    <x v="10"/>
  </r>
  <r>
    <s v="ORD10049"/>
    <s v="C009"/>
    <s v="P104"/>
    <x v="46"/>
    <s v="Pending"/>
    <s v="Sneha Joshi"/>
    <s v="Male"/>
    <s v="03/06/1996"/>
    <s v="Delhi"/>
    <s v="North"/>
    <s v="Electronics"/>
    <s v="Monitor"/>
    <n v="19"/>
    <n v="12000"/>
    <n v="0"/>
    <n v="228000"/>
    <n v="1"/>
    <s v="NetBanking"/>
    <s v="Aisha"/>
    <s v="mohit.verma@company.com"/>
    <s v="9890380030"/>
    <s v="Completed"/>
    <x v="1"/>
  </r>
  <r>
    <s v="ORD10050"/>
    <s v="C004"/>
    <s v="P103"/>
    <x v="46"/>
    <s v="21/04/2026"/>
    <s v="Mohit Verma"/>
    <s v="Female"/>
    <s v="15/03/1987"/>
    <s v="Pune"/>
    <s v="North"/>
    <s v="Electronics"/>
    <s v="Keyboard"/>
    <n v="6"/>
    <n v="1200"/>
    <n v="5"/>
    <n v="6840"/>
    <n v="2"/>
    <s v="Cash"/>
    <s v="Ritika"/>
    <s v="anita.gupta@company.com"/>
    <s v="9495893170"/>
    <s v="Pending"/>
    <x v="1"/>
  </r>
  <r>
    <s v="ORD10051"/>
    <s v="C010"/>
    <s v="P202"/>
    <x v="47"/>
    <s v="07/04/2025"/>
    <s v="Anita Gupta"/>
    <s v="Female"/>
    <s v="20/02/1979"/>
    <s v="Bengaluru"/>
    <s v="West"/>
    <s v="Electronics"/>
    <s v="Iron"/>
    <n v="7"/>
    <n v="2200"/>
    <n v="15"/>
    <n v="13090"/>
    <n v="1"/>
    <s v="UPI"/>
    <s v="Aisha"/>
    <s v="pooja.shah@company.com"/>
    <s v="9485166307"/>
    <s v="Completed"/>
    <x v="4"/>
  </r>
  <r>
    <s v="ORD10052"/>
    <s v="C002"/>
    <s v="P301"/>
    <x v="48"/>
    <s v="28/08/2025"/>
    <s v="Pooja Shah"/>
    <s v="Female"/>
    <s v="09/08/2000"/>
    <s v="Jaipur"/>
    <s v="South"/>
    <s v="Home Appliances"/>
    <s v="Notebook"/>
    <n v="8"/>
    <n v="60"/>
    <n v="10"/>
    <n v="432"/>
    <n v="5"/>
    <s v="Card"/>
    <s v="Aisha"/>
    <s v="priYa.patel@company.com"/>
    <s v="9924709648"/>
    <s v="Cancelled"/>
    <x v="11"/>
  </r>
  <r>
    <s v="ORD10053"/>
    <s v="C005"/>
    <s v="P101"/>
    <x v="49"/>
    <s v="23/08/2025"/>
    <s v="Priya Patel"/>
    <s v="Male"/>
    <s v="17/01/1976"/>
    <s v="Kolkata"/>
    <s v="North"/>
    <s v="Stationery"/>
    <s v="Laptop"/>
    <n v="12"/>
    <n v="55000"/>
    <n v="5"/>
    <n v="627000"/>
    <n v="2"/>
    <s v="UPI"/>
    <s v="Rahul"/>
    <s v="vikas.mehta@company.com"/>
    <s v="9350554626"/>
    <s v="Pending"/>
    <x v="11"/>
  </r>
  <r>
    <s v="ORD10054"/>
    <s v="C008"/>
    <s v="P102"/>
    <x v="50"/>
    <s v="05/08/2025"/>
    <s v="Vikas Mehta"/>
    <s v="Female"/>
    <s v="04/04/1975"/>
    <s v="Jaipur"/>
    <s v="East"/>
    <s v="Electronics"/>
    <s v="Mouse"/>
    <n v="3"/>
    <n v="700"/>
    <n v="0"/>
    <n v="2100"/>
    <n v="3"/>
    <s v="Card"/>
    <s v="Karan"/>
    <s v="KAvya.nair@company.com"/>
    <s v="9743295580"/>
    <s v="Cancelled"/>
    <x v="5"/>
  </r>
  <r>
    <s v="ORD10055"/>
    <s v="C003"/>
    <s v="P301"/>
    <x v="51"/>
    <s v="26/02/2025"/>
    <s v="Kavya Nair"/>
    <s v="Male"/>
    <s v="11/12/1976"/>
    <s v="Ahmedabad"/>
    <s v="North"/>
    <s v="Electronics"/>
    <s v="Notebook"/>
    <n v="19"/>
    <n v="60"/>
    <n v="15"/>
    <n v="969"/>
    <n v="4"/>
    <s v="Card"/>
    <s v="Rahul"/>
    <s v="rohit.singh@company.com"/>
    <s v="9822926495"/>
    <s v="Cancelled"/>
    <x v="3"/>
  </r>
  <r>
    <s v="ORD10056"/>
    <s v="C001"/>
    <s v="P301"/>
    <x v="52"/>
    <s v="11/08/2025"/>
    <s v="Rohit Singh"/>
    <s v="Male"/>
    <s v="03/12/1979"/>
    <s v="Jaipur"/>
    <s v="West"/>
    <s v="Stationery"/>
    <s v="Notebook"/>
    <n v="9"/>
    <n v="60"/>
    <n v="20"/>
    <n v="432"/>
    <n v="1"/>
    <s v="NetBanking"/>
    <s v="Neha"/>
    <s v="amit.sharma@company.com"/>
    <s v="9518298190"/>
    <s v="Pending"/>
    <x v="11"/>
  </r>
  <r>
    <s v="ORD10057"/>
    <s v="C001"/>
    <s v="P102"/>
    <x v="53"/>
    <s v="30/03/2026"/>
    <s v="Amit Sharma"/>
    <s v="Male"/>
    <s v="27/12/1978"/>
    <s v="Bengaluru"/>
    <s v="North"/>
    <s v="Stationery"/>
    <s v="Mouse"/>
    <n v="6"/>
    <n v="700"/>
    <n v="0"/>
    <n v="4200"/>
    <n v="4"/>
    <s v="UPI"/>
    <s v="Rahul"/>
    <s v="amit.sharmcompany.com"/>
    <s v="9366223547"/>
    <s v="Cancelled"/>
    <x v="4"/>
  </r>
  <r>
    <s v="ORD10058"/>
    <s v="C003"/>
    <s v="P303"/>
    <x v="26"/>
    <s v="19/03/2026"/>
    <s v="Amit Sharma"/>
    <s v="Male"/>
    <s v="15/04/1975"/>
    <s v="Delhi"/>
    <s v="South"/>
    <s v="Electronics"/>
    <s v="Marker"/>
    <n v="18"/>
    <n v="45"/>
    <n v="5"/>
    <n v="769.5"/>
    <n v="1"/>
    <s v="Card"/>
    <s v="Aisha"/>
    <s v="rohit.singh@company.com"/>
    <s v="9701988524"/>
    <s v="Pending"/>
    <x v="4"/>
  </r>
  <r>
    <s v="ORD10059"/>
    <s v="C007"/>
    <s v="P302"/>
    <x v="54"/>
    <s v="26/06/2025"/>
    <s v="Rohit Singh"/>
    <s v="Male"/>
    <s v="19/12/1988"/>
    <s v="Jaipur"/>
    <s v="North"/>
    <s v="Stationery"/>
    <s v="Pen"/>
    <n v="8"/>
    <n v="20"/>
    <n v="5"/>
    <n v="152"/>
    <n v="1"/>
    <s v="Card"/>
    <s v="Ritika"/>
    <s v="arjun.rao@company.com"/>
    <s v="9836327649"/>
    <s v="Completed"/>
    <x v="7"/>
  </r>
  <r>
    <s v="ORD10060"/>
    <s v="C005"/>
    <s v="P102"/>
    <x v="55"/>
    <s v="06/03/2025"/>
    <s v="Arjun Rao"/>
    <s v="Male"/>
    <s v="07/03/1979"/>
    <s v="Jaipur"/>
    <s v="North"/>
    <s v="Stationery"/>
    <s v="Mouse"/>
    <n v="8"/>
    <n v="700"/>
    <n v="10"/>
    <n v="5040"/>
    <n v="1"/>
    <s v="NetBanking"/>
    <s v="Aisha"/>
    <s v="vikas.mehta@company.com"/>
    <s v="9261800516"/>
    <s v="Cancelled"/>
    <x v="4"/>
  </r>
  <r>
    <s v="ORD10061"/>
    <s v="C008"/>
    <s v="P302"/>
    <x v="23"/>
    <s v="19/04/2026"/>
    <s v="Vikas Mehta"/>
    <s v="Female"/>
    <s v="17/12/2003"/>
    <s v="Delhi"/>
    <s v="North"/>
    <s v="Electronics"/>
    <s v="Pen"/>
    <n v="7"/>
    <n v="20"/>
    <n v="15"/>
    <n v="119"/>
    <n v="5"/>
    <s v="Card"/>
    <s v="Rahul"/>
    <s v="KAvya.nair@company.com"/>
    <s v="9950802015"/>
    <s v="Completed"/>
    <x v="1"/>
  </r>
  <r>
    <s v="ORD10062"/>
    <s v="C002"/>
    <s v="P302"/>
    <x v="56"/>
    <s v="25/08/2025"/>
    <s v="Kavya Nair"/>
    <s v="Female"/>
    <s v="05/04/1984"/>
    <s v="Pune"/>
    <s v="North"/>
    <s v="Stationery"/>
    <s v="Pen"/>
    <n v="16"/>
    <n v="20"/>
    <n v="0"/>
    <n v="320"/>
    <n v="5"/>
    <s v="NetBanking"/>
    <s v="Aisha"/>
    <s v="priYa.patel@company.com"/>
    <s v="9595183767"/>
    <s v="Pending"/>
    <x v="11"/>
  </r>
  <r>
    <s v="ORD10063"/>
    <s v="C010"/>
    <s v="P303"/>
    <x v="57"/>
    <s v="20/05/2026"/>
    <s v="Priya Patel"/>
    <s v="Female"/>
    <s v="13/04/1996"/>
    <s v="Mumbai"/>
    <s v="West"/>
    <s v="Stationery"/>
    <s v="Marker"/>
    <n v="15"/>
    <n v="45"/>
    <n v="0"/>
    <n v="675"/>
    <n v="4"/>
    <s v="Cash"/>
    <s v="Aisha"/>
    <s v="pooja.shah@company.com"/>
    <s v="9560201307"/>
    <s v="Cancelled"/>
    <x v="8"/>
  </r>
  <r>
    <s v="ORD10064"/>
    <s v="C006"/>
    <s v="P102"/>
    <x v="58"/>
    <s v="05/03/2025"/>
    <s v="Pooja Shah"/>
    <s v="Female"/>
    <s v="08/09/2003"/>
    <s v="Ahmedabad"/>
    <s v="West"/>
    <s v="Stationery"/>
    <s v="Mouse"/>
    <n v="15"/>
    <n v="700"/>
    <n v="10"/>
    <n v="9450"/>
    <n v="3"/>
    <s v="NetBanking"/>
    <s v="Karan"/>
    <s v="sneha.joshi@company.com"/>
    <s v="9826484650"/>
    <s v="Completed"/>
    <x v="4"/>
  </r>
  <r>
    <s v="ORD10065"/>
    <s v="C010"/>
    <s v="P303"/>
    <x v="59"/>
    <s v="12/02/2025"/>
    <s v="Sneha Joshi"/>
    <s v="Female"/>
    <s v="24/09/1992"/>
    <s v="Kolkata"/>
    <s v="West"/>
    <s v="Electronics"/>
    <s v="Marker"/>
    <n v="3"/>
    <n v="45"/>
    <n v="15"/>
    <n v="114.75"/>
    <n v="2"/>
    <s v="UPI"/>
    <s v="Neha"/>
    <s v="pooja.shah@company.com"/>
    <s v="9219978007"/>
    <s v="Pending"/>
    <x v="3"/>
  </r>
  <r>
    <s v="ORD10066"/>
    <s v="C002"/>
    <s v="P202"/>
    <x v="60"/>
    <s v="10/01/2026"/>
    <s v="Pooja Shah"/>
    <s v="Female"/>
    <s v="19/09/1986"/>
    <s v="Kolkata"/>
    <s v="East"/>
    <s v="Stationery"/>
    <s v="Iron"/>
    <n v="7"/>
    <n v="2200"/>
    <n v="15"/>
    <n v="13090"/>
    <n v="5"/>
    <s v="UPI"/>
    <s v="Neha"/>
    <s v="priYa.patel@company.com"/>
    <s v="9662063276"/>
    <s v="Completed"/>
    <x v="2"/>
  </r>
  <r>
    <s v="ORD10067"/>
    <s v="C008"/>
    <s v="P303"/>
    <x v="61"/>
    <s v="05/09/2025"/>
    <s v="Priya Patel"/>
    <s v="Female"/>
    <s v="28/05/1985"/>
    <s v="Delhi"/>
    <s v="East"/>
    <s v="Home Appliances"/>
    <s v="Marker"/>
    <n v="19"/>
    <n v="45"/>
    <n v="10"/>
    <n v="769.5"/>
    <n v="5"/>
    <s v="Card"/>
    <s v="Neha"/>
    <s v="KAvya.nair@company.com"/>
    <s v="9190393639"/>
    <s v="Cancelled"/>
    <x v="0"/>
  </r>
  <r>
    <s v="ORD10068"/>
    <s v="C006"/>
    <s v="P201"/>
    <x v="62"/>
    <s v="14/02/2026"/>
    <s v="Kavya Nair"/>
    <s v="Female"/>
    <s v="27/08/1979"/>
    <s v="Hyderabad"/>
    <s v="North"/>
    <s v="Stationery"/>
    <s v="Mixer"/>
    <n v="7"/>
    <n v="3500"/>
    <n v="15"/>
    <n v="20825"/>
    <n v="1"/>
    <s v="Cash"/>
    <s v="Karan"/>
    <s v="sneha.joshi@company.com"/>
    <s v="9106328582"/>
    <s v="Pending"/>
    <x v="3"/>
  </r>
  <r>
    <s v="ORD10069"/>
    <s v="C010"/>
    <s v="P203"/>
    <x v="63"/>
    <s v="19/12/2025"/>
    <s v="Sneha Joshi"/>
    <s v="Female"/>
    <s v="22/12/1976"/>
    <s v="Jaipur"/>
    <s v="South"/>
    <s v="Home Appliances"/>
    <s v="Microwave"/>
    <n v="7"/>
    <n v="8500"/>
    <n v="20"/>
    <n v="47600"/>
    <n v="4"/>
    <s v="NetBanking"/>
    <s v="Neha"/>
    <s v="pooja.shah@company.com"/>
    <s v="9264401015"/>
    <s v="Completed"/>
    <x v="6"/>
  </r>
  <r>
    <s v="ORD10070"/>
    <s v="C008"/>
    <s v="P101"/>
    <x v="64"/>
    <s v="10/04/2025"/>
    <s v="Pooja Shah"/>
    <s v="Female"/>
    <s v="05/02/2000"/>
    <s v="Bengaluru"/>
    <s v="North"/>
    <s v="Home Appliances"/>
    <s v="Laptop"/>
    <n v="16"/>
    <n v="55000"/>
    <n v="10"/>
    <n v="792000"/>
    <n v="1"/>
    <s v="Card"/>
    <s v="Aisha"/>
    <s v="KAvya.nair@company.com"/>
    <s v="9959237375"/>
    <s v="Completed"/>
    <x v="1"/>
  </r>
  <r>
    <s v="ORD10071"/>
    <s v="C004"/>
    <s v="P104"/>
    <x v="65"/>
    <s v="03/01/2026"/>
    <s v="Kavya Nair"/>
    <s v="Female"/>
    <s v="24/02/1987"/>
    <s v="Mumbai"/>
    <s v="South"/>
    <s v="Electronics"/>
    <s v="Monitor"/>
    <n v="2"/>
    <n v="12000"/>
    <n v="20"/>
    <n v="19200"/>
    <n v="1"/>
    <s v="Cash"/>
    <s v="Karan"/>
    <s v="anita.gupta@company.com"/>
    <s v="9561836580"/>
    <s v="Pending"/>
    <x v="6"/>
  </r>
  <r>
    <s v="ORD10072"/>
    <s v="C003"/>
    <s v="P303"/>
    <x v="66"/>
    <s v="05/09/2025"/>
    <s v="Anita Gupta"/>
    <s v="Male"/>
    <s v="24/07/1984"/>
    <s v="Bengaluru"/>
    <s v="West"/>
    <s v="Electronics"/>
    <s v="Marker"/>
    <n v="4"/>
    <n v="45"/>
    <n v="5"/>
    <n v="171"/>
    <n v="1"/>
    <s v="Card"/>
    <s v="Rahul"/>
    <s v="rohit.singh@company.com"/>
    <s v="9512666401"/>
    <s v="Pending"/>
    <x v="11"/>
  </r>
  <r>
    <s v="ORD10073"/>
    <s v="C008"/>
    <s v="P103"/>
    <x v="67"/>
    <s v="23/12/2025"/>
    <s v="Rohit Singh"/>
    <s v="Female"/>
    <s v="22/09/1981"/>
    <s v="Jaipur"/>
    <s v="South"/>
    <s v="Stationery"/>
    <s v="Keyboard"/>
    <n v="1"/>
    <n v="1200"/>
    <n v="5"/>
    <n v="1140"/>
    <n v="3"/>
    <s v="UPI"/>
    <s v="Aisha"/>
    <s v="KAvya.nair@company.com"/>
    <s v="9808988530"/>
    <s v="Cancelled"/>
    <x v="6"/>
  </r>
  <r>
    <s v="ORD10074"/>
    <s v="C010"/>
    <s v="P202"/>
    <x v="68"/>
    <s v="16/02/2026"/>
    <s v="Kavya Nair"/>
    <s v="Female"/>
    <s v="20/06/1980"/>
    <m/>
    <s v="North"/>
    <s v="Electronics"/>
    <s v="Iron"/>
    <n v="1"/>
    <n v="2200"/>
    <n v="15"/>
    <n v="1870"/>
    <n v="4"/>
    <s v="Card"/>
    <s v="Aisha"/>
    <s v="pooja.shah@company.com"/>
    <s v="9286410494"/>
    <s v="Completed"/>
    <x v="3"/>
  </r>
  <r>
    <s v="ORD10075"/>
    <s v="C003"/>
    <s v="P103"/>
    <x v="69"/>
    <s v="28/01/2026"/>
    <s v="Pooja Shah"/>
    <s v="Male"/>
    <s v="02/11/1982"/>
    <s v="Pune"/>
    <s v="South"/>
    <s v="Home Appliances"/>
    <s v="Keyboard"/>
    <n v="3"/>
    <n v="1200"/>
    <n v="10"/>
    <n v="3240"/>
    <n v="5"/>
    <s v="Cash"/>
    <s v="Rahul"/>
    <s v="rohit.singh@company.com"/>
    <s v="9311555196"/>
    <s v="Completed"/>
    <x v="2"/>
  </r>
  <r>
    <s v="ORD10076"/>
    <s v="C008"/>
    <s v="P201"/>
    <x v="70"/>
    <s v="07/07/2025"/>
    <s v="Rohit Singh"/>
    <s v="Female"/>
    <s v="10/01/1980"/>
    <s v="Bengaluru"/>
    <s v="West"/>
    <s v="Electronics"/>
    <s v="Mixer"/>
    <n v="10"/>
    <n v="3500"/>
    <n v="20"/>
    <n v="28000"/>
    <n v="5"/>
    <s v="Card"/>
    <s v="Ritika"/>
    <s v="KAvya.nair@company.com"/>
    <s v="9101810266"/>
    <s v="Completed"/>
    <x v="7"/>
  </r>
  <r>
    <s v="ORD10077"/>
    <s v="C007"/>
    <s v="P102"/>
    <x v="71"/>
    <s v="19/03/2026"/>
    <s v="Kavya Nair"/>
    <s v="Male"/>
    <s v="27/04/1981"/>
    <s v="Delhi"/>
    <s v="South"/>
    <s v="Home Appliances"/>
    <s v="Mouse"/>
    <n v="18"/>
    <n v="700"/>
    <n v="5"/>
    <n v="11970"/>
    <n v="3"/>
    <s v="Card"/>
    <s v="Neha"/>
    <s v="arjun.rao@company.com"/>
    <s v="9464556593"/>
    <s v="Cancelled"/>
    <x v="4"/>
  </r>
  <r>
    <s v="ORD10078"/>
    <s v="C005"/>
    <s v="P102"/>
    <x v="72"/>
    <s v="18/06/2025"/>
    <s v="Arjun Rao"/>
    <s v="Male"/>
    <s v="12/03/1985"/>
    <s v="Bengaluru"/>
    <s v="North"/>
    <s v="Electronics"/>
    <s v="Mouse"/>
    <n v="12"/>
    <n v="700"/>
    <n v="15"/>
    <n v="7140"/>
    <n v="2"/>
    <s v="UPI"/>
    <s v="Rahul"/>
    <s v="vikas.mehta@company.com"/>
    <s v="9338278358"/>
    <s v="Completed"/>
    <x v="7"/>
  </r>
  <r>
    <s v="ORD10079"/>
    <s v="C009"/>
    <s v="P103"/>
    <x v="73"/>
    <s v="16/11/2025"/>
    <s v="Vikas Mehta"/>
    <s v="Male"/>
    <s v="15/03/1999"/>
    <s v="Mumbai"/>
    <s v="South"/>
    <s v="Electronics"/>
    <s v="Keyboard"/>
    <n v="8"/>
    <n v="1200"/>
    <n v="0"/>
    <n v="9600"/>
    <n v="4"/>
    <s v="Card"/>
    <s v="Rahul"/>
    <s v="mohit.verma@company.com"/>
    <s v="9621410770"/>
    <s v="Pending"/>
    <x v="10"/>
  </r>
  <r>
    <s v="ORD10080"/>
    <s v="C003"/>
    <s v="P301"/>
    <x v="74"/>
    <s v="10/11/2025"/>
    <s v="Mohit Verma"/>
    <s v="Male"/>
    <s v="07/07/1983"/>
    <s v="Pune"/>
    <s v="West"/>
    <s v="Electronics"/>
    <s v="Notebook"/>
    <n v="2"/>
    <n v="60"/>
    <n v="0"/>
    <n v="120"/>
    <n v="2"/>
    <s v="UPI"/>
    <s v="Rahul"/>
    <s v="rohit.singh@company.com"/>
    <s v="9981333189"/>
    <s v="Completed"/>
    <x v="10"/>
  </r>
  <r>
    <s v="ORD10081"/>
    <s v="C001"/>
    <s v="P303"/>
    <x v="75"/>
    <s v="07/01/2025"/>
    <s v="Rohit Singh"/>
    <s v="Male"/>
    <s v="06/03/1989"/>
    <s v="Pune"/>
    <s v="West"/>
    <s v="Stationery"/>
    <s v="Marker"/>
    <n v="10"/>
    <n v="45"/>
    <n v="15"/>
    <n v="382.5"/>
    <n v="3"/>
    <s v="NetBanking"/>
    <s v="Ritika"/>
    <s v="amit.sharma@company.com"/>
    <s v="9723450355"/>
    <s v="Cancelled"/>
    <x v="2"/>
  </r>
  <r>
    <s v="ORD10082"/>
    <s v="C005"/>
    <s v="P201"/>
    <x v="76"/>
    <s v="03/05/2026"/>
    <s v="Amit Sharma"/>
    <s v="Male"/>
    <s v="20/06/1982"/>
    <s v="Kolkata"/>
    <s v="West"/>
    <s v="Stationery"/>
    <s v="Mixer"/>
    <n v="12"/>
    <n v="3500"/>
    <n v="5"/>
    <n v="39900"/>
    <n v="3"/>
    <s v="NetBanking"/>
    <s v="Aisha"/>
    <s v="vikas.mehta@company.com"/>
    <s v="9886243907"/>
    <s v="Pending"/>
    <x v="1"/>
  </r>
  <r>
    <s v="ORD10083"/>
    <s v="C003"/>
    <s v="P301"/>
    <x v="9"/>
    <s v="27/09/2025"/>
    <s v="Vikas Mehta"/>
    <s v="Male"/>
    <s v="23/06/2001"/>
    <s v="Mumbai"/>
    <s v="East"/>
    <s v="Home Appliances"/>
    <s v="Notebook"/>
    <n v="2"/>
    <n v="60"/>
    <n v="15"/>
    <n v="102"/>
    <n v="1"/>
    <s v="UPI"/>
    <s v="Neha"/>
    <s v="rohit.singh@company.com"/>
    <s v="9473931904"/>
    <s v="Completed"/>
    <x v="0"/>
  </r>
  <r>
    <s v="ORD10084"/>
    <s v="C003"/>
    <s v="P103"/>
    <x v="77"/>
    <s v="21/03/2025"/>
    <s v="Rohit Singh"/>
    <s v="Male"/>
    <s v="19/07/1983"/>
    <s v="Hyderabad"/>
    <s v="West"/>
    <s v="Stationery"/>
    <s v="Keyboard"/>
    <n v="18"/>
    <n v="1200"/>
    <n v="15"/>
    <n v="18360"/>
    <n v="3"/>
    <s v="Card"/>
    <s v="Neha"/>
    <s v="rohit.singh@company.com"/>
    <s v="9287159610"/>
    <s v="Pending"/>
    <x v="4"/>
  </r>
  <r>
    <s v="ORD10085"/>
    <s v="C008"/>
    <s v="P104"/>
    <x v="78"/>
    <s v="31/10/2025"/>
    <s v="Rohit Singh"/>
    <s v="Female"/>
    <s v="24/03/1993"/>
    <s v="Mumbai"/>
    <s v="South"/>
    <s v="Electronics"/>
    <s v="Monitor"/>
    <n v="18"/>
    <n v="12000"/>
    <n v="15"/>
    <n v="183600"/>
    <n v="2"/>
    <s v="Cash"/>
    <s v="Rahul"/>
    <s v="KAvya.nair@company.com"/>
    <s v="9876513858"/>
    <s v="Completed"/>
    <x v="9"/>
  </r>
  <r>
    <s v="ORD10086"/>
    <s v="C007"/>
    <s v="P302"/>
    <x v="79"/>
    <s v="11/11/2025"/>
    <s v="Kavya Nair"/>
    <s v="Male"/>
    <s v="10/05/1995"/>
    <s v="Ahmedabad"/>
    <s v="West"/>
    <s v="Electronics"/>
    <s v="Pen"/>
    <n v="7"/>
    <n v="20"/>
    <n v="0"/>
    <n v="140"/>
    <n v="2"/>
    <s v="Card"/>
    <s v="Ritika"/>
    <s v="arjun.rao@company.com"/>
    <s v="9237400853"/>
    <s v="Cancelled"/>
    <x v="9"/>
  </r>
  <r>
    <s v="ORD10087"/>
    <s v="C006"/>
    <s v="P201"/>
    <x v="80"/>
    <s v="18/04/2025"/>
    <s v="Arjun Rao"/>
    <s v="Female"/>
    <s v="15/02/2001"/>
    <s v="Pune"/>
    <s v="West"/>
    <s v="Stationery"/>
    <s v="Mixer"/>
    <n v="20"/>
    <n v="3500"/>
    <n v="20"/>
    <n v="56000"/>
    <n v="4"/>
    <s v="Card"/>
    <s v="Neha"/>
    <s v="sneha.joshi@company.com"/>
    <s v="9599597595"/>
    <s v="Pending"/>
    <x v="1"/>
  </r>
  <r>
    <s v="ORD10088"/>
    <s v="C002"/>
    <s v="P203"/>
    <x v="81"/>
    <s v="26/03/2026"/>
    <s v="Sneha Joshi"/>
    <s v="Female"/>
    <s v="14/08/1999"/>
    <s v="Ahmedabad"/>
    <s v="West"/>
    <s v="Home Appliances"/>
    <s v="Microwave"/>
    <n v="8"/>
    <n v="8500"/>
    <n v="20"/>
    <n v="54400"/>
    <n v="3"/>
    <s v="Card"/>
    <s v="Neha"/>
    <s v="priYa.patel@company.com"/>
    <s v="9230007509"/>
    <s v="Pending"/>
    <x v="4"/>
  </r>
  <r>
    <s v="ORD10089"/>
    <s v="C001"/>
    <s v="P104"/>
    <x v="82"/>
    <s v="24/09/2025"/>
    <s v="Priya Patel"/>
    <s v="Male"/>
    <s v="20/03/2002"/>
    <s v="Ahmedabad"/>
    <s v="West"/>
    <s v="Home Appliances"/>
    <s v="Monitor"/>
    <n v="6"/>
    <n v="12000"/>
    <n v="5"/>
    <n v="68400"/>
    <n v="4"/>
    <s v="NetBanking"/>
    <s v="Ritika"/>
    <s v="amit.sharma@company.com"/>
    <s v="9823428025"/>
    <s v="Completed"/>
    <x v="0"/>
  </r>
  <r>
    <s v="ORD10090"/>
    <s v="C008"/>
    <s v="P203"/>
    <x v="83"/>
    <s v="19/03/2026"/>
    <s v="Amit Sharma"/>
    <s v="Female"/>
    <s v="13/06/1992"/>
    <s v="Pune"/>
    <s v="North"/>
    <s v="Electronics"/>
    <s v="Microwave"/>
    <n v="15"/>
    <n v="8500"/>
    <n v="0"/>
    <n v="127500"/>
    <n v="4"/>
    <s v="NetBanking"/>
    <s v="Ritika"/>
    <s v="KAvya.nair@company.com"/>
    <s v="9505048912"/>
    <s v="Cancelled"/>
    <x v="4"/>
  </r>
  <r>
    <s v="ORD10091"/>
    <s v="C010"/>
    <s v="P103"/>
    <x v="84"/>
    <s v="23/08/2025"/>
    <s v="Kavya Nair"/>
    <s v="Female"/>
    <s v="18/06/1996"/>
    <s v="Jaipur"/>
    <s v="West"/>
    <s v="Home Appliances"/>
    <s v="Keyboard"/>
    <n v="5"/>
    <n v="1200"/>
    <n v="15"/>
    <n v="5100"/>
    <n v="1"/>
    <s v="NetBanking"/>
    <s v="Ritika"/>
    <s v="pooja.shah@company.com"/>
    <s v="9508068393"/>
    <s v="Cancelled"/>
    <x v="11"/>
  </r>
  <r>
    <s v="ORD10092"/>
    <s v="C010"/>
    <s v="P302"/>
    <x v="85"/>
    <s v="14/08/2025"/>
    <s v="Pooja Shah"/>
    <s v="Female"/>
    <s v="08/11/1982"/>
    <s v="Hyderabad"/>
    <s v="North"/>
    <s v="Electronics"/>
    <s v="Pen"/>
    <n v="4"/>
    <n v="20"/>
    <n v="0"/>
    <n v="80"/>
    <n v="4"/>
    <s v="NetBanking"/>
    <s v="Rahul"/>
    <s v="pooja.shah@company.com"/>
    <s v="9785807771"/>
    <s v="Completed"/>
    <x v="11"/>
  </r>
  <r>
    <s v="ORD10093"/>
    <s v="C008"/>
    <s v="P302"/>
    <x v="86"/>
    <s v="20/03/2025"/>
    <s v="Pooja Shah"/>
    <s v="Female"/>
    <s v="25/06/1984"/>
    <s v="Bengaluru"/>
    <s v="South"/>
    <s v="Stationery"/>
    <s v="Pen"/>
    <n v="10"/>
    <n v="20"/>
    <n v="0"/>
    <n v="200"/>
    <n v="3"/>
    <s v="Cash"/>
    <s v="Karan"/>
    <s v="KAvya.nair@company.com"/>
    <s v="9215250979"/>
    <s v="Pending"/>
    <x v="4"/>
  </r>
  <r>
    <s v="ORD10094"/>
    <s v="C004"/>
    <s v="P202"/>
    <x v="87"/>
    <s v="10/09/2025"/>
    <s v="Kavya Nair"/>
    <s v="Female"/>
    <s v="21/06/1994"/>
    <s v="Delhi"/>
    <s v="South"/>
    <s v="Stationery"/>
    <s v="Iron"/>
    <n v="18"/>
    <n v="2200"/>
    <n v="10"/>
    <n v="35640"/>
    <n v="3"/>
    <s v="Cash"/>
    <s v="Ritika"/>
    <s v="anita.gupta@company.com"/>
    <s v="9845884906"/>
    <s v="Cancelled"/>
    <x v="0"/>
  </r>
  <r>
    <s v="ORD10095"/>
    <s v="C001"/>
    <s v="P201"/>
    <x v="88"/>
    <s v="15/04/2025"/>
    <s v="Anita Gupta"/>
    <s v="Male"/>
    <s v="17/10/1990"/>
    <s v="Delhi"/>
    <s v="North"/>
    <s v="Home Appliances"/>
    <s v="Mixer"/>
    <n v="7"/>
    <n v="3500"/>
    <n v="15"/>
    <n v="20825"/>
    <n v="3"/>
    <s v="NetBanking"/>
    <s v="Rahul"/>
    <s v="amit.sharma@company.com"/>
    <s v="9393097397"/>
    <s v="Completed"/>
    <x v="1"/>
  </r>
  <r>
    <s v="ORD10096"/>
    <s v="C002"/>
    <s v="P203"/>
    <x v="89"/>
    <s v="07/05/2026"/>
    <s v="Amit Sharma"/>
    <s v="Female"/>
    <s v="28/01/1987"/>
    <s v="Kolkata"/>
    <s v="North"/>
    <s v="Home Appliances"/>
    <s v="Microwave"/>
    <n v="19"/>
    <n v="8500"/>
    <n v="15"/>
    <n v="137275"/>
    <n v="4"/>
    <s v="Card"/>
    <s v="Karan"/>
    <s v="priYa.patel@company.com"/>
    <s v="9958032109"/>
    <s v="Pending"/>
    <x v="8"/>
  </r>
  <r>
    <s v="ORD10097"/>
    <s v="C006"/>
    <s v="P104"/>
    <x v="90"/>
    <s v="27/01/2026"/>
    <s v="Priya Patel"/>
    <s v="Female"/>
    <s v="21/09/1983"/>
    <s v="Ahmedabad"/>
    <s v="East"/>
    <s v="Home Appliances"/>
    <s v="Monitor"/>
    <n v="13"/>
    <n v="12000"/>
    <n v="15"/>
    <n v="132600"/>
    <n v="4"/>
    <s v="Cash"/>
    <s v="Rahul"/>
    <s v="sneha.joshi@company.com"/>
    <s v="9755082957"/>
    <s v="Completed"/>
    <x v="2"/>
  </r>
  <r>
    <s v="ORD10098"/>
    <s v="C001"/>
    <s v="P302"/>
    <x v="91"/>
    <s v="24/03/2026"/>
    <s v="Sneha Joshi"/>
    <s v="Male"/>
    <s v="04/04/1989"/>
    <s v="Pune"/>
    <s v="West"/>
    <s v="Electronics"/>
    <s v="Pen"/>
    <n v="7"/>
    <n v="20"/>
    <n v="0"/>
    <n v="140"/>
    <n v="1"/>
    <s v="Card"/>
    <s v="Karan"/>
    <s v="amit.sharma@company.com"/>
    <s v="9872235856"/>
    <s v="Cancelled"/>
    <x v="4"/>
  </r>
  <r>
    <s v="ORD10099"/>
    <s v="C004"/>
    <s v="P102"/>
    <x v="92"/>
    <s v="11/05/2025"/>
    <s v="Amit Sharma"/>
    <s v="Female"/>
    <s v="25/09/1987"/>
    <s v="Delhi"/>
    <s v="West"/>
    <s v="Stationery"/>
    <s v="Mouse"/>
    <n v="5"/>
    <n v="700"/>
    <n v="15"/>
    <n v="999999"/>
    <n v="4"/>
    <s v="Card"/>
    <s v="Ritika"/>
    <s v="anita.gupta@company.com"/>
    <s v="9335138816"/>
    <s v="Pending"/>
    <x v="8"/>
  </r>
  <r>
    <s v="ORD10100"/>
    <s v="C007"/>
    <s v="P303"/>
    <x v="93"/>
    <s v="10/05/2026"/>
    <s v="Anita Gupta"/>
    <s v="Male"/>
    <s v="07/08/1982"/>
    <s v="Bengaluru"/>
    <s v="North"/>
    <s v="Electronics"/>
    <s v="Marker"/>
    <n v="9"/>
    <n v="45"/>
    <n v="5"/>
    <n v="384.75"/>
    <n v="3"/>
    <s v="Cash"/>
    <s v="Ritika"/>
    <s v="arjun.rao@company.com"/>
    <s v="9750365609"/>
    <s v="Completed"/>
    <x v="8"/>
  </r>
  <r>
    <s v="ORD10101"/>
    <s v="C003"/>
    <s v="P301"/>
    <x v="94"/>
    <s v="29/04/2025"/>
    <s v="Arjun Rao"/>
    <s v="Male"/>
    <s v="17/07/1986"/>
    <s v="Kolkata"/>
    <s v="South"/>
    <s v="Stationery"/>
    <s v="Notebook"/>
    <n v="19"/>
    <n v="60"/>
    <n v="10"/>
    <n v="1026"/>
    <n v="5"/>
    <s v="NetBanking"/>
    <s v="Neha"/>
    <s v="rohit.singh@company.com"/>
    <s v="9736812737"/>
    <s v="Completed"/>
    <x v="1"/>
  </r>
  <r>
    <s v="ORD10102"/>
    <s v="C001"/>
    <s v="P102"/>
    <x v="95"/>
    <s v="20/12/2025"/>
    <s v="Rohit Singh"/>
    <s v="Male"/>
    <s v="06/04/1987"/>
    <s v="Ahmedabad"/>
    <s v="East"/>
    <s v="Stationery"/>
    <s v="Mouse"/>
    <n v="4"/>
    <n v="700"/>
    <n v="5"/>
    <n v="2660"/>
    <n v="3"/>
    <s v="NetBanking"/>
    <s v="Aisha"/>
    <s v="amit.sharma@company.com"/>
    <s v="9271420931"/>
    <s v="Completed"/>
    <x v="6"/>
  </r>
  <r>
    <s v="ORD10103"/>
    <s v="C001"/>
    <s v="P201"/>
    <x v="93"/>
    <s v="15/05/2026"/>
    <s v="Amit Sharma"/>
    <s v="Male"/>
    <s v="25/02/2004"/>
    <s v="Pune"/>
    <s v="West"/>
    <s v="Electronics"/>
    <s v="Mixer"/>
    <n v="16"/>
    <n v="3500"/>
    <n v="0"/>
    <n v="56000"/>
    <n v="2"/>
    <s v="Card"/>
    <s v="Rahul"/>
    <s v="amit.sharma@company.com"/>
    <s v="9781411370"/>
    <s v="Completed"/>
    <x v="8"/>
  </r>
  <r>
    <s v="ORD10104"/>
    <s v="C006"/>
    <s v="P303"/>
    <x v="96"/>
    <s v="20/01/2025"/>
    <s v="Amit Sharma"/>
    <s v="Female"/>
    <s v="24/04/2001"/>
    <s v="Bengaluru"/>
    <s v="West"/>
    <s v="Home Appliances"/>
    <s v="Marker"/>
    <n v="5"/>
    <n v="45"/>
    <n v="20"/>
    <n v="180"/>
    <n v="3"/>
    <s v="Card"/>
    <s v="Ritika"/>
    <s v="sneha.joshi@company.com"/>
    <s v="9584152818"/>
    <s v="Completed"/>
    <x v="2"/>
  </r>
  <r>
    <s v="ORD10105"/>
    <s v="C007"/>
    <s v="P302"/>
    <x v="97"/>
    <s v="18/03/2025"/>
    <s v="Sneha Joshi"/>
    <s v="Male"/>
    <s v="01/07/1996"/>
    <s v="Mumbai"/>
    <s v="South"/>
    <s v="Stationery"/>
    <s v="Pen"/>
    <n v="9"/>
    <n v="20"/>
    <n v="10"/>
    <n v="162"/>
    <n v="4"/>
    <s v="Card"/>
    <s v="Ritika"/>
    <s v="arjun.rao@company.com"/>
    <s v="9507986836"/>
    <s v="Pending"/>
    <x v="4"/>
  </r>
  <r>
    <s v="ORD10106"/>
    <s v="C010"/>
    <s v="P103"/>
    <x v="98"/>
    <s v="01/03/2025"/>
    <s v="Arjun Rao"/>
    <s v="Female"/>
    <s v="06/02/1979"/>
    <s v="Delhi"/>
    <s v="West"/>
    <s v="Stationery"/>
    <s v="Keyboard"/>
    <n v="9"/>
    <n v="1200"/>
    <n v="5"/>
    <n v="10260"/>
    <n v="3"/>
    <s v="UPI"/>
    <s v="Ritika"/>
    <s v="pooja.shah@company.com"/>
    <s v="9518249687"/>
    <s v="Pending"/>
    <x v="3"/>
  </r>
  <r>
    <s v="ORD10107"/>
    <s v="C002"/>
    <s v="P201"/>
    <x v="99"/>
    <s v="27/02/2025"/>
    <s v="Pooja Shah"/>
    <s v="Female"/>
    <s v="12/12/1985"/>
    <s v="Delhi"/>
    <s v="North"/>
    <s v="Electronics"/>
    <s v="Mixer"/>
    <n v="3"/>
    <n v="3500"/>
    <n v="10"/>
    <n v="9450"/>
    <n v="2"/>
    <s v="Card"/>
    <s v="Karan"/>
    <s v="priYa.patel@company.com"/>
    <s v="9179328207"/>
    <s v="Cancelled"/>
    <x v="3"/>
  </r>
  <r>
    <s v="ORD10108"/>
    <s v="C005"/>
    <s v="P103"/>
    <x v="26"/>
    <s v="18/03/2026"/>
    <s v="Priya Patel"/>
    <s v="Male"/>
    <s v="28/01/1992"/>
    <s v="Mumbai"/>
    <s v="North"/>
    <s v="Home Appliances"/>
    <s v="Keyboard"/>
    <n v="6"/>
    <n v="1200"/>
    <n v="15"/>
    <n v="6120"/>
    <n v="4"/>
    <s v="UPI"/>
    <s v="Ritika"/>
    <s v="vikas.mehta@company.com"/>
    <s v="9778490728"/>
    <s v="Cancelled"/>
    <x v="4"/>
  </r>
  <r>
    <s v="ORD10109"/>
    <s v="C007"/>
    <s v="P103"/>
    <x v="100"/>
    <s v="12/07/2025"/>
    <s v="Vikas Mehta"/>
    <s v="Male"/>
    <s v="05/07/1993"/>
    <s v="Jaipur"/>
    <s v="West"/>
    <s v="Electronics"/>
    <s v="Keyboard"/>
    <n v="17"/>
    <n v="1200"/>
    <n v="15"/>
    <n v="17340"/>
    <n v="1"/>
    <s v="Cash"/>
    <s v="Aisha"/>
    <s v="arjun.rao@company.com"/>
    <s v="9223058722"/>
    <s v="Completed"/>
    <x v="5"/>
  </r>
  <r>
    <s v="ORD10110"/>
    <s v="C005"/>
    <s v="P203"/>
    <x v="101"/>
    <s v="26/11/2025"/>
    <s v="Arjun Rao"/>
    <s v="Male"/>
    <s v="13/09/1977"/>
    <s v="Bengaluru"/>
    <s v="North"/>
    <s v="Electronics"/>
    <s v="Microwave"/>
    <n v="15"/>
    <n v="8500"/>
    <n v="0"/>
    <n v="127500"/>
    <n v="3"/>
    <s v="Cash"/>
    <s v="Neha"/>
    <s v="vikas.mehta@company.com"/>
    <s v="9999889465"/>
    <s v="Pending"/>
    <x v="10"/>
  </r>
  <r>
    <s v="ORD10111"/>
    <s v="C003"/>
    <s v="P103"/>
    <x v="6"/>
    <s v="19/04/2025"/>
    <s v="Vikas Mehta"/>
    <s v="Male"/>
    <s v="11/10/1985"/>
    <s v="Hyderabad"/>
    <s v="South"/>
    <s v="Home Appliances"/>
    <s v="Keyboard"/>
    <n v="1"/>
    <n v="1200"/>
    <n v="20"/>
    <n v="960"/>
    <n v="1"/>
    <s v="UPI"/>
    <s v="Neha"/>
    <s v="rohit.singh@company.com"/>
    <s v="9489687402"/>
    <s v="Pending"/>
    <x v="1"/>
  </r>
  <r>
    <s v="ORD10112"/>
    <s v="C003"/>
    <s v="P203"/>
    <x v="102"/>
    <s v="18/04/2025"/>
    <s v="Rohit Singh"/>
    <s v="Male"/>
    <s v="02/10/2001"/>
    <s v="Kolkata"/>
    <s v="South"/>
    <s v="Electronics"/>
    <s v="Microwave"/>
    <n v="5"/>
    <n v="8500"/>
    <n v="10"/>
    <n v="38250"/>
    <n v="1"/>
    <s v="Card"/>
    <s v="Aisha"/>
    <s v="rohit.singh@company.com"/>
    <s v="9236963301"/>
    <s v="Completed"/>
    <x v="1"/>
  </r>
  <r>
    <s v="ORD10113"/>
    <s v="C010"/>
    <s v="P303"/>
    <x v="103"/>
    <s v="10/04/2026"/>
    <s v="Rohit Singh"/>
    <s v="Female"/>
    <s v="08/04/1986"/>
    <s v="Hyderabad"/>
    <s v="East"/>
    <s v="Home Appliances"/>
    <s v="Marker"/>
    <n v="12"/>
    <n v="45"/>
    <n v="5"/>
    <n v="513"/>
    <n v="2"/>
    <s v="NetBanking"/>
    <s v="Ritika"/>
    <s v="pooja.shah@company.com"/>
    <s v="9653594592"/>
    <s v="Cancelled"/>
    <x v="1"/>
  </r>
  <r>
    <s v="ORD10114"/>
    <s v="C005"/>
    <s v="P301"/>
    <x v="104"/>
    <s v="28/10/2025"/>
    <s v="Pooja Shah"/>
    <s v="Male"/>
    <s v="21/07/1990"/>
    <s v="Pune"/>
    <s v="South"/>
    <s v="Stationery"/>
    <s v="Notebook"/>
    <n v="5"/>
    <n v="60"/>
    <n v="5"/>
    <n v="285"/>
    <n v="2"/>
    <s v="Cash"/>
    <s v="Aisha"/>
    <s v="vikas.mehta@company.com"/>
    <s v="9781970426"/>
    <s v="Completed"/>
    <x v="9"/>
  </r>
  <r>
    <s v="ORD10115"/>
    <s v="C010"/>
    <s v="P102"/>
    <x v="105"/>
    <s v="14/04/2025"/>
    <s v="Vikas Mehta"/>
    <s v="Female"/>
    <s v="11/04/1994"/>
    <s v="Kolkata"/>
    <s v="West"/>
    <s v="Stationery"/>
    <s v="Mouse"/>
    <n v="3"/>
    <n v="700"/>
    <n v="0"/>
    <n v="2100"/>
    <n v="4"/>
    <s v="Card"/>
    <s v="Aisha"/>
    <s v="pooja.shah@company.com"/>
    <s v="9862165194"/>
    <s v="Completed"/>
    <x v="1"/>
  </r>
  <r>
    <s v="ORD10116"/>
    <s v="C004"/>
    <s v="P302"/>
    <x v="42"/>
    <s v="29/04/2025"/>
    <s v="Pooja Shah"/>
    <s v="Female"/>
    <s v="04/05/1992"/>
    <s v="Delhi"/>
    <s v="East"/>
    <s v="Electronics"/>
    <s v="Pen"/>
    <n v="6"/>
    <n v="20"/>
    <n v="15"/>
    <n v="102"/>
    <n v="5"/>
    <s v="Card"/>
    <s v="Karan"/>
    <s v="anita.gupta@company.com"/>
    <s v="9661280388"/>
    <s v="Completed"/>
    <x v="1"/>
  </r>
  <r>
    <s v="ORD10117"/>
    <s v="C002"/>
    <s v="P102"/>
    <x v="106"/>
    <s v="31/08/2025"/>
    <s v="Anita Gupta"/>
    <s v="Female"/>
    <s v="13/05/1980"/>
    <s v="Bengaluru"/>
    <s v="North"/>
    <s v="Stationery"/>
    <s v="Mouse"/>
    <n v="2"/>
    <n v="700"/>
    <n v="15"/>
    <n v="1190"/>
    <n v="4"/>
    <s v="Cash"/>
    <s v="Karan"/>
    <s v="priYa.patel@company.com"/>
    <s v="9896985355"/>
    <s v="Pending"/>
    <x v="11"/>
  </r>
  <r>
    <s v="ORD10118"/>
    <s v="C001"/>
    <s v="P303"/>
    <x v="107"/>
    <s v="11/06/2025"/>
    <s v="Priya Patel"/>
    <s v="Male"/>
    <s v="07/09/1995"/>
    <s v="Pune"/>
    <s v="South"/>
    <s v="Electronics"/>
    <s v="Marker"/>
    <n v="16"/>
    <n v="45"/>
    <n v="0"/>
    <n v="720"/>
    <n v="1"/>
    <s v="NetBanking"/>
    <s v="Aisha"/>
    <s v="amit.sharma@company.com"/>
    <s v="9807154421"/>
    <s v="Completed"/>
    <x v="8"/>
  </r>
  <r>
    <s v="ORD10119"/>
    <s v="C009"/>
    <s v="P103"/>
    <x v="108"/>
    <s v="02/06/2025"/>
    <s v="Amit Sharma"/>
    <s v="Male"/>
    <s v="08/03/1988"/>
    <s v="Ahmedabad"/>
    <s v="West"/>
    <s v="Stationery"/>
    <s v="Keyboard"/>
    <s v="Ten"/>
    <n v="1200"/>
    <n v="15"/>
    <n v="7140"/>
    <n v="4"/>
    <s v="UPI"/>
    <s v="Karan"/>
    <s v="mohit.verma@company.com"/>
    <s v="9919834000"/>
    <s v="Pending"/>
    <x v="8"/>
  </r>
  <r>
    <s v="ORD10120"/>
    <s v="C002"/>
    <s v="P104"/>
    <x v="49"/>
    <s v="30/08/2025"/>
    <s v="Mohit Verma"/>
    <s v="Female"/>
    <s v="07/07/1989"/>
    <s v="Jaipur"/>
    <s v="West"/>
    <s v="Electronics"/>
    <s v="Monitor"/>
    <n v="14"/>
    <n v="12000"/>
    <n v="15"/>
    <n v="142800"/>
    <n v="2"/>
    <s v="NetBanking"/>
    <s v="Aisha"/>
    <s v="priYa.patel@company.com"/>
    <s v="9739798818"/>
    <s v="Pending"/>
    <x v="11"/>
  </r>
  <r>
    <s v="ORD10121"/>
    <s v="C003"/>
    <s v="P203"/>
    <x v="63"/>
    <s v="16/12/2025"/>
    <s v="Priya Patel"/>
    <s v="Male"/>
    <s v="11/11/1993"/>
    <s v="Pune"/>
    <s v="North"/>
    <s v="Electronics"/>
    <s v="Microwave"/>
    <n v="8"/>
    <n v="8500"/>
    <n v="20"/>
    <n v="54400"/>
    <n v="3"/>
    <s v="Card"/>
    <s v="Rahul"/>
    <s v="rohit.singh@company.com"/>
    <s v="9208625306"/>
    <s v="Completed"/>
    <x v="6"/>
  </r>
  <r>
    <s v="ORD10122"/>
    <s v="C007"/>
    <s v="P303"/>
    <x v="7"/>
    <s v="10/02/2026"/>
    <s v="Rohit Singh"/>
    <s v="Male"/>
    <s v="01/02/2000"/>
    <s v="Bengaluru"/>
    <s v="West"/>
    <s v="Home Appliances"/>
    <s v="Marker"/>
    <n v="3"/>
    <n v="45"/>
    <n v="0"/>
    <n v="135"/>
    <n v="4"/>
    <s v="UPI"/>
    <s v="Aisha"/>
    <s v="arjun.rao@company.com"/>
    <s v="9970178536"/>
    <s v="Cancelled"/>
    <x v="2"/>
  </r>
  <r>
    <s v="ORD10123"/>
    <s v="C001"/>
    <s v="P102"/>
    <x v="109"/>
    <s v="04/01/2026"/>
    <s v="Arjun Rao"/>
    <s v="Male"/>
    <s v="22/06/1986"/>
    <s v="Jaipur"/>
    <s v="South"/>
    <s v="Stationery"/>
    <s v="Mouse"/>
    <n v="13"/>
    <n v="700"/>
    <n v="5"/>
    <n v="8645"/>
    <n v="3"/>
    <s v="Card"/>
    <s v="Neha"/>
    <s v="amit.sharma@company.com"/>
    <s v="9633745195"/>
    <s v="Pending"/>
    <x v="2"/>
  </r>
  <r>
    <s v="ORD10124"/>
    <s v="C004"/>
    <s v="P103"/>
    <x v="110"/>
    <s v="26/10/2025"/>
    <s v="Amit Sharma"/>
    <s v="Female"/>
    <s v="16/02/1986"/>
    <s v="Mumbai"/>
    <s v="North"/>
    <s v="Electronics"/>
    <s v="Keyboard"/>
    <n v="14"/>
    <n v="1200"/>
    <n v="20"/>
    <n v="13440"/>
    <n v="5"/>
    <s v="NetBanking"/>
    <s v="Aisha"/>
    <s v="anita.gupta@company.com"/>
    <s v="9922102053"/>
    <s v="Completed"/>
    <x v="9"/>
  </r>
  <r>
    <s v="ORD10125"/>
    <s v="C002"/>
    <s v="P303"/>
    <x v="111"/>
    <s v="21/05/2025"/>
    <s v="Anita Gupta"/>
    <s v="Female"/>
    <s v="18/09/1991"/>
    <s v="Delhi"/>
    <s v="West"/>
    <s v="Electronics"/>
    <s v="Marker"/>
    <n v="2"/>
    <n v="45"/>
    <n v="5"/>
    <n v="85.5"/>
    <n v="3"/>
    <s v="UPI"/>
    <s v="Ritika"/>
    <s v="priYa.patel@company.com"/>
    <s v="9135963930"/>
    <s v="Cancelled"/>
    <x v="8"/>
  </r>
  <r>
    <s v="ORD10126"/>
    <s v="C004"/>
    <s v="P103"/>
    <x v="112"/>
    <s v="06/01/2026"/>
    <s v="Priya Patel"/>
    <s v="Female"/>
    <s v="04/01/1981"/>
    <s v="Bengaluru"/>
    <s v="North"/>
    <s v="Stationery"/>
    <s v="Keyboard"/>
    <n v="2"/>
    <n v="1200"/>
    <n v="20"/>
    <n v="1920"/>
    <n v="3"/>
    <s v="Card"/>
    <s v="Neha"/>
    <s v="anita.gupta@company.com"/>
    <s v="9429405275"/>
    <s v="Completed"/>
    <x v="2"/>
  </r>
  <r>
    <s v="ORD10127"/>
    <s v="C003"/>
    <s v="P101"/>
    <x v="113"/>
    <s v="26/04/2026"/>
    <s v="Anita Gupta"/>
    <s v="Male"/>
    <s v="12/10/2004"/>
    <s v="Bengaluru"/>
    <s v="South"/>
    <s v="Electronics"/>
    <s v="Laptop"/>
    <n v="10"/>
    <n v="55000"/>
    <n v="5"/>
    <n v="522500"/>
    <n v="5"/>
    <s v="UPI"/>
    <s v="Aisha"/>
    <s v="rohit.singh@company.com"/>
    <s v="9521757571"/>
    <s v="Pending"/>
    <x v="1"/>
  </r>
  <r>
    <s v="ORD10128"/>
    <s v="C006"/>
    <s v="P201"/>
    <x v="114"/>
    <s v="05/08/2025"/>
    <s v="Rohit Singh"/>
    <s v="Female"/>
    <s v="25/03/1984"/>
    <s v="Jaipur"/>
    <s v="South"/>
    <s v="Electronics"/>
    <s v="Mixer"/>
    <n v="15"/>
    <n v="3500"/>
    <n v="10"/>
    <n v="47250"/>
    <n v="3"/>
    <s v="NetBanking"/>
    <s v="Neha"/>
    <s v="sneha.joshi@company.com"/>
    <s v="9467375455"/>
    <s v="Completed"/>
    <x v="11"/>
  </r>
  <r>
    <s v="ORD10129"/>
    <s v="C002"/>
    <s v="P202"/>
    <x v="85"/>
    <s v="18/08/2025"/>
    <s v="Sneha Joshi"/>
    <s v="Female"/>
    <s v="09/09/1982"/>
    <s v="Bengaluru"/>
    <s v="North"/>
    <s v="Home Appliances"/>
    <s v="Iron"/>
    <n v="10"/>
    <n v="2200"/>
    <n v="15"/>
    <n v="18700"/>
    <n v="4"/>
    <s v="Card"/>
    <s v="Rahul"/>
    <s v="priYa.patel@company.com"/>
    <s v="9838809695"/>
    <s v="Pending"/>
    <x v="11"/>
  </r>
  <r>
    <s v="ORD10130"/>
    <s v="C006"/>
    <s v="P201"/>
    <x v="29"/>
    <s v="24/06/2025"/>
    <s v="Priya Patel"/>
    <s v="Female"/>
    <s v="15/02/1993"/>
    <s v="Pune"/>
    <s v="South"/>
    <s v="Home Appliances"/>
    <s v="Mixer"/>
    <n v="11"/>
    <n v="3500"/>
    <n v="5"/>
    <n v="36575"/>
    <n v="5"/>
    <s v="Cash"/>
    <s v="Ritika"/>
    <s v="sneha.joshi@company.com"/>
    <s v="9296609782"/>
    <s v="Cancelled"/>
    <x v="7"/>
  </r>
  <r>
    <s v="ORD10131"/>
    <s v="C004"/>
    <s v="P103"/>
    <x v="115"/>
    <s v="30/04/2026"/>
    <s v="Sneha Joshi"/>
    <s v="Female"/>
    <s v="08/04/2003"/>
    <s v="Bengaluru"/>
    <s v="West"/>
    <s v="Home Appliances"/>
    <s v="Keyboard"/>
    <n v="14"/>
    <n v="1200"/>
    <n v="0"/>
    <n v="16800"/>
    <n v="5"/>
    <s v="Cash"/>
    <s v="Rahul"/>
    <s v="anita.gupta@company.com"/>
    <s v="9848259992"/>
    <s v="Cancelled"/>
    <x v="1"/>
  </r>
  <r>
    <s v="ORD10132"/>
    <s v="C002"/>
    <s v="P302"/>
    <x v="116"/>
    <s v="22/02/2026"/>
    <s v="Anita Gupta"/>
    <s v="Female"/>
    <s v="20/10/1989"/>
    <s v="Delhi"/>
    <s v="South"/>
    <s v="Electronics"/>
    <s v="Pen"/>
    <n v="11"/>
    <n v="20"/>
    <n v="20"/>
    <n v="176"/>
    <n v="4"/>
    <s v="NetBanking"/>
    <s v="Ritika"/>
    <s v="priYa.patel@company.com"/>
    <s v="9254082295"/>
    <s v="Completed"/>
    <x v="3"/>
  </r>
  <r>
    <s v="ORD10133"/>
    <s v="C009"/>
    <s v="P104"/>
    <x v="117"/>
    <s v="10/04/2026"/>
    <s v="Priya Patel"/>
    <s v="Male"/>
    <s v="15/09/1995"/>
    <s v="Pune"/>
    <s v="North"/>
    <s v="Stationery"/>
    <s v="Monitor"/>
    <n v="6"/>
    <n v="12000"/>
    <n v="10"/>
    <n v="64800"/>
    <n v="5"/>
    <s v="UPI"/>
    <s v="Karan"/>
    <s v="mohit.verma@company.com"/>
    <s v="9687923860"/>
    <s v="Completed"/>
    <x v="1"/>
  </r>
  <r>
    <s v="ORD10134"/>
    <s v="C009"/>
    <s v="P202"/>
    <x v="102"/>
    <s v="18/04/2025"/>
    <s v="Mohit Verma"/>
    <s v="Male"/>
    <s v="07/04/1994"/>
    <s v="Hyderabad"/>
    <s v="West"/>
    <s v="Electronics"/>
    <s v="Iron"/>
    <n v="6"/>
    <n v="2200"/>
    <n v="5"/>
    <n v="12540"/>
    <n v="4"/>
    <s v="Cash"/>
    <s v="Rahul"/>
    <s v="mohit.verma@company.com"/>
    <s v="9426459149"/>
    <s v="Completed"/>
    <x v="1"/>
  </r>
  <r>
    <s v="ORD10135"/>
    <s v="C010"/>
    <s v="P201"/>
    <x v="54"/>
    <s v="27/06/2025"/>
    <s v="Mohit Verma"/>
    <s v="Female"/>
    <s v="02/10/2003"/>
    <s v="Delhi"/>
    <s v="South"/>
    <s v="Home Appliances"/>
    <s v="Mixer"/>
    <n v="3"/>
    <n v="3500"/>
    <n v="5"/>
    <n v="9975"/>
    <n v="4"/>
    <s v="NetBanking"/>
    <s v="Rahul"/>
    <s v="pooja.shah@company.com"/>
    <s v="9155925975"/>
    <s v="Pending"/>
    <x v="7"/>
  </r>
  <r>
    <s v="ORD10136"/>
    <s v="C009"/>
    <s v="P203"/>
    <x v="118"/>
    <s v="10/06/2025"/>
    <s v="Pooja Shah"/>
    <s v="Male"/>
    <s v="14/07/1997"/>
    <s v="Hyderabad"/>
    <s v="North"/>
    <s v="Home Appliances"/>
    <s v="Microwave"/>
    <n v="5"/>
    <n v="8500"/>
    <n v="20"/>
    <n v="34000"/>
    <n v="5"/>
    <s v="Cash"/>
    <s v="Aisha"/>
    <s v="mohit.verma@company.com"/>
    <s v="9945247701"/>
    <s v="Pending"/>
    <x v="7"/>
  </r>
  <r>
    <s v="ORD10137"/>
    <s v="C008"/>
    <s v="P201"/>
    <x v="119"/>
    <s v="01/08/2025"/>
    <s v="Mohit Verma"/>
    <s v="Female"/>
    <s v="09/08/1979"/>
    <s v="Bengaluru"/>
    <s v="South"/>
    <s v="Home Appliances"/>
    <s v="Mixer"/>
    <n v="14"/>
    <n v="3500"/>
    <n v="10"/>
    <n v="44100"/>
    <n v="4"/>
    <s v="UPI"/>
    <s v="Ritika"/>
    <s v="KAvya.nair@company.com"/>
    <s v="9597378398"/>
    <s v="Cancelled"/>
    <x v="5"/>
  </r>
  <r>
    <s v="ORD10138"/>
    <s v="C001"/>
    <s v="P303"/>
    <x v="120"/>
    <s v="21/01/2025"/>
    <s v="Kavya Nair"/>
    <s v="Male"/>
    <s v="20/10/2002"/>
    <s v="Ahmedabad"/>
    <s v="South"/>
    <s v="Home Appliances"/>
    <s v="Marker"/>
    <n v="8"/>
    <n v="45"/>
    <n v="0"/>
    <n v="360"/>
    <n v="1"/>
    <s v="Card"/>
    <s v="Karan"/>
    <s v="amit.sharma@company.com"/>
    <s v="9343963736"/>
    <s v="Cancelled"/>
    <x v="2"/>
  </r>
  <r>
    <s v="ORD10139"/>
    <s v="C005"/>
    <s v="P303"/>
    <x v="121"/>
    <s v="05/02/2025"/>
    <s v="Amit Sharma"/>
    <s v="Male"/>
    <s v="24/07/1985"/>
    <s v="Delhi"/>
    <s v="West"/>
    <s v="Stationery"/>
    <s v="Marker"/>
    <n v="11"/>
    <n v="45"/>
    <n v="5"/>
    <n v="470.25"/>
    <n v="3"/>
    <s v="Card"/>
    <s v="Rahul"/>
    <s v="vikas.mehta@company.com"/>
    <s v="9548742147"/>
    <s v="Completed"/>
    <x v="3"/>
  </r>
  <r>
    <s v="ORD10140"/>
    <s v="C007"/>
    <s v="P101"/>
    <x v="122"/>
    <s v="30/01/2025"/>
    <s v="Vikas Mehta"/>
    <s v="Male"/>
    <s v="23/08/1988"/>
    <s v="Ahmedabad"/>
    <s v="North"/>
    <s v="Stationery"/>
    <s v="Laptop"/>
    <n v="19"/>
    <n v="55000"/>
    <n v="0"/>
    <n v="1045000"/>
    <n v="2"/>
    <s v="Card"/>
    <s v="Ritika"/>
    <s v="arjun.rao@company.com"/>
    <s v="9912945471"/>
    <s v="Cancelled"/>
    <x v="2"/>
  </r>
  <r>
    <s v="ORD10141"/>
    <s v="C010"/>
    <s v="P201"/>
    <x v="123"/>
    <s v="18/04/2025"/>
    <s v="Arjun Rao"/>
    <s v="Female"/>
    <s v="09/01/1979"/>
    <s v="Pune"/>
    <s v="West"/>
    <s v="Electronics"/>
    <s v="Mixer"/>
    <n v="20"/>
    <n v="3500"/>
    <n v="20"/>
    <n v="56000"/>
    <n v="4"/>
    <s v="NetBanking"/>
    <s v="Rahul"/>
    <s v="pooja.shah@company.com"/>
    <s v="9912630684"/>
    <s v="Completed"/>
    <x v="1"/>
  </r>
  <r>
    <s v="ORD10142"/>
    <s v="C007"/>
    <s v="P202"/>
    <x v="124"/>
    <s v="14/07/2025"/>
    <s v="Pooja Shah"/>
    <s v="Male"/>
    <s v="25/08/1986"/>
    <s v="Pune"/>
    <s v="West"/>
    <s v="Home Appliances"/>
    <s v="Iron"/>
    <n v="17"/>
    <n v="2200"/>
    <n v="0"/>
    <n v="37400"/>
    <n v="5"/>
    <s v="NetBanking"/>
    <s v="Ritika"/>
    <s v="arjun.rao@company.com"/>
    <s v="9114017237"/>
    <s v="Pending"/>
    <x v="5"/>
  </r>
  <r>
    <s v="ORD10143"/>
    <s v="C007"/>
    <s v="P103"/>
    <x v="122"/>
    <s v="29/01/2025"/>
    <s v="Arjun Rao"/>
    <s v="Male"/>
    <s v="01/04/1977"/>
    <s v="Pune"/>
    <s v="West"/>
    <s v="Home Appliances"/>
    <s v="Keyboard"/>
    <n v="10"/>
    <n v="1200"/>
    <n v="5"/>
    <n v="11400"/>
    <n v="2"/>
    <s v="Cash"/>
    <s v="Rahul"/>
    <s v="arjun.rao@company.com"/>
    <s v="9872471236"/>
    <s v="Cancelled"/>
    <x v="2"/>
  </r>
  <r>
    <s v="ORD10144"/>
    <s v="C005"/>
    <s v="P301"/>
    <x v="125"/>
    <s v="18/12/2025"/>
    <s v="Arjun Rao"/>
    <s v="Male"/>
    <s v="04/08/1983"/>
    <s v="Hyderabad"/>
    <s v="West"/>
    <s v="Electronics"/>
    <s v="Notebook"/>
    <n v="3"/>
    <n v="60"/>
    <n v="0"/>
    <n v="180"/>
    <n v="4"/>
    <s v="NetBanking"/>
    <s v="Karan"/>
    <s v="vikas.mehta@company.com"/>
    <s v="9461383824"/>
    <s v="Completed"/>
    <x v="6"/>
  </r>
  <r>
    <s v="ORD10145"/>
    <s v="C010"/>
    <s v="P202"/>
    <x v="126"/>
    <s v="21/10/2025"/>
    <s v="Vikas Mehta"/>
    <s v="Female"/>
    <s v="07/04/1978"/>
    <s v="Mumbai"/>
    <s v="South"/>
    <s v="Stationery"/>
    <s v="Iron"/>
    <n v="18"/>
    <n v="2200"/>
    <n v="10"/>
    <n v="35640"/>
    <n v="1"/>
    <s v="Card"/>
    <s v="Karan"/>
    <s v="pooja.shah@company.com"/>
    <s v="9243407457"/>
    <s v="Cancelled"/>
    <x v="9"/>
  </r>
  <r>
    <s v="ORD10146"/>
    <s v="C009"/>
    <s v="P301"/>
    <x v="127"/>
    <s v="10/03/2026"/>
    <s v="Pooja Shah"/>
    <s v="Male"/>
    <s v="04/03/1983"/>
    <s v="Delhi"/>
    <s v="West"/>
    <s v="Home Appliances"/>
    <s v="Notebook"/>
    <n v="18"/>
    <n v="60"/>
    <n v="5"/>
    <n v="1026"/>
    <n v="3"/>
    <s v="Card"/>
    <s v="Rahul"/>
    <s v="mohit.verma@company.com"/>
    <s v="9418672379"/>
    <s v="Pending"/>
    <x v="4"/>
  </r>
  <r>
    <s v="ORD10147"/>
    <s v="C003"/>
    <s v="P101"/>
    <x v="56"/>
    <s v="23/08/2025"/>
    <s v="Mohit Verma"/>
    <s v="Male"/>
    <s v="27/10/1987"/>
    <s v="Pune"/>
    <s v="North"/>
    <s v="Stationery"/>
    <s v="Laptop"/>
    <n v="11"/>
    <n v="55000"/>
    <n v="15"/>
    <n v="514250"/>
    <n v="4"/>
    <s v="UPI"/>
    <s v="Neha"/>
    <s v="rohit.singh@company.com"/>
    <s v="9222733065"/>
    <s v="Cancelled"/>
    <x v="11"/>
  </r>
  <r>
    <s v="ORD10148"/>
    <s v="C006"/>
    <s v="P203"/>
    <x v="128"/>
    <s v="03/01/2026"/>
    <s v="Rohit Singh"/>
    <s v="Female"/>
    <s v="19/04/2003"/>
    <s v="Kolkata"/>
    <s v="West"/>
    <s v="Electronics"/>
    <s v="Microwave"/>
    <n v="5"/>
    <n v="8500"/>
    <n v="5"/>
    <n v="40375"/>
    <n v="4"/>
    <s v="Cash"/>
    <s v="Karan"/>
    <s v="sneha.joshi@company.com"/>
    <s v="9684246902"/>
    <s v="Completed"/>
    <x v="6"/>
  </r>
  <r>
    <s v="ORD10150"/>
    <s v="C003"/>
    <s v="P102"/>
    <x v="129"/>
    <s v="13/07/2025"/>
    <s v="Sneha Joshi"/>
    <s v="Male"/>
    <s v="05/07/1975"/>
    <s v="Pune"/>
    <s v="East"/>
    <s v="Home Appliances"/>
    <s v="Mouse"/>
    <n v="6"/>
    <n v="700"/>
    <n v="10"/>
    <n v="3780"/>
    <n v="4"/>
    <s v="Cash"/>
    <s v="Rahul"/>
    <s v="rohit.singh@company.com"/>
    <s v="9110269572"/>
    <s v="Cancelled"/>
    <x v="5"/>
  </r>
  <r>
    <s v="ORD10151"/>
    <s v="C010"/>
    <s v="P201"/>
    <x v="130"/>
    <s v="15/05/2026"/>
    <s v="Priya Patel"/>
    <s v="Female"/>
    <s v="05/03/1992"/>
    <s v="Delhi"/>
    <s v="North"/>
    <s v="Electronics"/>
    <s v="Mixer"/>
    <n v="20"/>
    <n v="3500"/>
    <n v="10"/>
    <n v="63000"/>
    <n v="4"/>
    <s v="UPI"/>
    <s v="Rahul"/>
    <s v="pooja.shah@company.com"/>
    <s v="9745972422"/>
    <s v="Pending"/>
    <x v="8"/>
  </r>
  <r>
    <s v="ORD10152"/>
    <s v="C008"/>
    <s v="P302"/>
    <x v="131"/>
    <s v="07/12/2025"/>
    <s v="Rohit Singh"/>
    <s v="Female"/>
    <s v="03/06/1998"/>
    <s v="Bengaluru"/>
    <s v="West"/>
    <s v="Electronics"/>
    <s v="Pen"/>
    <n v="2"/>
    <n v="20"/>
    <n v="10"/>
    <n v="36"/>
    <n v="1"/>
    <s v="NetBanking"/>
    <s v="Neha"/>
    <s v="KAvya.nair@company.com"/>
    <s v="9123712257"/>
    <s v="Pending"/>
    <x v="10"/>
  </r>
  <r>
    <s v="ORD10153"/>
    <s v="C002"/>
    <s v="P202"/>
    <x v="132"/>
    <s v="19/07/2025"/>
    <s v="Pooja Shah"/>
    <s v="Female"/>
    <s v="28/09/1996"/>
    <s v="Pune"/>
    <s v="North"/>
    <s v="Home Appliances"/>
    <s v="Iron"/>
    <n v="16"/>
    <n v="2200"/>
    <n v="20"/>
    <n v="28160"/>
    <n v="2"/>
    <s v="UPI"/>
    <s v="Karan"/>
    <s v="priYa.patel@company.com"/>
    <s v="9665525431"/>
    <s v="Pending"/>
    <x v="5"/>
  </r>
  <r>
    <s v="ORD10154"/>
    <s v="C005"/>
    <s v="P104"/>
    <x v="133"/>
    <s v="23/03/2025"/>
    <s v="Kavya Nair"/>
    <s v="Male"/>
    <s v="15/12/1995"/>
    <s v="Pune"/>
    <s v="South"/>
    <s v="Stationery"/>
    <s v="Monitor"/>
    <n v="15"/>
    <n v="12000"/>
    <n v="0"/>
    <n v="180000"/>
    <n v="1"/>
    <s v="Card"/>
    <s v="Aisha"/>
    <s v="vikas.mehta@company.com"/>
    <s v="9682415134"/>
    <s v="Pending"/>
    <x v="4"/>
  </r>
  <r>
    <s v="ORD10155"/>
    <s v="C008"/>
    <s v="P301"/>
    <x v="134"/>
    <s v="23/07/2025"/>
    <s v="Priya Patel"/>
    <s v="Female"/>
    <s v="24/07/1976"/>
    <s v="Delhi"/>
    <s v="West"/>
    <s v="Home Appliances"/>
    <s v="Notebook"/>
    <n v="14"/>
    <n v="60"/>
    <n v="15"/>
    <n v="714"/>
    <n v="4"/>
    <s v="UPI"/>
    <s v="Rahul"/>
    <s v="KAvya.nair@company.com"/>
    <s v="9808223872"/>
    <s v="Completed"/>
    <x v="5"/>
  </r>
  <r>
    <s v="ORD10156"/>
    <s v="C010"/>
    <s v="P103"/>
    <x v="135"/>
    <s v="24/07/2025"/>
    <s v="Vikas Mehta"/>
    <s v="Female"/>
    <s v="22/06/1984"/>
    <s v="Hyderabad"/>
    <s v="West"/>
    <s v="Electronics"/>
    <s v="Keyboard"/>
    <n v="9"/>
    <n v="1200"/>
    <n v="5"/>
    <n v="10260"/>
    <n v="5"/>
    <s v="NetBanking"/>
    <s v="Aisha"/>
    <s v="pooja.shah@company.com"/>
    <s v="9193549730"/>
    <s v="Pending"/>
    <x v="5"/>
  </r>
  <r>
    <s v="ORD10157"/>
    <s v="C005"/>
    <s v="P103"/>
    <x v="136"/>
    <s v="29/07/2025"/>
    <s v="Kavya Nair"/>
    <s v="Male"/>
    <s v="06/08/1998"/>
    <s v="Kolkata"/>
    <s v="North"/>
    <s v="Stationery"/>
    <s v="Keyboard"/>
    <n v="3"/>
    <n v="1200"/>
    <n v="10"/>
    <n v="3240"/>
    <n v="2"/>
    <s v="Card"/>
    <s v="Karan"/>
    <s v="vikas.mehta@company.com"/>
    <s v="9520617130"/>
    <s v="Cancelled"/>
    <x v="5"/>
  </r>
  <r>
    <s v="ORD10158"/>
    <s v="C001"/>
    <s v="P301"/>
    <x v="80"/>
    <s v="12/04/2025"/>
    <s v="Pooja Shah"/>
    <s v="Male"/>
    <s v="18/06/2001"/>
    <s v="Hyderabad"/>
    <s v="South"/>
    <s v="Electronics"/>
    <s v="Notebook"/>
    <n v="2"/>
    <n v="60"/>
    <n v="10"/>
    <n v="108"/>
    <n v="2"/>
    <s v="UPI"/>
    <s v="Aisha"/>
    <s v="amit.sharma@company.com"/>
    <s v="9264578122"/>
    <s v="Completed"/>
    <x v="1"/>
  </r>
  <r>
    <s v="ORD10159"/>
    <s v="C009"/>
    <s v="P201"/>
    <x v="57"/>
    <s v="23/05/2026"/>
    <s v="Vikas Mehta"/>
    <s v="Male"/>
    <s v="11/09/1999"/>
    <s v="Delhi"/>
    <s v="East"/>
    <s v="Electronics"/>
    <s v="Mixer"/>
    <n v="9"/>
    <n v="3500"/>
    <n v="20"/>
    <n v="25200"/>
    <n v="1"/>
    <s v="NetBanking"/>
    <s v="Ritika"/>
    <s v="mohit.verma@company.com"/>
    <s v="9275071213"/>
    <s v="Completed"/>
    <x v="8"/>
  </r>
  <r>
    <s v="ORD10160"/>
    <s v="C005"/>
    <s v="P101"/>
    <x v="26"/>
    <s v="16/03/2026"/>
    <s v="Amit Sharma"/>
    <s v="Male"/>
    <s v="07/12/1995"/>
    <s v="Jaipur"/>
    <s v="South"/>
    <s v="Stationery"/>
    <s v="Laptop"/>
    <n v="4"/>
    <n v="55000"/>
    <n v="5"/>
    <n v="209000"/>
    <n v="2"/>
    <s v="Cash"/>
    <s v="Karan"/>
    <s v="vikas.mehta@company.com"/>
    <s v="9715222543"/>
    <s v="Pending"/>
    <x v="4"/>
  </r>
  <r>
    <s v="ORD10161"/>
    <s v="C001"/>
    <s v="P102"/>
    <x v="70"/>
    <s v="01/07/2025"/>
    <s v="Mohit Verma"/>
    <s v="Male"/>
    <s v="22/07/1999"/>
    <s v="Delhi"/>
    <s v="North"/>
    <s v="Home Appliances"/>
    <s v="Mouse"/>
    <n v="11"/>
    <n v="700"/>
    <n v="20"/>
    <n v="6160"/>
    <n v="4"/>
    <s v="Cash"/>
    <s v="Karan"/>
    <s v="amit.sharma@company.com"/>
    <s v="9942010833"/>
    <s v="Cancelled"/>
    <x v="7"/>
  </r>
  <r>
    <s v="ORD10162"/>
    <s v="C004"/>
    <s v="P103"/>
    <x v="33"/>
    <s v="29/11/2025"/>
    <s v="Vikas Mehta"/>
    <s v="Female"/>
    <s v="14/11/2000"/>
    <s v="Kolkata"/>
    <s v="North"/>
    <s v="Electronics"/>
    <s v="Keyboard"/>
    <n v="16"/>
    <n v="1200"/>
    <n v="5"/>
    <n v="18240"/>
    <n v="1"/>
    <s v="Card"/>
    <s v="Ritika"/>
    <s v="anita.gupta@company.com"/>
    <s v="9347718932"/>
    <s v="Pending"/>
    <x v="10"/>
  </r>
  <r>
    <s v="ORD10163"/>
    <s v="C004"/>
    <s v="P103"/>
    <x v="82"/>
    <s v="17/09/2025"/>
    <s v="Amit Sharma"/>
    <s v="Female"/>
    <s v="24/07/2002"/>
    <s v="Pune"/>
    <s v="North"/>
    <s v="Electronics"/>
    <s v="Keyboard"/>
    <n v="1"/>
    <n v="1200"/>
    <n v="5"/>
    <n v="1140"/>
    <n v="4"/>
    <s v="Card"/>
    <s v="Ritika"/>
    <s v="anita.gupta@company.com"/>
    <s v="9274808844"/>
    <s v="Completed"/>
    <x v="0"/>
  </r>
  <r>
    <s v="ORD10164"/>
    <s v="C001"/>
    <s v="P301"/>
    <x v="137"/>
    <s v="13/11/2025"/>
    <s v="Anita Gupta"/>
    <s v="Male"/>
    <s v="25/02/2002"/>
    <s v="Jaipur"/>
    <s v="East"/>
    <s v="Electronics"/>
    <s v="Notebook"/>
    <n v="7"/>
    <n v="60"/>
    <n v="0"/>
    <n v="420"/>
    <n v="2"/>
    <s v="UPI"/>
    <s v="Karan"/>
    <s v="amit.sharma@company.com"/>
    <s v="9798996063"/>
    <s v="Completed"/>
    <x v="10"/>
  </r>
  <r>
    <s v="ORD10165"/>
    <s v="C004"/>
    <s v="P202"/>
    <x v="20"/>
    <s v="07/01/2025"/>
    <s v="Anita Gupta"/>
    <s v="Female"/>
    <s v="16/07/1980"/>
    <s v="Pune"/>
    <s v="West"/>
    <s v="Electronics"/>
    <s v="Iron"/>
    <n v="14"/>
    <n v="2200"/>
    <n v="0"/>
    <n v="30800"/>
    <n v="2"/>
    <s v="UPI"/>
    <s v="Ritika"/>
    <s v="anita.gupta@company.com"/>
    <s v="9145200936"/>
    <s v="Cancelled"/>
    <x v="2"/>
  </r>
  <r>
    <s v="ORD10166"/>
    <s v="C004"/>
    <s v="P201"/>
    <x v="138"/>
    <s v="27/06/2025"/>
    <s v="Amit Sharma"/>
    <s v="Female"/>
    <s v="25/05/1996"/>
    <s v="Ahmedabad"/>
    <s v="North"/>
    <s v="Stationery"/>
    <s v="Mixer"/>
    <n v="15"/>
    <n v="3500"/>
    <n v="15"/>
    <n v="44625"/>
    <n v="2"/>
    <s v="UPI"/>
    <s v="Aisha"/>
    <s v="anita.gupta@company.com"/>
    <s v="9697654418"/>
    <s v="Pending"/>
    <x v="7"/>
  </r>
  <r>
    <s v="ORD10167"/>
    <s v="C003"/>
    <s v="P201"/>
    <x v="139"/>
    <s v="06/04/2025"/>
    <s v="Anita Gupta"/>
    <s v="Male"/>
    <s v="11/05/1986"/>
    <s v="Kolkata"/>
    <s v="West"/>
    <s v="Home Appliances"/>
    <s v="Mixer"/>
    <n v="19"/>
    <n v="3500"/>
    <n v="5"/>
    <n v="63175"/>
    <n v="2"/>
    <s v="Cash"/>
    <s v="Neha"/>
    <s v="rohit.singh@company.com"/>
    <s v="9457923119"/>
    <s v="Cancelled"/>
    <x v="4"/>
  </r>
  <r>
    <s v="ORD10168"/>
    <s v="C001"/>
    <s v="P101"/>
    <x v="140"/>
    <s v="10/07/2025"/>
    <s v="Anita Gupta"/>
    <s v="Male"/>
    <s v="25/05/1989"/>
    <s v="Bengaluru"/>
    <s v="West"/>
    <s v="Home Appliances"/>
    <s v="Laptop"/>
    <n v="12"/>
    <n v="55000"/>
    <n v="5"/>
    <n v="627000"/>
    <n v="4"/>
    <s v="Card"/>
    <s v="Aisha"/>
    <s v="amit.sharma@company.com"/>
    <s v="9236111271"/>
    <s v="Cancelled"/>
    <x v="5"/>
  </r>
  <r>
    <s v="ORD10169"/>
    <s v="C010"/>
    <s v="P103"/>
    <x v="90"/>
    <s v="26/01/2026"/>
    <s v="Rohit Singh"/>
    <s v="Female"/>
    <s v="25/08/1989"/>
    <s v="Mumbai"/>
    <s v="East"/>
    <s v="Home Appliances"/>
    <s v="Keyboard"/>
    <n v="6"/>
    <n v="1200"/>
    <n v="10"/>
    <n v="6480"/>
    <n v="5"/>
    <s v="NetBanking"/>
    <s v="Neha"/>
    <s v="pooja.shah@company.com"/>
    <s v="9402569141"/>
    <s v="Cancelled"/>
    <x v="2"/>
  </r>
  <r>
    <s v="ORD10170"/>
    <s v="C006"/>
    <s v="P203"/>
    <x v="9"/>
    <s v="20/09/2025"/>
    <s v="Amit Sharma"/>
    <s v="Female"/>
    <s v="20/05/1997"/>
    <s v="Hyderabad"/>
    <s v="South"/>
    <s v="Electronics"/>
    <s v="Microwave"/>
    <n v="1"/>
    <n v="8500"/>
    <n v="0"/>
    <n v="8500"/>
    <n v="1"/>
    <s v="UPI"/>
    <s v="Karan"/>
    <s v="sneha.joshi@company.com"/>
    <s v="9138184056"/>
    <s v="Cancelled"/>
    <x v="0"/>
  </r>
  <r>
    <s v="ORD10171"/>
    <s v="C003"/>
    <s v="P101"/>
    <x v="141"/>
    <s v="07/04/2026"/>
    <s v="Pooja Shah"/>
    <s v="Male"/>
    <s v="03/05/1987"/>
    <s v="Ahmedabad"/>
    <s v="West"/>
    <s v="Electronics"/>
    <s v="Laptop"/>
    <n v="20"/>
    <n v="55000"/>
    <n v="10"/>
    <n v="990000"/>
    <n v="5"/>
    <s v="NetBanking"/>
    <s v="Karan"/>
    <s v="rohit.singh@company.com"/>
    <s v="9609598700"/>
    <s v="Completed"/>
    <x v="1"/>
  </r>
  <r>
    <s v="ORD10172"/>
    <s v="C005"/>
    <s v="P103"/>
    <x v="142"/>
    <s v="29/10/2025"/>
    <s v="Sneha Joshi"/>
    <s v="Male"/>
    <s v="02/12/2002"/>
    <s v="Ahmedabad"/>
    <s v="South"/>
    <s v="Home Appliances"/>
    <s v="Keyboard"/>
    <n v="8"/>
    <n v="1200"/>
    <n v="15"/>
    <n v="8160"/>
    <n v="2"/>
    <s v="UPI"/>
    <s v="Neha"/>
    <s v="vikas.mehta@company.com"/>
    <s v="9385894399"/>
    <s v="Cancelled"/>
    <x v="9"/>
  </r>
  <r>
    <s v="ORD10173"/>
    <s v="C008"/>
    <s v="P201"/>
    <x v="143"/>
    <s v="17/02/2025"/>
    <s v="Rohit Singh"/>
    <s v="Female"/>
    <s v="25/05/1986"/>
    <s v="Jaipur"/>
    <s v="West"/>
    <s v="Electronics"/>
    <s v="Mixer"/>
    <n v="19"/>
    <n v="3500"/>
    <n v="5"/>
    <n v="63175"/>
    <n v="4"/>
    <s v="UPI"/>
    <s v="Rahul"/>
    <s v="KAvya.nair@company.com"/>
    <s v="9329448011"/>
    <s v="Pending"/>
    <x v="3"/>
  </r>
  <r>
    <s v="ORD10174"/>
    <s v="C005"/>
    <s v="P303"/>
    <x v="1"/>
    <s v="29/04/2025"/>
    <s v="Vikas Mehta"/>
    <s v="Male"/>
    <s v="22/02/1986"/>
    <s v="Jaipur"/>
    <s v="West"/>
    <s v="Electronics"/>
    <s v="Marker"/>
    <n v="6"/>
    <n v="45"/>
    <n v="20"/>
    <n v="216"/>
    <n v="1"/>
    <s v="Card"/>
    <s v="Rahul"/>
    <s v="vikas.mehtacompany.com"/>
    <s v="9889544104"/>
    <s v="Pending"/>
    <x v="1"/>
  </r>
  <r>
    <s v="ORD10175"/>
    <s v="C006"/>
    <s v="P303"/>
    <x v="144"/>
    <s v="25/03/2025"/>
    <s v="Kavya Nair"/>
    <s v="Female"/>
    <s v="07/04/1988"/>
    <s v="Pune"/>
    <s v="North"/>
    <s v="Home Appliances"/>
    <s v="Marker"/>
    <n v="17"/>
    <n v="45"/>
    <n v="15"/>
    <n v="650.25"/>
    <n v="5"/>
    <s v="Cash"/>
    <s v="Neha"/>
    <s v="sneha.joshi@company.com"/>
    <s v="9101861045"/>
    <s v="Pending"/>
    <x v="4"/>
  </r>
  <r>
    <s v="ORD10176"/>
    <s v="C008"/>
    <s v="P302"/>
    <x v="124"/>
    <s v="16/07/2025"/>
    <s v="Vikas Mehta"/>
    <s v="Female"/>
    <s v="27/06/1993"/>
    <s v="Pune"/>
    <s v="North"/>
    <s v="Stationery"/>
    <s v="Pen"/>
    <n v="19"/>
    <n v="20"/>
    <n v="5"/>
    <n v="361"/>
    <n v="4"/>
    <s v="Cash"/>
    <s v="Ritika"/>
    <s v="KAvya.nair@company.com"/>
    <s v="9364712105"/>
    <s v="Pending"/>
    <x v="5"/>
  </r>
  <r>
    <s v="ORD10177"/>
    <s v="C006"/>
    <s v="P302"/>
    <x v="145"/>
    <s v="03/12/2025"/>
    <s v="Sneha Joshi"/>
    <s v="Female"/>
    <s v="18/06/2004"/>
    <s v="Ahmedabad"/>
    <s v="West"/>
    <s v="Stationery"/>
    <s v="Pen"/>
    <n v="11"/>
    <n v="20"/>
    <n v="0"/>
    <n v="220"/>
    <n v="3"/>
    <s v="NetBanking"/>
    <s v="Rahul"/>
    <s v="sneha.joshi@company.com"/>
    <s v="9950206376"/>
    <s v="Completed"/>
    <x v="6"/>
  </r>
  <r>
    <s v="ORD10178"/>
    <s v="C004"/>
    <s v="P301"/>
    <x v="146"/>
    <s v="21/02/2026"/>
    <s v="Kavya Nair"/>
    <s v="Female"/>
    <s v="09/09/1993"/>
    <s v="Delhi"/>
    <s v="West"/>
    <s v="Stationery"/>
    <s v="Notebook"/>
    <n v="12"/>
    <n v="60"/>
    <n v="0"/>
    <n v="720"/>
    <n v="2"/>
    <s v="NetBanking"/>
    <s v="Rahul"/>
    <s v="anita.gupta@company.com"/>
    <s v="9235822094"/>
    <s v="Completed"/>
    <x v="3"/>
  </r>
  <r>
    <s v="ORD10179"/>
    <s v="C005"/>
    <s v="P303"/>
    <x v="147"/>
    <s v="13/11/2025"/>
    <s v="Sneha Joshi"/>
    <s v="Male"/>
    <s v="13/09/2001"/>
    <s v="Kolkata"/>
    <s v="West"/>
    <s v="Stationery"/>
    <s v="Marker"/>
    <n v="14"/>
    <n v="45"/>
    <n v="15"/>
    <n v="535.5"/>
    <n v="5"/>
    <s v="UPI"/>
    <s v="Neha"/>
    <s v="vikas.mehta@company.com"/>
    <s v="9311021344"/>
    <s v="Pending"/>
    <x v="10"/>
  </r>
  <r>
    <s v="ORD10180"/>
    <s v="C008"/>
    <s v="P102"/>
    <x v="148"/>
    <s v="19/02/2025"/>
    <s v="Anita Gupta"/>
    <s v="Female"/>
    <s v="15/11/1981"/>
    <s v="Hyderabad"/>
    <s v="North"/>
    <s v="Stationery"/>
    <s v="Mouse"/>
    <n v="15"/>
    <n v="700"/>
    <n v="10"/>
    <n v="9450"/>
    <n v="3"/>
    <s v="NetBanking"/>
    <s v="Rahul"/>
    <s v="KAvya.nair@company.com"/>
    <s v="9891358505"/>
    <s v="Pending"/>
    <x v="3"/>
  </r>
  <r>
    <s v="ORD10181"/>
    <s v="C002"/>
    <s v="P203"/>
    <x v="149"/>
    <s v="30/05/2025"/>
    <s v="Priya Patel"/>
    <s v="Female"/>
    <s v="12/09/1980"/>
    <s v="Ahmedabad"/>
    <s v="East"/>
    <s v="Stationery"/>
    <s v="Microwave"/>
    <n v="19"/>
    <n v="8500"/>
    <n v="15"/>
    <n v="137275"/>
    <n v="2"/>
    <s v="Cash"/>
    <s v="Ritika"/>
    <s v="priYa.patel@company.com"/>
    <s v="9910085332"/>
    <s v="Cancelled"/>
    <x v="8"/>
  </r>
  <r>
    <s v="ORD10182"/>
    <s v="C006"/>
    <s v="P301"/>
    <x v="150"/>
    <s v="06/10/2025"/>
    <s v="Kavya Nair"/>
    <s v="Female"/>
    <s v="07/04/1988"/>
    <s v="Jaipur"/>
    <s v="South"/>
    <s v="Electronics"/>
    <s v="Notebook"/>
    <n v="19"/>
    <n v="60"/>
    <n v="20"/>
    <n v="912"/>
    <n v="4"/>
    <s v="Card"/>
    <s v="Rahul"/>
    <s v="sneha.joshi@company.com"/>
    <s v="9756908023"/>
    <s v="Pending"/>
    <x v="9"/>
  </r>
  <r>
    <s v="ORD10183"/>
    <s v="C002"/>
    <s v="P303"/>
    <x v="151"/>
    <s v="26/05/2025"/>
    <s v="Priya Patel"/>
    <s v="Female"/>
    <s v="19/02/1988"/>
    <s v="Bengaluru"/>
    <s v="West"/>
    <s v="Home Appliances"/>
    <s v="Marker"/>
    <n v="10"/>
    <n v="45"/>
    <n v="15"/>
    <n v="382.5"/>
    <n v="4"/>
    <s v="Cash"/>
    <s v="Karan"/>
    <s v="priYa.patel@company.com"/>
    <s v="9645913247"/>
    <s v="Completed"/>
    <x v="8"/>
  </r>
  <r>
    <s v="ORD10184"/>
    <s v="C009"/>
    <s v="P202"/>
    <x v="152"/>
    <s v="23/06/2025"/>
    <s v="Sneha Joshi"/>
    <s v="Male"/>
    <s v="03/12/1981"/>
    <s v="Delhi"/>
    <s v="North"/>
    <s v="Stationery"/>
    <s v="Iron"/>
    <n v="7"/>
    <n v="2200"/>
    <n v="20"/>
    <n v="12320"/>
    <n v="5"/>
    <s v="UPI"/>
    <s v="Rahul"/>
    <s v="mohit.verma@company.com"/>
    <s v="9806914795"/>
    <s v="Pending"/>
    <x v="7"/>
  </r>
  <r>
    <s v="ORD10185"/>
    <s v="C002"/>
    <s v="P203"/>
    <x v="153"/>
    <s v="04/05/2025"/>
    <s v="Priya Patel"/>
    <s v="Female"/>
    <s v="11/02/1984"/>
    <s v="Kolkata"/>
    <s v="South"/>
    <s v="Stationery"/>
    <s v="Microwave"/>
    <n v="20"/>
    <n v="8500"/>
    <n v="20"/>
    <n v="136000"/>
    <n v="4"/>
    <s v="NetBanking"/>
    <s v="Ritika"/>
    <s v="priYa.patel@company.com"/>
    <s v="9276222829"/>
    <s v="Completed"/>
    <x v="1"/>
  </r>
  <r>
    <s v="ORD10186"/>
    <s v="C006"/>
    <s v="P202"/>
    <x v="122"/>
    <s v="24/01/2025"/>
    <s v="Mohit Verma"/>
    <s v="Female"/>
    <s v="07/12/1991"/>
    <s v="Hyderabad"/>
    <s v="North"/>
    <s v="Home Appliances"/>
    <s v="Iron"/>
    <n v="10"/>
    <n v="2200"/>
    <n v="5"/>
    <n v="20900"/>
    <n v="2"/>
    <s v="NetBanking"/>
    <s v="Rahul"/>
    <s v="sneha.joshi@company.com"/>
    <s v="9533835528"/>
    <s v="Completed"/>
    <x v="2"/>
  </r>
  <r>
    <s v="ORD10187"/>
    <s v="C003"/>
    <s v="P301"/>
    <x v="154"/>
    <s v="26/12/2025"/>
    <s v="Priya Patel"/>
    <s v="Male"/>
    <s v="21/02/1976"/>
    <s v="Pune"/>
    <s v="East"/>
    <s v="Home Appliances"/>
    <s v="Notebook"/>
    <n v="15"/>
    <n v="60"/>
    <n v="20"/>
    <n v="720"/>
    <n v="1"/>
    <s v="Card"/>
    <s v="Ritika"/>
    <s v="rohit.singh@company.com"/>
    <s v="9654885820"/>
    <s v="Completed"/>
    <x v="6"/>
  </r>
  <r>
    <s v="ORD10188"/>
    <s v="C005"/>
    <s v="P201"/>
    <x v="24"/>
    <s v="28/06/2025"/>
    <s v="Sneha Joshi"/>
    <s v="Male"/>
    <s v="28/08/1975"/>
    <s v="Hyderabad"/>
    <s v="South"/>
    <s v="Home Appliances"/>
    <s v="Mixer"/>
    <n v="18"/>
    <n v="3500"/>
    <n v="5"/>
    <n v="59850"/>
    <n v="1"/>
    <s v="Card"/>
    <s v="Rahul"/>
    <s v="vikas.mehta@company.com"/>
    <s v="9456029544"/>
    <s v="Cancelled"/>
    <x v="7"/>
  </r>
  <r>
    <s v="ORD10189"/>
    <s v="C001"/>
    <s v="P104"/>
    <x v="155"/>
    <s v="22/05/2026"/>
    <s v="Rohit Singh"/>
    <s v="Male"/>
    <s v="05/12/1987"/>
    <s v="Pune"/>
    <s v="West"/>
    <s v="Stationery"/>
    <s v="Monitor"/>
    <n v="6"/>
    <n v="12000"/>
    <n v="5"/>
    <n v="68400"/>
    <n v="1"/>
    <s v="NetBanking"/>
    <s v="Rahul"/>
    <s v="amit.sharma@company.com"/>
    <s v="9914571493"/>
    <s v="Cancelled"/>
    <x v="8"/>
  </r>
  <r>
    <s v="ORD10190"/>
    <s v="C001"/>
    <s v="P302"/>
    <x v="146"/>
    <s v="16/02/2026"/>
    <s v="Vikas Mehta"/>
    <s v="Male"/>
    <s v="26/08/2004"/>
    <s v="Bengaluru"/>
    <s v="South"/>
    <s v="Home Appliances"/>
    <s v="Pen"/>
    <n v="19"/>
    <n v="20"/>
    <n v="10"/>
    <n v="342"/>
    <n v="2"/>
    <s v="NetBanking"/>
    <s v="Ritika"/>
    <s v="amit.sharma@company.com"/>
    <s v="9270726986"/>
    <s v="Pending"/>
    <x v="3"/>
  </r>
  <r>
    <s v="ORD10191"/>
    <s v="C005"/>
    <s v="P202"/>
    <x v="57"/>
    <s v="20/05/2026"/>
    <s v="Amit Sharma"/>
    <s v="Male"/>
    <s v="16/01/1994"/>
    <s v="Pune"/>
    <s v="West"/>
    <s v="Electronics"/>
    <s v="Iron"/>
    <n v="7"/>
    <n v="2200"/>
    <n v="0"/>
    <n v="15400"/>
    <n v="1"/>
    <s v="Card"/>
    <s v="Neha"/>
    <s v="vikas.mehta@company.com"/>
    <s v="9570080664"/>
    <s v="Cancelled"/>
    <x v="8"/>
  </r>
  <r>
    <s v="ORD10192"/>
    <s v="C001"/>
    <s v="P104"/>
    <x v="156"/>
    <s v="20/11/2025"/>
    <s v="Amit Sharma"/>
    <s v="Male"/>
    <s v="28/10/2003"/>
    <s v="Jaipur"/>
    <s v="South"/>
    <s v="Stationery"/>
    <s v="Monitor"/>
    <n v="3"/>
    <n v="12000"/>
    <n v="5"/>
    <n v="34200"/>
    <n v="3"/>
    <s v="Card"/>
    <s v="Aisha"/>
    <s v="amit.sharma@company.com"/>
    <s v="9109009524"/>
    <s v="Cancelled"/>
    <x v="10"/>
  </r>
  <r>
    <s v="ORD10193"/>
    <s v="C004"/>
    <s v="P202"/>
    <x v="104"/>
    <s v="04/11/2025"/>
    <s v="Vikas Mehta"/>
    <s v="Female"/>
    <s v="16/05/2000"/>
    <s v="Jaipur"/>
    <s v="West"/>
    <s v="Home Appliances"/>
    <s v="Iron"/>
    <n v="16"/>
    <n v="2200"/>
    <n v="0"/>
    <n v="35200"/>
    <n v="5"/>
    <s v="Card"/>
    <s v="Ritika"/>
    <s v="anita.gupta@company.com"/>
    <s v="9701276770"/>
    <s v="Pending"/>
    <x v="9"/>
  </r>
  <r>
    <s v="ORD10194"/>
    <s v="C006"/>
    <s v="P202"/>
    <x v="157"/>
    <s v="18/02/2025"/>
    <s v="Amit Sharma"/>
    <s v="Female"/>
    <s v="04/07/1989"/>
    <s v="Delhi"/>
    <s v="North"/>
    <s v="Electronics"/>
    <s v="Iron"/>
    <n v="8"/>
    <n v="2200"/>
    <n v="5"/>
    <n v="16720"/>
    <n v="2"/>
    <s v="UPI"/>
    <s v="Karan"/>
    <s v="sneha.joshi@company.com"/>
    <s v="9298278507"/>
    <s v="Completed"/>
    <x v="3"/>
  </r>
  <r>
    <s v="ORD10195"/>
    <s v="C006"/>
    <s v="P202"/>
    <x v="95"/>
    <s v="14/12/2025"/>
    <s v="Anita Gupta"/>
    <s v="Female"/>
    <s v="09/03/1998"/>
    <s v="Ahmedabad"/>
    <s v="North"/>
    <s v="Home Appliances"/>
    <s v="Iron"/>
    <n v="10"/>
    <n v="2200"/>
    <n v="10"/>
    <n v="19800"/>
    <n v="5"/>
    <s v="NetBanking"/>
    <s v="Neha"/>
    <s v="sneha.joshi@company.com"/>
    <s v="9895908093"/>
    <s v="Pending"/>
    <x v="6"/>
  </r>
  <r>
    <s v="ORD10196"/>
    <s v="C007"/>
    <s v="P302"/>
    <x v="158"/>
    <s v="09/05/2025"/>
    <s v="Sneha Joshi"/>
    <s v="Male"/>
    <s v="21/05/1988"/>
    <s v="Delhi"/>
    <s v="North"/>
    <s v="Home Appliances"/>
    <s v="Pen"/>
    <n v="7"/>
    <n v="20"/>
    <n v="10"/>
    <n v="126"/>
    <n v="4"/>
    <s v="Card"/>
    <s v="Aisha"/>
    <s v="arjun.rao@company.com"/>
    <s v="9734108795"/>
    <s v="Completed"/>
    <x v="1"/>
  </r>
  <r>
    <s v="ORD10197"/>
    <s v="C005"/>
    <s v="P203"/>
    <x v="28"/>
    <s v="14/01/2026"/>
    <s v="Sneha Joshi"/>
    <s v="Male"/>
    <s v="18/07/1994"/>
    <s v="Hyderabad"/>
    <s v="West"/>
    <s v="Home Appliances"/>
    <s v="Microwave"/>
    <n v="19"/>
    <n v="8500"/>
    <n v="20"/>
    <n v="129200"/>
    <n v="3"/>
    <s v="NetBanking"/>
    <s v="Aisha"/>
    <s v="vikas.mehta@company.com"/>
    <s v="9799597413"/>
    <s v="Pending"/>
    <x v="2"/>
  </r>
  <r>
    <s v="ORD10198"/>
    <s v="C002"/>
    <s v="P301"/>
    <x v="58"/>
    <s v="06/03/2025"/>
    <s v="Arjun Rao"/>
    <s v="Female"/>
    <s v="15/11/1977"/>
    <s v="Pune"/>
    <s v="North"/>
    <s v="Stationery"/>
    <s v="Notebook"/>
    <n v="16"/>
    <n v="60"/>
    <n v="0"/>
    <n v="960"/>
    <n v="2"/>
    <s v="NetBanking"/>
    <s v="Neha"/>
    <s v="priYa.patel@company.com"/>
    <s v="9688987266"/>
    <s v="Completed"/>
    <x v="4"/>
  </r>
  <r>
    <s v="ORD10199"/>
    <s v="C005"/>
    <s v="P201"/>
    <x v="159"/>
    <s v="27/04/2026"/>
    <s v="Vikas Mehta"/>
    <s v="Male"/>
    <s v="22/09/1982"/>
    <s v="Bengaluru"/>
    <s v="South"/>
    <s v="Home Appliances"/>
    <s v="Mixer"/>
    <n v="18"/>
    <n v="3500"/>
    <n v="5"/>
    <n v="59850"/>
    <n v="1"/>
    <s v="UPI"/>
    <s v="Neha"/>
    <s v="vikas.mehta@company.com"/>
    <s v="9867169037"/>
    <s v="Pending"/>
    <x v="1"/>
  </r>
  <r>
    <s v="ORD10200"/>
    <s v="C002"/>
    <s v="P101"/>
    <x v="160"/>
    <s v="01/03/2025"/>
    <s v="Priya Patel"/>
    <s v="Female"/>
    <s v="14/09/1994"/>
    <s v="Jaipur"/>
    <s v="West"/>
    <s v="Stationery"/>
    <s v="Laptop"/>
    <n v="16"/>
    <n v="55000"/>
    <n v="0"/>
    <n v="880000"/>
    <n v="1"/>
    <s v="Card"/>
    <s v="Aisha"/>
    <s v="priYa.patel@company.com"/>
    <s v="9485547425"/>
    <s v="Cancelled"/>
    <x v="3"/>
  </r>
  <r>
    <s v="ORD10201"/>
    <s v="C005"/>
    <s v="P103"/>
    <x v="143"/>
    <s v="09/02/2025"/>
    <s v="Vikas Mehta"/>
    <s v="Male"/>
    <s v="02/12/1995"/>
    <s v="Ahmedabad"/>
    <s v="South"/>
    <s v="Stationary"/>
    <s v="Keyboard"/>
    <n v="18"/>
    <n v="1200"/>
    <n v="15"/>
    <n v="18360"/>
    <n v="2"/>
    <s v="NetBanking"/>
    <s v="Ritika"/>
    <s v="vikas.mehta@company.com"/>
    <s v="9889733076"/>
    <s v="Cancelled"/>
    <x v="3"/>
  </r>
  <r>
    <s v="ORD10202"/>
    <s v="C009"/>
    <s v="P303"/>
    <x v="161"/>
    <s v="27/05/2025"/>
    <s v="Priya Patel"/>
    <s v="Male"/>
    <s v="10/07/1985"/>
    <s v="Hyderabad"/>
    <s v="North"/>
    <s v="Electronics"/>
    <s v="Marker"/>
    <n v="2"/>
    <n v="45"/>
    <n v="15"/>
    <n v="76.5"/>
    <n v="5"/>
    <s v="Cash"/>
    <s v="Aisha"/>
    <s v="mohit.verma@company.com"/>
    <s v="9145434449"/>
    <s v="Cancelled"/>
    <x v="8"/>
  </r>
  <r>
    <s v="ORD10203"/>
    <s v="C010"/>
    <s v="P203"/>
    <x v="162"/>
    <s v="12/01/2026"/>
    <s v="Vikas Mehta"/>
    <s v="Female"/>
    <s v="25/03/2001"/>
    <s v="Bengaluru"/>
    <s v="West"/>
    <s v="Electronics"/>
    <s v="Microwave"/>
    <n v="20"/>
    <n v="8500"/>
    <n v="0"/>
    <n v="170000"/>
    <n v="4"/>
    <s v="NetBanking"/>
    <s v="Aisha"/>
    <s v="pooja.shah@company.com"/>
    <s v="9598942148"/>
    <s v="Cancelled"/>
    <x v="2"/>
  </r>
  <r>
    <s v="ORD10204"/>
    <s v="C003"/>
    <s v="P201"/>
    <x v="35"/>
    <s v="09/03/2026"/>
    <s v="Mohit Verma"/>
    <s v="Male"/>
    <s v="27/04/1981"/>
    <s v="Jaipur"/>
    <s v="South"/>
    <s v="Stationery"/>
    <s v="Mixer"/>
    <n v="6"/>
    <n v="3500"/>
    <n v="5"/>
    <n v="19950"/>
    <n v="1"/>
    <s v="Cash"/>
    <s v="Karan"/>
    <s v="rohit.singh@company.com"/>
    <s v="9599252705"/>
    <s v="Completed"/>
    <x v="4"/>
  </r>
  <r>
    <s v="ORD10205"/>
    <s v="C004"/>
    <s v="P303"/>
    <x v="37"/>
    <s v="09/10/2025"/>
    <s v="Pooja Shah"/>
    <s v="Female"/>
    <s v="14/01/2003"/>
    <s v="Pune"/>
    <s v="South"/>
    <s v="Home Appliances"/>
    <s v="Marker"/>
    <n v="8"/>
    <n v="45"/>
    <n v="5"/>
    <n v="342"/>
    <n v="2"/>
    <s v="Cash"/>
    <s v="Rahul"/>
    <s v="anita.gupta@company.com"/>
    <s v="9626843681"/>
    <s v="Pending"/>
    <x v="9"/>
  </r>
  <r>
    <s v="ORD10206"/>
    <s v="C001"/>
    <s v="P202"/>
    <x v="163"/>
    <s v="12/03/2025"/>
    <s v="Rohit Singh"/>
    <s v="Male"/>
    <s v="02/10/1980"/>
    <s v="Mumbai"/>
    <s v="North"/>
    <s v="Home Appliances"/>
    <s v="Iron"/>
    <n v="18"/>
    <n v="2200"/>
    <n v="15"/>
    <n v="33660"/>
    <n v="4"/>
    <s v="Card"/>
    <s v="Aisha"/>
    <s v="amit.sharma@company.com"/>
    <s v="9934933215"/>
    <s v="Pending"/>
    <x v="4"/>
  </r>
  <r>
    <s v="ORD10207"/>
    <s v="C005"/>
    <s v="P102"/>
    <x v="164"/>
    <s v="15/04/2026"/>
    <s v="Anita Gupta"/>
    <s v="Male"/>
    <s v="24/10/1990"/>
    <s v="Hyderabad"/>
    <s v="West"/>
    <s v="Stationery"/>
    <s v="Mouse"/>
    <n v="18"/>
    <n v="700"/>
    <n v="15"/>
    <n v="10710"/>
    <n v="3"/>
    <s v="Card"/>
    <s v="Karan"/>
    <s v="vikas.mehta@company.com"/>
    <s v="9508025585"/>
    <s v="Cancelled"/>
    <x v="1"/>
  </r>
  <r>
    <s v="ORD10208"/>
    <s v="C001"/>
    <s v="P101"/>
    <x v="165"/>
    <s v="20/01/2026"/>
    <s v="Amit Sharma"/>
    <s v="Male"/>
    <s v="24/09/1977"/>
    <s v="Pune"/>
    <s v="West"/>
    <s v="Home Appliances"/>
    <s v="Laptop"/>
    <n v="12"/>
    <n v="55000"/>
    <n v="0"/>
    <n v="660000"/>
    <n v="2"/>
    <s v="UPI"/>
    <s v="Rahul"/>
    <s v="amit.sharma@company.com"/>
    <s v="9364681052"/>
    <s v="Cancelled"/>
    <x v="2"/>
  </r>
  <r>
    <s v="ORD10209"/>
    <s v="C008"/>
    <s v="P104"/>
    <x v="73"/>
    <s v="24/11/2025"/>
    <s v="Vikas Mehta"/>
    <s v="Female"/>
    <s v="02/10/1996"/>
    <s v="Mumbai"/>
    <s v="South"/>
    <s v="Electronics"/>
    <s v="Monitor"/>
    <n v="7"/>
    <n v="12000"/>
    <n v="5"/>
    <n v="79800"/>
    <n v="3"/>
    <s v="Card"/>
    <s v="Karan"/>
    <s v="KAvya.nair@company.com"/>
    <s v="9117102884"/>
    <s v="Pending"/>
    <x v="10"/>
  </r>
  <r>
    <s v="ORD10210"/>
    <s v="C006"/>
    <s v="P104"/>
    <x v="166"/>
    <s v="23/09/2025"/>
    <s v="Amit Sharma"/>
    <s v="Female"/>
    <s v="17/05/1976"/>
    <s v="Mumbai"/>
    <s v="West"/>
    <s v="Electronics"/>
    <s v="Monitor"/>
    <n v="8"/>
    <n v="12000"/>
    <n v="15"/>
    <n v="81600"/>
    <n v="4"/>
    <s v="Card"/>
    <s v="Rahul"/>
    <s v="sneha.joshi@company.com"/>
    <s v="9819453185"/>
    <s v="Completed"/>
    <x v="0"/>
  </r>
  <r>
    <s v="ORD10211"/>
    <s v="C001"/>
    <s v="P201"/>
    <x v="167"/>
    <s v="27/12/2025"/>
    <s v="Kavya Nair"/>
    <s v="Male"/>
    <s v="09/12/1987"/>
    <s v="Mumbai"/>
    <s v="West"/>
    <s v="Electronics"/>
    <s v="Mixer"/>
    <n v="19"/>
    <n v="3500"/>
    <n v="5"/>
    <n v="63175"/>
    <n v="3"/>
    <s v="Card"/>
    <s v="Aisha"/>
    <s v="amit.sharma@company.com"/>
    <s v="9511806701"/>
    <s v="Pending"/>
    <x v="6"/>
  </r>
  <r>
    <s v="ORD10212"/>
    <s v="C006"/>
    <s v="P303"/>
    <x v="143"/>
    <s v="16/02/2025"/>
    <s v="Sneha Joshi"/>
    <s v="Female"/>
    <s v="16/07/1990"/>
    <s v="Ahmedabad"/>
    <s v="West"/>
    <s v="Electronics"/>
    <s v="Marker"/>
    <n v="7"/>
    <n v="45"/>
    <n v="5"/>
    <n v="299.25"/>
    <n v="3"/>
    <s v="Card"/>
    <s v="Ritika"/>
    <s v="sneha.joshi@company.com"/>
    <s v="9875249891"/>
    <s v="Cancelled"/>
    <x v="3"/>
  </r>
  <r>
    <s v="ORD10213"/>
    <s v="C008"/>
    <s v="P301"/>
    <x v="168"/>
    <s v="08/06/2025"/>
    <s v="Amit Sharma"/>
    <s v="Female"/>
    <s v="09/08/1991"/>
    <s v="Hyderabad"/>
    <s v="West"/>
    <s v="Home Appliances"/>
    <s v="Notebook"/>
    <n v="3"/>
    <n v="60"/>
    <n v="15"/>
    <n v="153"/>
    <n v="3"/>
    <s v="NetBanking"/>
    <s v="Rahul"/>
    <s v="KAvya.nair@company.com"/>
    <s v="9438232503"/>
    <s v="Cancelled"/>
    <x v="7"/>
  </r>
  <r>
    <s v="ORD10214"/>
    <s v="C010"/>
    <s v="P303"/>
    <x v="169"/>
    <s v="04/05/2026"/>
    <s v="Sneha Joshi"/>
    <s v="Female"/>
    <s v="26/12/1977"/>
    <s v="Pune"/>
    <s v="West"/>
    <s v="Stationery"/>
    <s v="Marker"/>
    <n v="19"/>
    <n v="45"/>
    <n v="0"/>
    <n v="855"/>
    <n v="2"/>
    <s v="Cash"/>
    <s v="Aisha"/>
    <s v="pooja.shah@company.com"/>
    <s v="9449953754"/>
    <s v="Completed"/>
    <x v="1"/>
  </r>
  <r>
    <s v="ORD10215"/>
    <s v="C002"/>
    <s v="P104"/>
    <x v="170"/>
    <s v="16/03/2026"/>
    <s v="Kavya Nair"/>
    <s v="Female"/>
    <s v="04/06/1995"/>
    <s v="Bengaluru"/>
    <s v="South"/>
    <s v="Stationery"/>
    <s v="Monitor"/>
    <n v="10"/>
    <n v="12000"/>
    <n v="5"/>
    <n v="114000"/>
    <n v="1"/>
    <s v="Card"/>
    <s v="Neha"/>
    <s v="priYa.patel@company.com"/>
    <s v="9833801891"/>
    <s v="Cancelled"/>
    <x v="4"/>
  </r>
  <r>
    <s v="ORD10216"/>
    <s v="C008"/>
    <s v="P103"/>
    <x v="171"/>
    <s v="12/03/2025"/>
    <s v="Pooja Shah"/>
    <s v="Female"/>
    <s v="16/11/1983"/>
    <s v="Kolkata"/>
    <s v="West"/>
    <s v="Stationery"/>
    <s v="Keyboard"/>
    <n v="4"/>
    <n v="1200"/>
    <n v="0"/>
    <n v="4800"/>
    <n v="4"/>
    <s v="Cash"/>
    <s v="Aisha"/>
    <s v="KAvya.nair@company.com"/>
    <s v="9183949273"/>
    <s v="Completed"/>
    <x v="3"/>
  </r>
  <r>
    <s v="ORD10217"/>
    <s v="C005"/>
    <s v="P203"/>
    <x v="79"/>
    <s v="07/11/2025"/>
    <s v="Priya Patel"/>
    <s v="Male"/>
    <s v="10/10/1985"/>
    <s v="Bengaluru"/>
    <s v="South"/>
    <s v="Electronics"/>
    <s v="Microwave"/>
    <n v="2"/>
    <n v="8500"/>
    <n v="20"/>
    <n v="13600"/>
    <n v="3"/>
    <s v="Card"/>
    <s v="Karan"/>
    <s v="vikas.mehta@company.com"/>
    <s v="9168257367"/>
    <s v="Completed"/>
    <x v="9"/>
  </r>
  <r>
    <s v="ORD10218"/>
    <s v="C007"/>
    <s v="P102"/>
    <x v="172"/>
    <s v="08/02/2026"/>
    <s v="Kavya Nair"/>
    <s v="Male"/>
    <s v="07/01/2002"/>
    <s v="Kolkata"/>
    <s v="East"/>
    <s v="Electronics"/>
    <s v="Mouse"/>
    <n v="7"/>
    <n v="700"/>
    <n v="20"/>
    <n v="3920"/>
    <n v="2"/>
    <s v="Card"/>
    <s v="Karan"/>
    <s v="arjun.rao@company.com"/>
    <s v="9580903210"/>
    <s v="Pending"/>
    <x v="2"/>
  </r>
  <r>
    <s v="ORD10219"/>
    <s v="C010"/>
    <s v="P302"/>
    <x v="173"/>
    <s v="03/05/2026"/>
    <s v="Vikas Mehta"/>
    <s v="Female"/>
    <s v="18/07/1999"/>
    <s v="Pune"/>
    <s v="South"/>
    <s v="Home Appliances"/>
    <s v="Pen"/>
    <n v="9"/>
    <n v="20"/>
    <n v="15"/>
    <n v="153"/>
    <n v="3"/>
    <s v="NetBanking"/>
    <s v="Neha"/>
    <s v="pooja.shah@company.com"/>
    <s v="9602152945"/>
    <s v="Completed"/>
    <x v="1"/>
  </r>
  <r>
    <s v="ORD10220"/>
    <s v="C002"/>
    <s v="P203"/>
    <x v="174"/>
    <s v="20/05/2025"/>
    <s v="Arjun Rao"/>
    <s v="Female"/>
    <s v="02/09/1990"/>
    <s v="Kolkata"/>
    <s v="East"/>
    <s v="Electronics"/>
    <s v="Microwave"/>
    <n v="16"/>
    <n v="8500"/>
    <n v="0"/>
    <n v="136000"/>
    <n v="4"/>
    <s v="NetBanking"/>
    <s v="Ritika"/>
    <s v="priYa.patel@company.com"/>
    <s v="9646917552"/>
    <s v="Completed"/>
    <x v="8"/>
  </r>
  <r>
    <s v="ORD10221"/>
    <s v="C006"/>
    <s v="P201"/>
    <x v="175"/>
    <s v="28/03/2026"/>
    <s v="Pooja Shah"/>
    <s v="Female"/>
    <s v="02/08/1992"/>
    <s v="Delhi"/>
    <s v="West"/>
    <s v="Stationery"/>
    <s v="Mixer"/>
    <n v="10"/>
    <n v="3500"/>
    <n v="5"/>
    <n v="33250"/>
    <n v="3"/>
    <s v="NetBanking"/>
    <s v="Neha"/>
    <s v="sneha.joshi@company.com"/>
    <s v="9127548552"/>
    <s v="Completed"/>
    <x v="4"/>
  </r>
  <r>
    <s v="ORD10222"/>
    <s v="C010"/>
    <s v="P104"/>
    <x v="176"/>
    <s v="27/01/2026"/>
    <s v="Priya Patel"/>
    <s v="Female"/>
    <s v="09/02/1980"/>
    <s v="Kolkata"/>
    <s v="East"/>
    <s v="Home Appliances"/>
    <s v="Monitor"/>
    <n v="1"/>
    <n v="12000"/>
    <n v="0"/>
    <n v="12000"/>
    <n v="5"/>
    <s v="UPI"/>
    <s v="Neha"/>
    <s v="pooja.shah@company.com"/>
    <s v="9712805603"/>
    <s v="Pending"/>
    <x v="2"/>
  </r>
  <r>
    <s v="ORD10223"/>
    <s v="C001"/>
    <s v="P303"/>
    <x v="177"/>
    <s v="10/05/2026"/>
    <s v="Sneha Joshi"/>
    <s v="Male"/>
    <s v="18/02/1989"/>
    <s v="Kolkata"/>
    <s v="North"/>
    <s v="Home Appliances"/>
    <s v="Marker"/>
    <n v="19"/>
    <n v="45"/>
    <n v="15"/>
    <n v="726.75"/>
    <n v="2"/>
    <s v="UPI"/>
    <s v="Karan"/>
    <s v="amit.sharma@company.com"/>
    <s v="9798313682"/>
    <s v="Pending"/>
    <x v="8"/>
  </r>
  <r>
    <s v="ORD10224"/>
    <s v="C008"/>
    <s v="P101"/>
    <x v="79"/>
    <s v="02/11/2025"/>
    <s v="Pooja Shah"/>
    <s v="Female"/>
    <s v="10/09/1993"/>
    <s v="Delhi"/>
    <s v="East"/>
    <s v="Electronics"/>
    <s v="Laptop"/>
    <n v="13"/>
    <n v="55000"/>
    <n v="5"/>
    <n v="679250"/>
    <n v="4"/>
    <s v="Card"/>
    <s v="Rahul"/>
    <s v="KAvya.nair@company.com"/>
    <s v="9642822397"/>
    <s v="Cancelled"/>
    <x v="9"/>
  </r>
  <r>
    <s v="ORD10225"/>
    <s v="C007"/>
    <s v="P303"/>
    <x v="178"/>
    <s v="26/07/2025"/>
    <s v="Amit Sharma"/>
    <s v="Male"/>
    <s v="17/11/1981"/>
    <s v="Mumbai"/>
    <s v="East"/>
    <s v="Stationery"/>
    <s v="Marker"/>
    <n v="2"/>
    <n v="45"/>
    <n v="15"/>
    <n v="76.5"/>
    <n v="1"/>
    <s v="NetBanking"/>
    <s v="Neha"/>
    <s v="arjun.rao@company.com"/>
    <s v="9490067655"/>
    <s v="Completed"/>
    <x v="5"/>
  </r>
  <r>
    <s v="ORD10226"/>
    <s v="C002"/>
    <s v="P302"/>
    <x v="179"/>
    <s v="24/02/2025"/>
    <s v="Kavya Nair"/>
    <s v="Female"/>
    <s v="24/08/2003"/>
    <s v="Hyderabad"/>
    <s v="North"/>
    <s v="Electronics"/>
    <s v="Pen"/>
    <n v="8"/>
    <n v="20"/>
    <n v="15"/>
    <n v="136"/>
    <n v="1"/>
    <s v="Card"/>
    <s v="Ritika"/>
    <s v="priYa.patel@company.com"/>
    <s v="9389792144"/>
    <s v="Pending"/>
    <x v="3"/>
  </r>
  <r>
    <s v="ORD10227"/>
    <s v="C004"/>
    <s v="P104"/>
    <x v="180"/>
    <s v="01/05/2025"/>
    <s v="Arjun Rao"/>
    <s v="Female"/>
    <s v="19/07/1985"/>
    <s v="Hyderabad"/>
    <s v="West"/>
    <s v="Stationery"/>
    <s v="Monitor"/>
    <n v="9"/>
    <n v="12000"/>
    <n v="5"/>
    <n v="102600"/>
    <n v="2"/>
    <s v="Card"/>
    <s v="Ritika"/>
    <s v="anita.gupta@company.com"/>
    <s v="9736113863"/>
    <s v="Cancelled"/>
    <x v="1"/>
  </r>
  <r>
    <s v="ORD10228"/>
    <s v="C009"/>
    <s v="P201"/>
    <x v="181"/>
    <s v="13/06/2025"/>
    <s v="Priya Patel"/>
    <s v="Male"/>
    <s v="10/05/1994"/>
    <s v="Kolkata"/>
    <s v="South"/>
    <s v="Stationery"/>
    <s v="Mixer"/>
    <n v="3"/>
    <n v="3500"/>
    <n v="15"/>
    <n v="8925"/>
    <n v="1"/>
    <s v="Cash"/>
    <s v="Rahul"/>
    <s v="mohit.verma@company.com"/>
    <s v="9324634732"/>
    <s v="Cancelled"/>
    <x v="7"/>
  </r>
  <r>
    <s v="ORD10229"/>
    <s v="C002"/>
    <s v="P102"/>
    <x v="182"/>
    <s v="23/05/2025"/>
    <s v="Anita Gupta"/>
    <s v="Female"/>
    <s v="23/03/1993"/>
    <s v="Hyderabad"/>
    <s v="South"/>
    <s v="Electronics"/>
    <s v="Mouse"/>
    <n v="18"/>
    <n v="700"/>
    <n v="20"/>
    <n v="10080"/>
    <n v="1"/>
    <s v="Card"/>
    <s v="Karan"/>
    <s v="priYa.patel@company.com"/>
    <s v="9529968110"/>
    <s v="Completed"/>
    <x v="8"/>
  </r>
  <r>
    <s v="ORD10230"/>
    <s v="C009"/>
    <s v="P201"/>
    <x v="183"/>
    <s v="31/01/2026"/>
    <s v="Mohit Verma"/>
    <s v="Male"/>
    <s v="13/06/1979"/>
    <s v="Pune"/>
    <s v="East"/>
    <s v="Home Appliances"/>
    <s v="Mixer"/>
    <n v="14"/>
    <n v="3500"/>
    <n v="5"/>
    <n v="46550"/>
    <n v="1"/>
    <s v="Cash"/>
    <s v="Aisha"/>
    <s v="mohit.verma@company.com"/>
    <s v="9102417647"/>
    <s v="Completed"/>
    <x v="2"/>
  </r>
  <r>
    <s v="ORD10231"/>
    <s v="C002"/>
    <s v="P102"/>
    <x v="168"/>
    <s v="04/06/2025"/>
    <s v="Priya Patel"/>
    <s v="Female"/>
    <s v="24/01/1991"/>
    <s v="Kolkata"/>
    <s v="South"/>
    <s v="Electronics"/>
    <s v="Mouse"/>
    <n v="6"/>
    <n v="700"/>
    <n v="5"/>
    <n v="3990"/>
    <n v="5"/>
    <s v="Cash"/>
    <s v="Ritika"/>
    <s v="priYa.patel@company.com"/>
    <s v="9630302865"/>
    <s v="Completed"/>
    <x v="7"/>
  </r>
  <r>
    <s v="ORD10232"/>
    <s v="C002"/>
    <s v="P201"/>
    <x v="184"/>
    <s v="19/06/2025"/>
    <s v="Mohit Verma"/>
    <s v="Female"/>
    <s v="22/02/2004"/>
    <s v="Mumbai"/>
    <s v="West"/>
    <s v="Home Appliances"/>
    <s v="Mixer"/>
    <n v="17"/>
    <n v="3500"/>
    <n v="15"/>
    <n v="50575"/>
    <n v="3"/>
    <s v="NetBanking"/>
    <s v="Rahul"/>
    <s v="priYa.patel@company.com"/>
    <s v="9465353780"/>
    <s v="Pending"/>
    <x v="7"/>
  </r>
  <r>
    <s v="ORD10233"/>
    <s v="C006"/>
    <s v="P302"/>
    <x v="185"/>
    <s v="24/01/2026"/>
    <s v="Priya Patel"/>
    <s v="Female"/>
    <s v="25/04/1977"/>
    <s v="Kolkata"/>
    <s v="East"/>
    <s v="Electronics"/>
    <s v="Pen"/>
    <n v="7"/>
    <n v="20"/>
    <n v="5"/>
    <n v="133"/>
    <n v="2"/>
    <s v="UPI"/>
    <s v="Karan"/>
    <s v="sneha.joshi@company.com"/>
    <s v="9837426414"/>
    <s v="Completed"/>
    <x v="2"/>
  </r>
  <r>
    <s v="ORD10234"/>
    <s v="C008"/>
    <s v="P202"/>
    <x v="186"/>
    <s v="04/03/2026"/>
    <s v="Priya Patel"/>
    <s v="Female"/>
    <s v="22/07/1994"/>
    <s v="Bengaluru"/>
    <s v="West"/>
    <s v="Home Appliances"/>
    <s v="Iron"/>
    <n v="15"/>
    <n v="2200"/>
    <n v="20"/>
    <n v="26400"/>
    <n v="2"/>
    <s v="Cash"/>
    <s v="Aisha"/>
    <s v="KAvya.nair@company.com"/>
    <s v="9249918272"/>
    <s v="Completed"/>
    <x v="3"/>
  </r>
  <r>
    <s v="ORD10235"/>
    <s v="C009"/>
    <s v="P302"/>
    <x v="116"/>
    <s v="25/02/2026"/>
    <s v="Sneha Joshi"/>
    <s v="Male"/>
    <s v="11/11/1979"/>
    <s v="Mumbai"/>
    <s v="East"/>
    <s v="Stationery"/>
    <s v="Pen"/>
    <n v="5"/>
    <n v="20"/>
    <n v="0"/>
    <n v="100"/>
    <n v="3"/>
    <s v="Cash"/>
    <s v="Karan"/>
    <s v="mohit.verma@company.com"/>
    <s v="9265580582"/>
    <s v="Completed"/>
    <x v="3"/>
  </r>
  <r>
    <s v="ORD10236"/>
    <s v="C003"/>
    <s v="P104"/>
    <x v="187"/>
    <s v="14/07/2025"/>
    <s v="Kavya Nair"/>
    <s v="Male"/>
    <s v="27/05/1995"/>
    <s v="Delhi"/>
    <s v="South"/>
    <s v="Home Appliances"/>
    <s v="Monitor"/>
    <n v="8"/>
    <n v="12000"/>
    <n v="20"/>
    <n v="76800"/>
    <n v="3"/>
    <s v="Card"/>
    <s v="Aisha"/>
    <s v="rohit.singh@company.com"/>
    <s v="9751049833"/>
    <s v="Pending"/>
    <x v="5"/>
  </r>
  <r>
    <s v="ORD10237"/>
    <s v="C003"/>
    <s v="P201"/>
    <x v="188"/>
    <s v="16/02/2025"/>
    <s v="Mohit Verma"/>
    <s v="Male"/>
    <s v="18/06/1998"/>
    <s v="Mumbai"/>
    <s v="West"/>
    <s v="Stationery"/>
    <s v="Mixer"/>
    <n v="4"/>
    <n v="3500"/>
    <n v="20"/>
    <n v="11200"/>
    <n v="1"/>
    <s v="Card"/>
    <s v="Neha"/>
    <s v="rohit.singh@company.com"/>
    <s v="9741671507"/>
    <s v="Completed"/>
    <x v="3"/>
  </r>
  <r>
    <s v="ORD10238"/>
    <s v="C005"/>
    <s v="P303"/>
    <x v="98"/>
    <s v="04/03/2025"/>
    <s v="Rohit Singh"/>
    <s v="Male"/>
    <s v="21/01/1983"/>
    <s v="Hyderabad"/>
    <s v="North"/>
    <s v="Electronics"/>
    <s v="Marker"/>
    <n v="19"/>
    <n v="45"/>
    <n v="10"/>
    <n v="769.5"/>
    <n v="1"/>
    <s v="Cash"/>
    <s v="Neha"/>
    <s v="vikas.mehta@company.com"/>
    <s v="9367541035"/>
    <s v="Completed"/>
    <x v="3"/>
  </r>
  <r>
    <s v="ORD10239"/>
    <s v="C010"/>
    <s v="P303"/>
    <x v="189"/>
    <s v="06/02/2026"/>
    <s v="Rohit Singh"/>
    <s v="Female"/>
    <s v="03/03/1978"/>
    <s v="Pune"/>
    <s v="West"/>
    <s v="Home Appliances"/>
    <s v="Marker"/>
    <n v="10"/>
    <n v="45"/>
    <n v="0"/>
    <n v="450"/>
    <n v="4"/>
    <s v="UPI"/>
    <s v="Aisha"/>
    <s v="pooja.shah@company.com"/>
    <s v="9323696971"/>
    <s v="Completed"/>
    <x v="2"/>
  </r>
  <r>
    <s v="ORD10240"/>
    <s v="C010"/>
    <s v="P303"/>
    <x v="190"/>
    <s v="17/01/2026"/>
    <s v="Vikas Mehta"/>
    <s v="Female"/>
    <s v="24/06/1997"/>
    <s v="Hyderabad"/>
    <s v="South"/>
    <s v="Stationery"/>
    <s v="Marker"/>
    <n v="16"/>
    <n v="45"/>
    <n v="15"/>
    <n v="612"/>
    <n v="3"/>
    <s v="Cash"/>
    <s v="Neha"/>
    <s v="pooja.shah@company.com"/>
    <s v="9786384529"/>
    <s v="Cancelled"/>
    <x v="2"/>
  </r>
  <r>
    <s v="ORD10241"/>
    <s v="C004"/>
    <s v="P203"/>
    <x v="8"/>
    <s v="27/03/2025"/>
    <s v="Pooja Shah"/>
    <s v="Female"/>
    <s v="25/08/1976"/>
    <s v="Pune"/>
    <s v="West"/>
    <s v="Stationery"/>
    <s v="Microwave"/>
    <n v="16"/>
    <n v="8500"/>
    <n v="15"/>
    <n v="115600"/>
    <n v="4"/>
    <s v="NetBanking"/>
    <s v="Ritika"/>
    <s v="anita.gupta@company.com"/>
    <s v="9444900541"/>
    <s v="Cancelled"/>
    <x v="4"/>
  </r>
  <r>
    <s v="ORD10242"/>
    <s v="C004"/>
    <s v="P302"/>
    <x v="61"/>
    <s v="12/09/2025"/>
    <s v="Pooja Shah"/>
    <s v="Female"/>
    <s v="04/04/1996"/>
    <s v="Kolkata"/>
    <s v="South"/>
    <s v="Stationery"/>
    <s v="Pen"/>
    <n v="15"/>
    <n v="20"/>
    <n v="20"/>
    <n v="240"/>
    <n v="3"/>
    <s v="NetBanking"/>
    <s v="Rahul"/>
    <s v="anita.gupta@company.com"/>
    <s v="9108024911"/>
    <s v="Cancelled"/>
    <x v="0"/>
  </r>
  <r>
    <s v="ORD10243"/>
    <s v="C007"/>
    <s v="P301"/>
    <x v="60"/>
    <s v="13/01/2026"/>
    <s v="Anita Gupta"/>
    <s v="Male"/>
    <s v="09/10/2001"/>
    <s v="Bengaluru"/>
    <s v="West"/>
    <s v="Home Appliances"/>
    <s v="Notebook"/>
    <n v="14"/>
    <n v="60"/>
    <n v="5"/>
    <n v="798"/>
    <n v="4"/>
    <s v="Cash"/>
    <s v="Rahul"/>
    <s v="arjun.rao@company.com"/>
    <s v="9897181325"/>
    <s v="Completed"/>
    <x v="2"/>
  </r>
  <r>
    <s v="ORD10244"/>
    <s v="C010"/>
    <s v="P103"/>
    <x v="191"/>
    <s v="19/05/2026"/>
    <s v="Anita Gupta"/>
    <s v="Female"/>
    <s v="11/04/1995"/>
    <s v="Mumbai"/>
    <s v="East"/>
    <s v="Stationery"/>
    <s v="Keyboard"/>
    <n v="19"/>
    <n v="1200"/>
    <n v="20"/>
    <n v="18240"/>
    <n v="2"/>
    <s v="Cash"/>
    <s v="Neha"/>
    <s v="pooja.shah@company.com"/>
    <s v="9554719621"/>
    <s v="Cancelled"/>
    <x v="8"/>
  </r>
  <r>
    <s v="ORD10245"/>
    <s v="C008"/>
    <s v="P303"/>
    <x v="43"/>
    <s v="14/10/2025"/>
    <s v="Arjun Rao"/>
    <s v="Female"/>
    <s v="04/05/2000"/>
    <s v="Bengaluru"/>
    <s v="South"/>
    <s v="Stationery"/>
    <s v="Marker"/>
    <n v="5"/>
    <n v="45"/>
    <n v="15"/>
    <n v="191.25"/>
    <n v="2"/>
    <s v="Cash"/>
    <s v="Aisha"/>
    <s v="KAvya.nair@company.com"/>
    <s v="9815899217"/>
    <s v="Cancelled"/>
    <x v="9"/>
  </r>
  <r>
    <s v="ORD10246"/>
    <s v="C001"/>
    <s v="P102"/>
    <x v="192"/>
    <s v="01/06/2025"/>
    <s v="Pooja Shah"/>
    <s v="Male"/>
    <s v="01/03/2002"/>
    <s v="Hyderabad"/>
    <s v="West"/>
    <s v="Electronics"/>
    <s v="Mouse"/>
    <n v="19"/>
    <n v="700"/>
    <n v="5"/>
    <n v="12635"/>
    <n v="5"/>
    <s v="UPI"/>
    <s v="Karan"/>
    <s v="amit.sharma@company.com"/>
    <s v="9308497039"/>
    <s v="Completed"/>
    <x v="8"/>
  </r>
  <r>
    <s v="ORD10247"/>
    <s v="C003"/>
    <s v="P301"/>
    <x v="109"/>
    <s v="04/01/2026"/>
    <s v="Kavya Nair"/>
    <s v="Male"/>
    <s v="27/05/1975"/>
    <s v="Kolkata"/>
    <s v="South"/>
    <s v="Stationery"/>
    <s v="Notebook"/>
    <n v="7"/>
    <n v="60"/>
    <n v="0"/>
    <n v="420"/>
    <n v="4"/>
    <s v="Cash"/>
    <s v="Neha"/>
    <s v="rohit.singh@company.com"/>
    <s v="9882054354"/>
    <s v="Pending"/>
    <x v="2"/>
  </r>
  <r>
    <s v="ORD10248"/>
    <s v="C009"/>
    <s v="P202"/>
    <x v="22"/>
    <s v="02/01/2026"/>
    <s v="Amit Sharma"/>
    <s v="Male"/>
    <s v="02/12/1988"/>
    <s v="Mumbai"/>
    <s v="South"/>
    <s v="Electronics"/>
    <s v="Iron"/>
    <n v="13"/>
    <n v="2200"/>
    <n v="10"/>
    <n v="25740"/>
    <n v="1"/>
    <s v="Card"/>
    <s v="Karan"/>
    <s v="mohit.verma@company.com"/>
    <s v="9193016830"/>
    <s v="Completed"/>
    <x v="6"/>
  </r>
  <r>
    <s v="ORD10249"/>
    <s v="C009"/>
    <s v="P202"/>
    <x v="193"/>
    <s v="05/01/2026"/>
    <s v="Rohit Singh"/>
    <s v="Male"/>
    <s v="06/12/1984"/>
    <s v="Bengaluru"/>
    <s v="East"/>
    <s v="Stationery"/>
    <s v="Iron"/>
    <n v="9"/>
    <n v="2200"/>
    <n v="10"/>
    <n v="17820"/>
    <n v="2"/>
    <s v="Crypto"/>
    <s v="Aisha"/>
    <s v="mohit.verma@company.com"/>
    <s v="9921470418"/>
    <s v="Cancelled"/>
    <x v="6"/>
  </r>
  <r>
    <s v="ORD10250"/>
    <s v="C001"/>
    <s v="P203"/>
    <x v="151"/>
    <s v="17/05/2025"/>
    <s v="Mohit Verma"/>
    <s v="Male"/>
    <s v="01/05/1990"/>
    <s v="Bengaluru"/>
    <s v="West"/>
    <s v="Home Appliances"/>
    <s v="Microwave"/>
    <n v="6"/>
    <n v="8500"/>
    <n v="15"/>
    <n v="43350"/>
    <n v="2"/>
    <s v="Cash"/>
    <s v="Karan"/>
    <s v="amit.sharma@company.com"/>
    <s v="9686979026"/>
    <s v="Cancelled"/>
    <x v="8"/>
  </r>
  <r>
    <s v="ORD10251"/>
    <s v="C005"/>
    <s v="P202"/>
    <x v="116"/>
    <s v="25/02/2026"/>
    <s v="Mohit Verma"/>
    <s v="Male"/>
    <s v="09/02/1988"/>
    <s v="Delhi"/>
    <s v="South"/>
    <s v="Home Appliances"/>
    <s v="Iron"/>
    <n v="9"/>
    <n v="2200"/>
    <n v="10"/>
    <n v="17820"/>
    <n v="3"/>
    <s v="Card"/>
    <s v="Ritika"/>
    <s v="vikas.mehta@company.com"/>
    <s v="9569007422"/>
    <s v="Pending"/>
    <x v="3"/>
  </r>
  <r>
    <s v="ORD10252"/>
    <s v="C008"/>
    <s v="P203"/>
    <x v="194"/>
    <s v="26/03/2025"/>
    <s v="Amit Sharma"/>
    <s v="Female"/>
    <s v="28/03/1982"/>
    <s v="Kolkata"/>
    <s v="South"/>
    <s v="Home Appliances"/>
    <s v="Microwave"/>
    <n v="16"/>
    <n v="8500"/>
    <n v="0"/>
    <n v="136000"/>
    <n v="5"/>
    <s v="UPI"/>
    <s v="Neha"/>
    <s v="KAvya.nair@company.com"/>
    <s v="9180820441"/>
    <s v="Cancelled"/>
    <x v="4"/>
  </r>
  <r>
    <s v="ORD10253"/>
    <s v="C001"/>
    <s v="P103"/>
    <x v="195"/>
    <s v="16/12/2025"/>
    <s v="Vikas Mehta"/>
    <s v="Male"/>
    <s v="28/12/1976"/>
    <s v="Delhi"/>
    <s v="North"/>
    <s v="Home Appliances"/>
    <s v="Keyboard"/>
    <n v="10"/>
    <n v="1200"/>
    <n v="15"/>
    <n v="10200"/>
    <n v="5"/>
    <s v="Cash"/>
    <s v="Rahul"/>
    <s v="amit.sharma@company.com"/>
    <s v="9769075826"/>
    <s v="Completed"/>
    <x v="6"/>
  </r>
  <r>
    <s v="ORD10254"/>
    <s v="C003"/>
    <s v="P104"/>
    <x v="55"/>
    <s v="15/03/2025"/>
    <s v="Kavya Nair"/>
    <s v="Male"/>
    <s v="03/08/2003"/>
    <s v="Kolkata"/>
    <s v="East"/>
    <s v="Home Appliances"/>
    <s v="Monitor"/>
    <n v="7"/>
    <n v="12000"/>
    <n v="0"/>
    <n v="84000"/>
    <n v="1"/>
    <s v="UPI"/>
    <s v="Karan"/>
    <s v="rohit.singh@company.com"/>
    <s v="9467916296"/>
    <s v="Pending"/>
    <x v="4"/>
  </r>
  <r>
    <s v="ORD10255"/>
    <s v="C005"/>
    <s v="P104"/>
    <x v="9"/>
    <s v="01/10/2025"/>
    <s v="Amit Sharma"/>
    <s v="Male"/>
    <s v="06/05/1986"/>
    <s v="Pune"/>
    <s v="North"/>
    <s v="Electronics"/>
    <s v="Monitor"/>
    <n v="3"/>
    <n v="12000"/>
    <n v="10"/>
    <n v="32400"/>
    <n v="4"/>
    <s v="Card"/>
    <s v="Karan"/>
    <s v="vikas.mehta@company.com"/>
    <s v="9477052923"/>
    <s v="Completed"/>
    <x v="0"/>
  </r>
  <r>
    <s v="ORD10256"/>
    <s v="C005"/>
    <s v="P104"/>
    <x v="196"/>
    <s v="09/11/2025"/>
    <s v="Rohit Singh"/>
    <s v="Male"/>
    <s v="04/02/1989"/>
    <s v="Hyderabad"/>
    <s v="East"/>
    <s v="Electronics"/>
    <s v="Monitor"/>
    <n v="4"/>
    <n v="12000"/>
    <n v="15"/>
    <n v="40800"/>
    <n v="3"/>
    <s v="Card"/>
    <s v="Ritika"/>
    <s v="vikas.mehta@company.com"/>
    <s v="9184311420"/>
    <s v="Pending"/>
    <x v="10"/>
  </r>
  <r>
    <s v="ORD10257"/>
    <s v="C003"/>
    <s v="P104"/>
    <x v="29"/>
    <s v="18/06/2025"/>
    <s v="Vikas Mehta"/>
    <s v="Male"/>
    <s v="08/02/1980"/>
    <s v="Hyderabad"/>
    <s v="West"/>
    <s v="Electronics"/>
    <s v="Monitor"/>
    <n v="13"/>
    <n v="12000"/>
    <n v="10"/>
    <n v="140400"/>
    <n v="2"/>
    <s v="Cash"/>
    <s v="Karan"/>
    <s v="rohit.singh@company.com"/>
    <s v="9630913127"/>
    <s v="Cancelled"/>
    <x v="7"/>
  </r>
  <r>
    <s v="ORD10258"/>
    <s v="C008"/>
    <s v="P201"/>
    <x v="39"/>
    <s v="11/06/2025"/>
    <s v="Vikas Mehta"/>
    <s v="Female"/>
    <s v="13/01/1985"/>
    <s v="Bengaluru"/>
    <s v="South"/>
    <s v="Electronics"/>
    <s v="Mixer"/>
    <n v="19"/>
    <n v="3500"/>
    <n v="20"/>
    <n v="53200"/>
    <n v="1"/>
    <s v="Cash"/>
    <s v="Aisha"/>
    <s v="KAvya.nair@company.com"/>
    <s v="9997515828"/>
    <s v="Cancelled"/>
    <x v="7"/>
  </r>
  <r>
    <s v="ORD10259"/>
    <s v="C008"/>
    <s v="P202"/>
    <x v="148"/>
    <s v="12/02/2025"/>
    <s v="Rohit Singh"/>
    <s v="Female"/>
    <s v="24/07/1979"/>
    <s v="Mumbai"/>
    <s v="South"/>
    <s v="Electronics"/>
    <s v="Iron"/>
    <n v="7"/>
    <n v="2200"/>
    <n v="5"/>
    <n v="14630"/>
    <n v="3"/>
    <s v="UPI"/>
    <s v="Aisha"/>
    <s v="KAvya.nair@company.com"/>
    <s v="9394291182"/>
    <s v="Cancelled"/>
    <x v="3"/>
  </r>
  <r>
    <s v="ORD10260"/>
    <s v="C007"/>
    <s v="P102"/>
    <x v="197"/>
    <s v="13/05/2026"/>
    <s v="Kavya Nair"/>
    <s v="Male"/>
    <s v="03/08/1993"/>
    <s v="Jaipur"/>
    <s v="South"/>
    <s v="Home Appliances"/>
    <s v="Mouse"/>
    <n v="18"/>
    <n v="700"/>
    <n v="5"/>
    <n v="11970"/>
    <n v="2"/>
    <s v="UPI"/>
    <s v="Aisha"/>
    <s v="arjun.rao@company.com"/>
    <s v="9616853220"/>
    <s v="Cancelled"/>
    <x v="8"/>
  </r>
  <r>
    <s v="ORD10261"/>
    <s v="C008"/>
    <s v="P302"/>
    <x v="178"/>
    <s v="30/07/2025"/>
    <s v="Kavya Nair"/>
    <s v="Female"/>
    <s v="23/08/1975"/>
    <s v="Kolkata"/>
    <s v="West"/>
    <s v="Home Appliances"/>
    <s v="Pen"/>
    <n v="11"/>
    <n v="20"/>
    <n v="0"/>
    <n v="220"/>
    <n v="2"/>
    <s v="NetBanking"/>
    <s v="Neha"/>
    <s v="KAvya.nair@company.com"/>
    <s v="9147552626"/>
    <s v="Cancelled"/>
    <x v="5"/>
  </r>
  <r>
    <s v="ORD10262"/>
    <s v="C001"/>
    <s v="P104"/>
    <x v="171"/>
    <s v="07/03/2025"/>
    <s v="Arjun Rao"/>
    <s v="Male"/>
    <s v="23/04/1978"/>
    <s v="Pune"/>
    <s v="North"/>
    <s v="Electronics"/>
    <s v="Monitor"/>
    <n v="17"/>
    <n v="12000"/>
    <n v="20"/>
    <n v="163200"/>
    <n v="4"/>
    <s v="UPI"/>
    <s v="Karan"/>
    <s v="amit.sharma@company.com"/>
    <s v="9724197033"/>
    <s v="Completed"/>
    <x v="3"/>
  </r>
  <r>
    <s v="ORD10263"/>
    <s v="C006"/>
    <s v="P202"/>
    <x v="198"/>
    <s v="13/07/2025"/>
    <s v="Kavya Nair"/>
    <s v="Female"/>
    <s v="25/09/2003"/>
    <s v="Kolkata"/>
    <s v="East"/>
    <s v="Stationery"/>
    <s v="Iron"/>
    <n v="4"/>
    <n v="2200"/>
    <n v="5"/>
    <n v="8360"/>
    <n v="2"/>
    <s v="Cash"/>
    <s v="Ritika"/>
    <s v="sneha.joshi@company.com"/>
    <s v="9130666128"/>
    <s v="Completed"/>
    <x v="5"/>
  </r>
  <r>
    <s v="ORD10264"/>
    <s v="C008"/>
    <s v="P101"/>
    <x v="199"/>
    <s v="19/12/2025"/>
    <s v="Amit Sharma"/>
    <s v="Female"/>
    <s v="09/04/2002"/>
    <s v="Ahmedabad"/>
    <s v="West"/>
    <s v="Electronics"/>
    <s v="Laptop"/>
    <n v="6"/>
    <n v="55000"/>
    <n v="20"/>
    <n v="264000"/>
    <n v="2"/>
    <s v="UPI"/>
    <s v="Karan"/>
    <s v="KAvya.nair@company.com"/>
    <s v="9866567601"/>
    <s v="Cancelled"/>
    <x v="6"/>
  </r>
  <r>
    <s v="ORD10265"/>
    <s v="C009"/>
    <s v="P203"/>
    <x v="4"/>
    <s v="14/01/2026"/>
    <s v="Sneha Joshi"/>
    <s v="Male"/>
    <s v="24/09/1985"/>
    <s v="Delhi"/>
    <s v="East"/>
    <s v="Home Appliances"/>
    <s v="Microwave"/>
    <n v="6"/>
    <n v="8500"/>
    <n v="10"/>
    <n v="45900"/>
    <n v="5"/>
    <s v="UPI"/>
    <s v="Aisha"/>
    <s v="mohit.verma@company.com"/>
    <s v="9477282450"/>
    <s v="Completed"/>
    <x v="2"/>
  </r>
  <r>
    <s v="ORD10266"/>
    <s v="C008"/>
    <s v="P302"/>
    <x v="84"/>
    <s v="25/08/2025"/>
    <s v="Kavya Nair"/>
    <s v="Female"/>
    <s v="12/12/1984"/>
    <s v="Jaipur"/>
    <s v="West"/>
    <s v="Electronics"/>
    <s v="Pen"/>
    <n v="6"/>
    <n v="20"/>
    <n v="15"/>
    <n v="102"/>
    <n v="2"/>
    <s v="UPI"/>
    <s v="Rahul"/>
    <s v="KAvya.nair@company.com"/>
    <s v="9857621478"/>
    <s v="Cancelled"/>
    <x v="11"/>
  </r>
  <r>
    <s v="ORD10267"/>
    <s v="C010"/>
    <s v="P301"/>
    <x v="200"/>
    <s v="11/05/2025"/>
    <s v="Mohit Verma"/>
    <s v="Female"/>
    <s v="20/07/1984"/>
    <s v="Mumbai"/>
    <s v="North"/>
    <s v="Home Appliances"/>
    <s v="Notebook"/>
    <n v="6"/>
    <n v="60"/>
    <n v="5"/>
    <n v="342"/>
    <n v="1"/>
    <s v="NetBanking"/>
    <s v="Aisha"/>
    <s v="pooja.shah@company.com"/>
    <s v="9753869055"/>
    <s v="Completed"/>
    <x v="8"/>
  </r>
  <r>
    <s v="ORD10268"/>
    <s v="C003"/>
    <s v="P203"/>
    <x v="201"/>
    <s v="12/01/2025"/>
    <s v="Kavya Nair"/>
    <s v="Male"/>
    <s v="15/03/1988"/>
    <s v="Hyderabad"/>
    <s v="North"/>
    <s v="Stationery"/>
    <s v="Microwave"/>
    <n v="19"/>
    <n v="8500"/>
    <n v="0"/>
    <n v="161500"/>
    <n v="5"/>
    <s v="UPI"/>
    <s v="Karan"/>
    <s v="rohit.singh@company.com"/>
    <s v="9663266204"/>
    <s v="Completed"/>
    <x v="2"/>
  </r>
  <r>
    <s v="ORD10269"/>
    <s v="C006"/>
    <s v="P101"/>
    <x v="61"/>
    <s v="10/09/2025"/>
    <s v="Pooja Shah"/>
    <s v="Female"/>
    <s v="27/05/1987"/>
    <s v="Jaipur"/>
    <s v="West"/>
    <s v="Stationery"/>
    <s v="Laptop"/>
    <n v="8"/>
    <n v="55000"/>
    <n v="0"/>
    <n v="440000"/>
    <n v="3"/>
    <s v="Card"/>
    <s v="Neha"/>
    <s v="sneha.joshi@company.com"/>
    <s v="9675208616"/>
    <s v="Pending"/>
    <x v="0"/>
  </r>
  <r>
    <s v="ORD10270"/>
    <s v="C009"/>
    <s v="P104"/>
    <x v="177"/>
    <s v="07/05/2026"/>
    <s v="Rohit Singh"/>
    <s v="Male"/>
    <s v="25/10/1988"/>
    <s v="Kolkata"/>
    <s v="South"/>
    <s v="Home Appliances"/>
    <s v="Monitor"/>
    <n v="18"/>
    <n v="12000"/>
    <n v="20"/>
    <n v="172800"/>
    <n v="5"/>
    <s v="UPI"/>
    <s v="Aisha"/>
    <s v="mohit.verma@company.com"/>
    <s v="9618393586"/>
    <s v="Cancelled"/>
    <x v="8"/>
  </r>
  <r>
    <s v="ORD10271"/>
    <s v="C003"/>
    <s v="P203"/>
    <x v="202"/>
    <s v="26/04/2025"/>
    <s v="Sneha Joshi"/>
    <s v="Male"/>
    <s v="12/12/1990"/>
    <s v="Ahmedabad"/>
    <s v="North"/>
    <s v="Electronics"/>
    <s v="Microwave"/>
    <n v="8"/>
    <n v="8500"/>
    <n v="5"/>
    <n v="64600"/>
    <n v="2"/>
    <s v="Card"/>
    <s v="Aisha"/>
    <s v="rohit.singh@company.com"/>
    <s v="9137027840"/>
    <s v="Cancelled"/>
    <x v="1"/>
  </r>
  <r>
    <s v="ORD10272"/>
    <s v="C008"/>
    <s v="P302"/>
    <x v="203"/>
    <s v="18/08/2025"/>
    <s v="Mohit Verma"/>
    <s v="Female"/>
    <s v="23/02/1981"/>
    <s v="Mumbai"/>
    <s v="East"/>
    <s v="Electronics"/>
    <s v="Pen"/>
    <n v="13"/>
    <n v="20"/>
    <n v="5"/>
    <n v="247"/>
    <n v="3"/>
    <s v="NetBanking"/>
    <s v="Neha"/>
    <s v="KAvya.nair@company.com"/>
    <s v="9362758134"/>
    <s v="Pending"/>
    <x v="11"/>
  </r>
  <r>
    <s v="ORD10273"/>
    <s v="C007"/>
    <s v="P301"/>
    <x v="117"/>
    <s v="16/04/2026"/>
    <s v="Rohit Singh"/>
    <s v="Male"/>
    <s v="03/04/1985"/>
    <s v="Jaipur"/>
    <s v="West"/>
    <s v="Home Appliances"/>
    <s v="Notebook"/>
    <n v="1"/>
    <n v="60"/>
    <n v="15"/>
    <n v="51"/>
    <n v="2"/>
    <s v="Card"/>
    <s v="Aisha"/>
    <s v="arjun.rao@company.com"/>
    <s v="9648541985"/>
    <s v="Cancelled"/>
    <x v="1"/>
  </r>
  <r>
    <s v="ORD10274"/>
    <s v="C010"/>
    <s v="P302"/>
    <x v="204"/>
    <s v="28/06/2025"/>
    <s v="Kavya Nair"/>
    <s v="Female"/>
    <s v="06/08/1976"/>
    <s v="Pune"/>
    <s v="West"/>
    <s v="Stationery"/>
    <s v="Pen"/>
    <n v="5"/>
    <n v="20"/>
    <n v="5"/>
    <n v="95"/>
    <n v="2"/>
    <s v="NetBanking"/>
    <s v="Rahul"/>
    <s v="pooja.shah@company.com"/>
    <s v="9175002781"/>
    <s v="Pending"/>
    <x v="7"/>
  </r>
  <r>
    <s v="ORD10275"/>
    <s v="C005"/>
    <s v="P302"/>
    <x v="205"/>
    <s v="24/05/2025"/>
    <s v="Arjun Rao"/>
    <s v="Male"/>
    <s v="13/05/1978"/>
    <s v="Kolkata"/>
    <s v="North"/>
    <s v="Stationery"/>
    <s v="Pen"/>
    <n v="19"/>
    <n v="20"/>
    <n v="20"/>
    <n v="304"/>
    <n v="3"/>
    <s v="Cash"/>
    <s v="Ritika"/>
    <s v="vikas.mehta@company.com"/>
    <s v="9786241263"/>
    <s v="Cancelled"/>
    <x v="8"/>
  </r>
  <r>
    <s v="ORD10276"/>
    <s v="C002"/>
    <s v="P303"/>
    <x v="206"/>
    <s v="07/04/2025"/>
    <s v="Pooja Shah"/>
    <s v="Female"/>
    <s v="19/08/1998"/>
    <s v="Ahmedabad"/>
    <s v="West"/>
    <s v="Stationery"/>
    <s v="Marker"/>
    <n v="17"/>
    <n v="45"/>
    <n v="5"/>
    <n v="726.75"/>
    <n v="4"/>
    <s v="Cash"/>
    <s v="Neha"/>
    <s v="priYa.patel@company.com"/>
    <s v="9691078176"/>
    <s v="Pending"/>
    <x v="4"/>
  </r>
  <r>
    <s v="ORD10277"/>
    <s v="C007"/>
    <s v="P102"/>
    <x v="207"/>
    <s v="22/02/2026"/>
    <s v="Vikas Mehta"/>
    <s v="Male"/>
    <s v="20/10/1975"/>
    <s v="Bengaluru"/>
    <s v="East"/>
    <s v="Stationery"/>
    <s v="Mouse"/>
    <n v="8"/>
    <n v="700"/>
    <n v="15"/>
    <n v="4760"/>
    <n v="4"/>
    <s v="NetBanking"/>
    <s v="Ritika"/>
    <s v="arjun.rao@company.com"/>
    <s v="9336679085"/>
    <s v="Pending"/>
    <x v="3"/>
  </r>
  <r>
    <s v="ORD10278"/>
    <s v="C004"/>
    <s v="P202"/>
    <x v="208"/>
    <s v="29/01/2026"/>
    <s v="Priya Patel"/>
    <s v="Female"/>
    <s v="28/09/1975"/>
    <s v="Mumbai"/>
    <s v="West"/>
    <s v="Stationery"/>
    <s v="Iron"/>
    <n v="15"/>
    <n v="2200"/>
    <n v="10"/>
    <n v="29700"/>
    <n v="5"/>
    <s v="UPI"/>
    <s v="Karan"/>
    <s v="anita.gupta@company.com"/>
    <s v="9497351043"/>
    <s v="Completed"/>
    <x v="2"/>
  </r>
  <r>
    <s v="ORD10279"/>
    <s v="C002"/>
    <s v="P202"/>
    <x v="209"/>
    <s v="29/09/2025"/>
    <s v="Arjun Rao"/>
    <s v="Female"/>
    <s v="23/09/2002"/>
    <s v="Mumbai"/>
    <s v="South"/>
    <s v="Electronics"/>
    <s v="Iron"/>
    <n v="1"/>
    <n v="2200"/>
    <n v="0"/>
    <n v="2200"/>
    <n v="4"/>
    <s v="Cash"/>
    <s v="Rahul"/>
    <s v="priYa.patel@company.com"/>
    <s v="9357038998"/>
    <s v="Cancelled"/>
    <x v="0"/>
  </r>
  <r>
    <s v="ORD10280"/>
    <s v="C006"/>
    <s v="P201"/>
    <x v="138"/>
    <s v="30/06/2025"/>
    <s v="Anita Gupta"/>
    <s v="Female"/>
    <s v="17/06/1988"/>
    <s v="Ahmedabad"/>
    <s v="West"/>
    <s v="Home Appliances"/>
    <s v="Mixer"/>
    <n v="10"/>
    <n v="3500"/>
    <n v="10"/>
    <n v="31500"/>
    <n v="4"/>
    <s v="NetBanking"/>
    <s v="Ritika"/>
    <s v="sneha.joshi@company.com"/>
    <s v="9986371291"/>
    <s v="Cancelled"/>
    <x v="7"/>
  </r>
  <r>
    <s v="ORD10281"/>
    <s v="C009"/>
    <s v="P201"/>
    <x v="210"/>
    <s v="16/05/2025"/>
    <s v="Priya Patel"/>
    <s v="Male"/>
    <s v="02/02/1991"/>
    <s v="Jaipur"/>
    <s v="West"/>
    <s v="Home Appliances"/>
    <s v="Mixer"/>
    <n v="16"/>
    <n v="3500"/>
    <n v="15"/>
    <n v="47600"/>
    <n v="1"/>
    <s v="Card"/>
    <s v="Neha"/>
    <s v="mohit.verma@company.com"/>
    <s v="9397839191"/>
    <s v="Pending"/>
    <x v="8"/>
  </r>
  <r>
    <s v="ORD10282"/>
    <s v="C006"/>
    <s v="P104"/>
    <x v="211"/>
    <s v="18/09/2025"/>
    <s v="Sneha Joshi"/>
    <s v="Female"/>
    <s v="09/08/1978"/>
    <s v="Jaipur"/>
    <s v="West"/>
    <s v="Home Appliances"/>
    <s v="Monitor"/>
    <n v="1"/>
    <n v="12000"/>
    <n v="0"/>
    <n v="12000"/>
    <n v="4"/>
    <s v="NetBanking"/>
    <s v="Neha"/>
    <s v="sneha.joshi@company.com"/>
    <s v="9162975843"/>
    <s v="Cancelled"/>
    <x v="0"/>
  </r>
  <r>
    <s v="ORD10283"/>
    <s v="C007"/>
    <s v="P102"/>
    <x v="212"/>
    <s v="29/04/2025"/>
    <s v="Mohit Verma"/>
    <s v="Male"/>
    <s v="02/02/1994"/>
    <s v="Mumbai"/>
    <s v="North"/>
    <s v="Home Appliances"/>
    <s v="Mouse"/>
    <n v="6"/>
    <n v="700"/>
    <n v="20"/>
    <n v="3360"/>
    <n v="2"/>
    <s v="NetBanking"/>
    <s v="Neha"/>
    <s v="arjun.rao@company.com"/>
    <s v="9237616558"/>
    <s v="Pending"/>
    <x v="1"/>
  </r>
  <r>
    <s v="ORD10284"/>
    <s v="C009"/>
    <s v="P202"/>
    <x v="213"/>
    <s v="27/02/2026"/>
    <s v="Sneha Joshi"/>
    <s v="Male"/>
    <s v="28/03/1995"/>
    <s v="Ahmedabad"/>
    <s v="North"/>
    <s v="Electronics"/>
    <s v="Iron"/>
    <n v="3"/>
    <n v="2200"/>
    <n v="0"/>
    <n v="6600"/>
    <n v="4"/>
    <s v="Card"/>
    <s v="Ritika"/>
    <s v="mohit.verma@company.com"/>
    <s v="9935063989"/>
    <s v="Completed"/>
    <x v="3"/>
  </r>
  <r>
    <s v="ORD10285"/>
    <s v="C006"/>
    <s v="P303"/>
    <x v="193"/>
    <s v="01/01/2026"/>
    <s v="Arjun Rao"/>
    <s v="Female"/>
    <s v="12/03/1992"/>
    <s v="Hyderabad"/>
    <s v="West"/>
    <s v="Electronics"/>
    <s v="Marker"/>
    <n v="6"/>
    <n v="45"/>
    <n v="15"/>
    <n v="229.5"/>
    <n v="1"/>
    <s v="UPI"/>
    <s v="Rahul"/>
    <s v="sneha.joshi@company.com"/>
    <s v="9167376169"/>
    <s v="Completed"/>
    <x v="6"/>
  </r>
  <r>
    <s v="ORD10286"/>
    <s v="C006"/>
    <s v="P103"/>
    <x v="214"/>
    <s v="30/09/2025"/>
    <s v="Mohit Verma"/>
    <s v="Female"/>
    <s v="23/01/1981"/>
    <s v="Bengaluru"/>
    <s v="West"/>
    <s v="Home Appliances"/>
    <s v="Keyboard"/>
    <n v="2"/>
    <n v="1200"/>
    <n v="0"/>
    <n v="2400"/>
    <n v="1"/>
    <s v="Cash"/>
    <s v="Karan"/>
    <s v="sneha.joshi@company.com"/>
    <s v="9231845497"/>
    <s v="Cancelled"/>
    <x v="0"/>
  </r>
  <r>
    <s v="ORD10287"/>
    <s v="C004"/>
    <s v="P102"/>
    <x v="215"/>
    <s v="11/05/2026"/>
    <s v="Sneha Joshi"/>
    <s v="Female"/>
    <s v="28/09/1984"/>
    <s v="Hyderabad"/>
    <s v="South"/>
    <s v="Stationery"/>
    <s v="Mouse"/>
    <n v="14"/>
    <n v="700"/>
    <n v="15"/>
    <n v="8330"/>
    <n v="5"/>
    <s v="Cash"/>
    <s v="Neha"/>
    <s v="anita.gupta@company.com"/>
    <s v="9409415805"/>
    <s v="Pending"/>
    <x v="8"/>
  </r>
  <r>
    <s v="ORD10288"/>
    <s v="C002"/>
    <s v="P302"/>
    <x v="34"/>
    <s v="06/11/2025"/>
    <s v="Sneha Joshi"/>
    <s v="Female"/>
    <s v="06/11/1975"/>
    <s v="Mumbai"/>
    <s v="South"/>
    <s v="Electronics"/>
    <s v="Pen"/>
    <n v="13"/>
    <n v="20"/>
    <n v="5"/>
    <n v="247"/>
    <n v="1"/>
    <s v="Card"/>
    <s v="Ritika"/>
    <s v="priya.patecompany.com"/>
    <s v="9240800508"/>
    <s v="Pending"/>
    <x v="10"/>
  </r>
  <r>
    <s v="ORD10289"/>
    <s v="C009"/>
    <s v="P202"/>
    <x v="10"/>
    <s v="15/03/2025"/>
    <s v="Anita Gupta"/>
    <s v="Male"/>
    <s v="26/06/1995"/>
    <s v="Pune"/>
    <s v="South"/>
    <s v="Electronics"/>
    <s v="Iron"/>
    <n v="3"/>
    <n v="2200"/>
    <n v="0"/>
    <n v="6600"/>
    <n v="4"/>
    <s v="NetBanking"/>
    <s v="Aisha"/>
    <s v="mohit.verma@company.com"/>
    <s v="9764609936"/>
    <s v="Cancelled"/>
    <x v="4"/>
  </r>
  <r>
    <s v="ORD10290"/>
    <s v="C009"/>
    <s v="P301"/>
    <x v="62"/>
    <s v="21/02/2026"/>
    <s v="Priya Patel"/>
    <s v="Male"/>
    <s v="21/11/1979"/>
    <s v="Pune"/>
    <s v="West"/>
    <s v="Stationery"/>
    <s v="Notebook"/>
    <n v="3"/>
    <n v="60"/>
    <n v="15"/>
    <n v="153"/>
    <n v="4"/>
    <s v="UPI"/>
    <s v="Neha"/>
    <s v="mohit.verma@company.com"/>
    <s v="9362733217"/>
    <s v="Completed"/>
    <x v="3"/>
  </r>
  <r>
    <s v="ORD10291"/>
    <s v="C003"/>
    <s v="P201"/>
    <x v="97"/>
    <s v="23/03/2025"/>
    <s v="Mohit Verma"/>
    <s v="Male"/>
    <s v="28/01/1987"/>
    <s v="Mumbai"/>
    <s v="West"/>
    <s v="Home Appliances"/>
    <s v="Mixer"/>
    <n v="9"/>
    <n v="3500"/>
    <n v="5"/>
    <n v="29925"/>
    <n v="1"/>
    <s v="Cash"/>
    <s v="Aisha"/>
    <s v="rohit.singh@company.com"/>
    <s v="9270466205"/>
    <s v="Pending"/>
    <x v="4"/>
  </r>
  <r>
    <s v="ORD10292"/>
    <s v="C001"/>
    <s v="P103"/>
    <x v="216"/>
    <s v="01/04/2025"/>
    <s v="Mohit Verma"/>
    <s v="Male"/>
    <s v="08/02/2001"/>
    <s v="Jaipur"/>
    <s v="West"/>
    <s v="Stationery"/>
    <s v="Keyboard"/>
    <n v="5"/>
    <n v="1200"/>
    <n v="20"/>
    <n v="4800"/>
    <n v="2"/>
    <s v="UPI"/>
    <s v="Neha"/>
    <s v="amit.sharma@company.com"/>
    <s v="9571436865"/>
    <s v="Pending"/>
    <x v="4"/>
  </r>
  <r>
    <s v="ORD10293"/>
    <s v="C010"/>
    <s v="P103"/>
    <x v="217"/>
    <s v="14/03/2025"/>
    <s v="Rohit Singh"/>
    <s v="Female"/>
    <s v="14/12/1989"/>
    <s v="Jaipur"/>
    <s v="West"/>
    <s v="Home Appliances"/>
    <s v="Keyboard"/>
    <n v="10"/>
    <n v="1200"/>
    <n v="20"/>
    <n v="9600"/>
    <n v="4"/>
    <s v="Cash"/>
    <s v="Rahul"/>
    <s v="pooja.shah@company.com"/>
    <s v="9307011171"/>
    <s v="Completed"/>
    <x v="4"/>
  </r>
  <r>
    <s v="ORD10294"/>
    <s v="C008"/>
    <s v="P103"/>
    <x v="218"/>
    <s v="24/02/2026"/>
    <s v="Amit Sharma"/>
    <s v="Female"/>
    <s v="15/12/1988"/>
    <s v="Ahmedabad"/>
    <s v="North"/>
    <s v="Electronics"/>
    <s v="Keyboard"/>
    <n v="5"/>
    <n v="1200"/>
    <n v="20"/>
    <n v="4800"/>
    <n v="3"/>
    <s v="NetBanking"/>
    <s v="Karan"/>
    <s v="KAvya.nair@company.com"/>
    <s v="9922380435"/>
    <s v="Completed"/>
    <x v="3"/>
  </r>
  <r>
    <s v="ORD10295"/>
    <s v="C004"/>
    <s v="P302"/>
    <x v="219"/>
    <s v="14/02/2025"/>
    <s v="Pooja Shah"/>
    <s v="Female"/>
    <s v="20/10/1990"/>
    <s v="Mumbai"/>
    <s v="North"/>
    <s v="Electronics"/>
    <s v="Pen"/>
    <n v="10"/>
    <n v="20"/>
    <n v="5"/>
    <n v="190"/>
    <n v="4"/>
    <s v="Cash"/>
    <s v="Karan"/>
    <s v="anita.gupta@company.com"/>
    <s v="9463618792"/>
    <s v="Pending"/>
    <x v="3"/>
  </r>
  <r>
    <s v="ORD10296"/>
    <s v="C002"/>
    <s v="P301"/>
    <x v="220"/>
    <s v="27/01/2025"/>
    <s v="Kavya Nair"/>
    <s v="Female"/>
    <s v="08/09/1978"/>
    <s v="Delhi"/>
    <s v="West"/>
    <s v="Electronics"/>
    <s v="Notebook"/>
    <n v="20"/>
    <n v="60"/>
    <n v="15"/>
    <n v="1020"/>
    <n v="5"/>
    <s v="Card"/>
    <s v="Ritika"/>
    <s v="priYa.patel@company.com"/>
    <s v="9954973200"/>
    <s v="Pending"/>
    <x v="2"/>
  </r>
  <r>
    <s v="ORD10297"/>
    <s v="C001"/>
    <s v="P202"/>
    <x v="221"/>
    <s v="12/04/2025"/>
    <s v="Anita Gupta"/>
    <s v="Male"/>
    <s v="09/02/1978"/>
    <s v="Ahmedabad"/>
    <s v="West"/>
    <s v="Stationery"/>
    <s v="Iron"/>
    <n v="7"/>
    <n v="2200"/>
    <n v="15"/>
    <n v="13090"/>
    <n v="4"/>
    <s v="Cash"/>
    <s v="Aisha"/>
    <s v="amit.sharma@company.com"/>
    <s v="9383199236"/>
    <s v="Cancelled"/>
    <x v="1"/>
  </r>
  <r>
    <s v="ORD10298"/>
    <s v="C003"/>
    <s v="P101"/>
    <x v="96"/>
    <s v="16/01/2025"/>
    <s v="Priya Patel"/>
    <s v="Male"/>
    <s v="03/01/2004"/>
    <s v="Hyderabad"/>
    <s v="North"/>
    <s v="Stationery"/>
    <s v="Laptop"/>
    <n v="11"/>
    <n v="55000"/>
    <n v="5"/>
    <n v="574750"/>
    <n v="1"/>
    <s v="UPI"/>
    <s v="Ritika"/>
    <s v="rohit.singh@company.com"/>
    <s v="9482699727"/>
    <s v="Cancelled"/>
    <x v="2"/>
  </r>
  <r>
    <s v="ORD10299"/>
    <s v="C007"/>
    <s v="P201"/>
    <x v="37"/>
    <s v="17/10/2025"/>
    <s v="Amit Sharma"/>
    <s v="Male"/>
    <s v="02/05/1992"/>
    <s v="Jaipur"/>
    <s v="West"/>
    <s v="Home Appliances"/>
    <s v="Mixer"/>
    <n v="12"/>
    <n v="3500"/>
    <n v="0"/>
    <n v="42000"/>
    <n v="2"/>
    <s v="NetBanking"/>
    <s v="Not assigned"/>
    <s v="arjun.rao@company.com"/>
    <s v="9332473934"/>
    <s v="Pending"/>
    <x v="9"/>
  </r>
  <r>
    <s v="ORD10300"/>
    <s v="C009"/>
    <s v="P303"/>
    <x v="222"/>
    <s v="08/03/2026"/>
    <s v="Rohit Singh"/>
    <s v="Male"/>
    <s v="26/01/2003"/>
    <s v="Hyderabad"/>
    <s v="South"/>
    <s v="Electronics"/>
    <s v="Marker"/>
    <n v="15"/>
    <n v="45"/>
    <n v="10"/>
    <n v="607.5"/>
    <n v="2"/>
    <s v="Cash"/>
    <s v="Karan"/>
    <s v="mohit.verma@company.com"/>
    <s v="9647657382"/>
    <s v="Pending"/>
    <x v="3"/>
  </r>
  <r>
    <s v="ORD10301"/>
    <s v="C001"/>
    <s v="P303"/>
    <x v="223"/>
    <s v="26/05/2025"/>
    <s v="Arjun Rao"/>
    <s v="Male"/>
    <s v="20/05/1987"/>
    <s v="Bengaluru"/>
    <s v="North"/>
    <s v="Home Appliances"/>
    <s v="Marker"/>
    <n v="13"/>
    <n v="45"/>
    <n v="0"/>
    <n v="585"/>
    <n v="5"/>
    <s v="NetBanking"/>
    <s v="Rahul"/>
    <s v="amit.sharma@company.com"/>
    <s v="9736797776"/>
    <s v="Pending"/>
    <x v="8"/>
  </r>
  <r>
    <s v="ORD10302"/>
    <s v="C003"/>
    <s v="P101"/>
    <x v="112"/>
    <s v="05/01/2026"/>
    <s v="Mohit Verma"/>
    <s v="Male"/>
    <s v="07/09/1975"/>
    <s v="Bengaluru"/>
    <s v="South"/>
    <s v="Stationery"/>
    <s v="Laptop"/>
    <n v="8"/>
    <n v="55000"/>
    <n v="0"/>
    <n v="440000"/>
    <n v="2"/>
    <s v="UPI"/>
    <s v="Karan"/>
    <s v="rohit.singh@company.com"/>
    <s v="9745773533"/>
    <s v="Cancelled"/>
    <x v="2"/>
  </r>
  <r>
    <s v="ORD10303"/>
    <s v="C006"/>
    <s v="P101"/>
    <x v="224"/>
    <s v="27/07/2025"/>
    <s v="Amit Sharma"/>
    <s v="Female"/>
    <s v="10/08/1980"/>
    <s v="Delhi"/>
    <s v="South"/>
    <s v="Stationery"/>
    <s v="Laptop"/>
    <n v="4"/>
    <n v="55000"/>
    <n v="20"/>
    <n v="176000"/>
    <n v="5"/>
    <s v="Cash"/>
    <s v="Rahul"/>
    <s v="sneha.joshi@company.com"/>
    <s v="9246715757"/>
    <s v="Pending"/>
    <x v="5"/>
  </r>
  <r>
    <s v="ORD10304"/>
    <s v="C008"/>
    <s v="P201"/>
    <x v="225"/>
    <s v="26/04/2026"/>
    <s v="Rohit Singh"/>
    <s v="Female"/>
    <s v="07/04/1989"/>
    <s v="Ahmedabad"/>
    <s v="South"/>
    <s v="Electronics"/>
    <s v="Mixer"/>
    <n v="19"/>
    <n v="3500"/>
    <n v="5"/>
    <n v="63175"/>
    <n v="1"/>
    <s v="Card"/>
    <s v="Neha"/>
    <s v="KAvya.nair@company.com"/>
    <s v="9904065774"/>
    <s v="Completed"/>
    <x v="1"/>
  </r>
  <r>
    <s v="ORD10305"/>
    <s v="C005"/>
    <s v="P103"/>
    <x v="226"/>
    <s v="06/03/2025"/>
    <s v="Sneha Joshi"/>
    <s v="Male"/>
    <s v="20/08/1998"/>
    <s v="Jaipur"/>
    <s v="North"/>
    <s v="Electronics"/>
    <s v="Keyboard"/>
    <n v="17"/>
    <n v="1200"/>
    <n v="15"/>
    <n v="17340"/>
    <n v="2"/>
    <s v="NetBanking"/>
    <s v="Rahul"/>
    <s v="vikas.mehta@company.com"/>
    <s v="9652985385"/>
    <s v="Completed"/>
    <x v="4"/>
  </r>
  <r>
    <s v="ORD10306"/>
    <s v="C008"/>
    <s v="P202"/>
    <x v="62"/>
    <s v="17/02/2026"/>
    <s v="Kavya Nair"/>
    <s v="Female"/>
    <s v="03/04/2001"/>
    <s v="Hyderabad"/>
    <s v="West"/>
    <s v="Home Appliances"/>
    <s v="Iron"/>
    <n v="8"/>
    <n v="2200"/>
    <n v="5"/>
    <n v="16720"/>
    <n v="3"/>
    <s v="Card"/>
    <s v="Neha"/>
    <s v="KAvya.nair@company.com"/>
    <s v="9427001508"/>
    <s v="Pending"/>
    <x v="3"/>
  </r>
  <r>
    <s v="ORD10307"/>
    <s v="C006"/>
    <s v="P102"/>
    <x v="157"/>
    <s v="26/02/2025"/>
    <s v="Vikas Mehta"/>
    <s v="Female"/>
    <s v="05/03/1992"/>
    <s v="Mumbai"/>
    <s v="North"/>
    <s v="Electronics"/>
    <s v="Mouse"/>
    <n v="17"/>
    <n v="700"/>
    <n v="20"/>
    <n v="9520"/>
    <n v="4"/>
    <s v="NetBanking"/>
    <s v="Neha"/>
    <s v="sneha.joshi@company.com"/>
    <s v="9666803655"/>
    <s v="Completed"/>
    <x v="3"/>
  </r>
  <r>
    <s v="ORD10308"/>
    <s v="C006"/>
    <s v="P203"/>
    <x v="227"/>
    <s v="08/09/2025"/>
    <s v="Kavya Nair"/>
    <s v="Female"/>
    <s v="28/12/1976"/>
    <s v="Pune"/>
    <s v="South"/>
    <s v="Home Appliances"/>
    <s v="Microwave"/>
    <n v="6"/>
    <n v="8500"/>
    <n v="15"/>
    <n v="43350"/>
    <n v="1"/>
    <s v="Cash"/>
    <s v="Aisha"/>
    <s v="sneha.joshi@company.com"/>
    <s v="9134878547"/>
    <s v="Completed"/>
    <x v="11"/>
  </r>
  <r>
    <s v="ORD10309"/>
    <s v="C010"/>
    <s v="P201"/>
    <x v="228"/>
    <s v="11/10/2025"/>
    <s v="Sneha Joshi"/>
    <s v="Female"/>
    <s v="04/09/1986"/>
    <s v="Hyderabad"/>
    <s v="West"/>
    <s v="Electronics"/>
    <s v="Mixer"/>
    <n v="3"/>
    <n v="3500"/>
    <n v="10"/>
    <n v="9450"/>
    <n v="1"/>
    <s v="NetBanking"/>
    <s v="Rahul"/>
    <s v="pooja.shah@company.com"/>
    <s v="9253593557"/>
    <s v="Completed"/>
    <x v="9"/>
  </r>
  <r>
    <s v="ORD10310"/>
    <s v="C009"/>
    <s v="P104"/>
    <x v="220"/>
    <s v="29/01/2025"/>
    <s v="Sneha Joshi"/>
    <s v="Male"/>
    <s v="14/08/1989"/>
    <s v="Ahmedabad"/>
    <s v="West"/>
    <s v="Home Appliances"/>
    <s v="Monitor"/>
    <n v="2"/>
    <n v="12000"/>
    <n v="20"/>
    <n v="19200"/>
    <n v="1"/>
    <s v="Card"/>
    <s v="Aisha"/>
    <s v="mohit.verma@company.com"/>
    <s v="9183094051"/>
    <s v="Completed"/>
    <x v="2"/>
  </r>
  <r>
    <s v="ORD10311"/>
    <s v="C005"/>
    <s v="P302"/>
    <x v="43"/>
    <s v="16/10/2025"/>
    <s v="Pooja Shah"/>
    <s v="Male"/>
    <s v="02/03/1991"/>
    <s v="Delhi"/>
    <s v="South"/>
    <s v="Home Appliances"/>
    <s v="Pen"/>
    <n v="12"/>
    <n v="20"/>
    <n v="20"/>
    <n v="192"/>
    <n v="2"/>
    <s v="Card"/>
    <s v="Rahul"/>
    <s v="vikas.mehta@company.com"/>
    <s v="9293147620"/>
    <s v="Completed"/>
    <x v="9"/>
  </r>
  <r>
    <s v="ORD10312"/>
    <s v="C002"/>
    <s v="P104"/>
    <x v="229"/>
    <s v="28/04/2026"/>
    <s v="Mohit Verma"/>
    <s v="Female"/>
    <s v="13/08/1989"/>
    <s v="Kolkata"/>
    <s v="West"/>
    <s v="Electronics"/>
    <s v="Monitor"/>
    <n v="20"/>
    <n v="12000"/>
    <n v="15"/>
    <n v="204000"/>
    <n v="3"/>
    <s v="Cash"/>
    <s v="Ritika"/>
    <s v="priYa.patel@company.com"/>
    <s v="9755583734"/>
    <s v="Pending"/>
    <x v="1"/>
  </r>
  <r>
    <s v="ORD10313"/>
    <s v="C010"/>
    <s v="P301"/>
    <x v="53"/>
    <s v="04/04/2026"/>
    <s v="Vikas Mehta"/>
    <s v="Female"/>
    <s v="02/02/2003"/>
    <s v="Jaipur"/>
    <s v="North"/>
    <s v="Stationery"/>
    <s v="Notebook"/>
    <n v="13"/>
    <n v="60"/>
    <n v="10"/>
    <n v="702"/>
    <n v="5"/>
    <s v="Cash"/>
    <s v="Ritika"/>
    <s v="pooja.shah@company.com"/>
    <s v="9186592813"/>
    <s v="Pending"/>
    <x v="4"/>
  </r>
  <r>
    <s v="ORD10314"/>
    <s v="C009"/>
    <s v="P101"/>
    <x v="230"/>
    <s v="19/05/2025"/>
    <s v="Priya Patel"/>
    <s v="Male"/>
    <s v="16/11/1995"/>
    <s v="Pune"/>
    <s v="East"/>
    <s v="Electronics"/>
    <s v="Laptop"/>
    <n v="13"/>
    <n v="55000"/>
    <n v="5"/>
    <n v="679250"/>
    <n v="1"/>
    <s v="UPI"/>
    <s v="Karan"/>
    <s v="mohit.verma@company.com"/>
    <s v="9203482008"/>
    <s v="Pending"/>
    <x v="8"/>
  </r>
  <r>
    <s v="ORD10315"/>
    <s v="C002"/>
    <s v="P103"/>
    <x v="127"/>
    <s v="10/03/2026"/>
    <s v="Pooja Shah"/>
    <s v="Female"/>
    <s v="24/11/1989"/>
    <s v="Bengaluru"/>
    <s v="North"/>
    <s v="Stationery"/>
    <s v="Keyboard"/>
    <n v="7"/>
    <n v="1200"/>
    <n v="15"/>
    <n v="7140"/>
    <n v="5"/>
    <s v="UPI"/>
    <s v="Rahul"/>
    <s v="priYa.patel@company.com"/>
    <s v="9829888777"/>
    <s v="Pending"/>
    <x v="4"/>
  </r>
  <r>
    <s v="ORD10316"/>
    <s v="C007"/>
    <s v="P104"/>
    <x v="231"/>
    <s v="30/12/2025"/>
    <s v="Mohit Verma"/>
    <s v="Male"/>
    <s v="20/04/1988"/>
    <s v="Jaipur"/>
    <s v="West"/>
    <s v="Electronics"/>
    <s v="Monitor"/>
    <n v="17"/>
    <n v="12000"/>
    <n v="5"/>
    <n v="193800"/>
    <n v="1"/>
    <s v="Cash"/>
    <s v="Aisha"/>
    <s v="arjun.rao@company.com"/>
    <s v="9566101317"/>
    <s v="Cancelled"/>
    <x v="6"/>
  </r>
  <r>
    <s v="ORD10317"/>
    <s v="C007"/>
    <s v="P302"/>
    <x v="46"/>
    <s v="25/04/2026"/>
    <s v="Priya Patel"/>
    <s v="Male"/>
    <s v="02/11/1978"/>
    <s v="Bengaluru"/>
    <s v="South"/>
    <s v="Electronics"/>
    <s v="Pen"/>
    <n v="10"/>
    <n v="20"/>
    <n v="5"/>
    <n v="190"/>
    <n v="2"/>
    <s v="Cash"/>
    <s v="Aisha"/>
    <s v="arjun.rao@company.com"/>
    <s v="9706240823"/>
    <s v="Cancelled"/>
    <x v="1"/>
  </r>
  <r>
    <s v="ORD10318"/>
    <s v="C004"/>
    <s v="P202"/>
    <x v="34"/>
    <s v="08/11/2025"/>
    <s v="Arjun Rao"/>
    <s v="Female"/>
    <s v="13/12/1989"/>
    <s v="Delhi"/>
    <s v="North"/>
    <s v="Electronics"/>
    <s v="Iron"/>
    <n v="11"/>
    <n v="2200"/>
    <n v="5"/>
    <n v="22990"/>
    <n v="5"/>
    <s v="Card"/>
    <s v="Rahul"/>
    <s v="anita.gupta@company.com"/>
    <s v="9259943760"/>
    <s v="Pending"/>
    <x v="10"/>
  </r>
  <r>
    <s v="ORD10319"/>
    <s v="C002"/>
    <s v="P301"/>
    <x v="232"/>
    <s v="28/02/2026"/>
    <s v="Arjun Rao"/>
    <s v="Female"/>
    <s v="08/01/1995"/>
    <s v="Jaipur"/>
    <s v="South"/>
    <s v="Stationery"/>
    <s v="Notebook"/>
    <n v="8"/>
    <n v="60"/>
    <n v="15"/>
    <n v="408"/>
    <n v="4"/>
    <s v="Cash"/>
    <s v="Rahul"/>
    <s v="priYa.patel@company.com"/>
    <s v="9527326977"/>
    <s v="Pending"/>
    <x v="3"/>
  </r>
  <r>
    <s v="ORD10320"/>
    <s v="C005"/>
    <s v="P303"/>
    <x v="194"/>
    <s v="25/03/2025"/>
    <s v="Anita Gupta"/>
    <s v="Male"/>
    <s v="23/10/1994"/>
    <s v="Delhi"/>
    <s v="North"/>
    <s v="Home Appliances"/>
    <s v="Marker"/>
    <n v="17"/>
    <n v="45"/>
    <n v="15"/>
    <n v="650.25"/>
    <n v="2"/>
    <s v="UPI"/>
    <s v="Karan"/>
    <s v="vikas.mehta@company.com"/>
    <s v="9886970990"/>
    <s v="Completed"/>
    <x v="4"/>
  </r>
  <r>
    <s v="ORD10321"/>
    <s v="C001"/>
    <s v="P102"/>
    <x v="233"/>
    <s v="10/03/2025"/>
    <s v="Priya Patel"/>
    <s v="Male"/>
    <s v="21/05/1996"/>
    <s v="Jaipur"/>
    <s v="North"/>
    <s v="Stationery"/>
    <s v="Mouse"/>
    <n v="14"/>
    <n v="700"/>
    <n v="15"/>
    <n v="8330"/>
    <n v="1"/>
    <s v="Card"/>
    <s v="Neha"/>
    <s v="amit.sharma@company.com"/>
    <s v="9106930369"/>
    <s v="Completed"/>
    <x v="3"/>
  </r>
  <r>
    <s v="ORD10322"/>
    <s v="C007"/>
    <s v="P103"/>
    <x v="234"/>
    <s v="14/06/2025"/>
    <s v="Vikas Mehta"/>
    <s v="Male"/>
    <s v="26/05/1982"/>
    <s v="Pune"/>
    <s v="North"/>
    <s v="Stationery"/>
    <s v="Keyboard"/>
    <n v="3"/>
    <n v="1200"/>
    <n v="5"/>
    <n v="3420"/>
    <n v="3"/>
    <s v="NetBanking"/>
    <s v="Karan"/>
    <s v="arjun.rao@company.com"/>
    <s v="9342009114"/>
    <s v="Completed"/>
    <x v="7"/>
  </r>
  <r>
    <s v="ORD10323"/>
    <s v="C008"/>
    <s v="P103"/>
    <x v="129"/>
    <s v="16/07/2025"/>
    <s v="Amit Sharma"/>
    <s v="Female"/>
    <s v="22/11/2001"/>
    <s v="Ahmedabad"/>
    <s v="North"/>
    <s v="Electronics"/>
    <s v="Keyboard"/>
    <n v="9"/>
    <n v="1200"/>
    <n v="15"/>
    <n v="9180"/>
    <n v="3"/>
    <s v="Cash"/>
    <s v="Rahul"/>
    <s v="KAvya.nair@company.com"/>
    <s v="9992739960"/>
    <s v="Completed"/>
    <x v="5"/>
  </r>
  <r>
    <s v="ORD10324"/>
    <s v="C006"/>
    <s v="P302"/>
    <x v="113"/>
    <s v="21/04/2026"/>
    <s v="Arjun Rao"/>
    <s v="Female"/>
    <s v="26/02/1989"/>
    <s v="Mumbai"/>
    <s v="West"/>
    <s v="Electronics"/>
    <s v="Pen"/>
    <n v="5"/>
    <n v="20"/>
    <n v="5"/>
    <n v="95"/>
    <n v="4"/>
    <s v="Cash"/>
    <s v="Karan"/>
    <s v="sneha.joshi@company.com"/>
    <s v="9241987748"/>
    <s v="Completed"/>
    <x v="1"/>
  </r>
  <r>
    <s v="ORD10325"/>
    <s v="C006"/>
    <s v="P202"/>
    <x v="235"/>
    <s v="21/12/2025"/>
    <s v="Kavya Nair"/>
    <s v="Female"/>
    <s v="18/08/1985"/>
    <s v="Ahmedabad"/>
    <s v="West"/>
    <s v="Electronics"/>
    <s v="Iron"/>
    <n v="8"/>
    <n v="2200"/>
    <n v="10"/>
    <n v="15840"/>
    <n v="4"/>
    <s v="UPI"/>
    <s v="Aisha"/>
    <s v="sneha.joshi@company.com"/>
    <s v="9571990711"/>
    <s v="Cancelled"/>
    <x v="6"/>
  </r>
  <r>
    <s v="ORD10326"/>
    <s v="C006"/>
    <s v="P102"/>
    <x v="35"/>
    <s v="12/03/2026"/>
    <s v="Sneha Joshi"/>
    <s v="Female"/>
    <s v="03/01/1980"/>
    <s v="Mumbai"/>
    <s v="West"/>
    <s v="Stationery"/>
    <s v="Mouse"/>
    <n v="10"/>
    <n v="700"/>
    <n v="20"/>
    <n v="5600"/>
    <n v="1"/>
    <s v="UPI"/>
    <s v="Neha"/>
    <s v="sneha.joshi@company.com"/>
    <s v="9219231183"/>
    <s v="Completed"/>
    <x v="4"/>
  </r>
  <r>
    <s v="ORD10327"/>
    <s v="C007"/>
    <s v="P102"/>
    <x v="236"/>
    <s v="28/11/2025"/>
    <s v="Sneha Joshi"/>
    <s v="Male"/>
    <s v="08/01/1978"/>
    <s v="Bengaluru"/>
    <s v="West"/>
    <s v="Home Appliances"/>
    <s v="Mouse"/>
    <n v="2"/>
    <n v="700"/>
    <n v="20"/>
    <n v="1120"/>
    <n v="2"/>
    <s v="Cash"/>
    <s v="Neha"/>
    <s v="arjun.rao@company.com"/>
    <s v="9847386174"/>
    <s v="Pending"/>
    <x v="10"/>
  </r>
  <r>
    <s v="ORD10328"/>
    <s v="C005"/>
    <s v="P201"/>
    <x v="138"/>
    <s v="28/06/2025"/>
    <s v="Sneha Joshi"/>
    <s v="Male"/>
    <s v="05/08/1992"/>
    <s v="Pune"/>
    <s v="West"/>
    <s v="Electronics"/>
    <s v="Mixer"/>
    <n v="16"/>
    <n v="3500"/>
    <n v="20"/>
    <n v="44800"/>
    <n v="2"/>
    <s v="UPI"/>
    <s v="Ritika"/>
    <s v="vikas.mehta@company.com"/>
    <s v="9941274924"/>
    <s v="Pending"/>
    <x v="7"/>
  </r>
  <r>
    <s v="ORD10329"/>
    <s v="C004"/>
    <s v="P201"/>
    <x v="134"/>
    <s v="01/08/2025"/>
    <s v="Arjun Rao"/>
    <s v="Female"/>
    <s v="28/12/2004"/>
    <s v="Delhi"/>
    <s v="South"/>
    <s v="Electronics"/>
    <s v="Mixer"/>
    <n v="9"/>
    <n v="3500"/>
    <n v="20"/>
    <n v="25200"/>
    <n v="1"/>
    <s v="Card"/>
    <s v="Rahul"/>
    <s v="anita.gupta@company.com"/>
    <s v="9950650508"/>
    <s v="Cancelled"/>
    <x v="5"/>
  </r>
  <r>
    <s v="ORD10330"/>
    <s v="C003"/>
    <s v="P102"/>
    <x v="237"/>
    <s v="30/10/2025"/>
    <s v="Vikas Mehta"/>
    <s v="Male"/>
    <s v="07/01/2003"/>
    <s v="Hyderabad"/>
    <s v="West"/>
    <s v="Home Appliances"/>
    <s v="Mouse"/>
    <n v="15"/>
    <n v="700"/>
    <n v="5"/>
    <n v="9975"/>
    <n v="1"/>
    <s v="Cash"/>
    <s v="Rahul"/>
    <s v="rohit.singh@company.com"/>
    <s v="9464035549"/>
    <s v="Cancelled"/>
    <x v="9"/>
  </r>
  <r>
    <s v="ORD10331"/>
    <s v="C010"/>
    <s v="P103"/>
    <x v="238"/>
    <s v="10/03/2026"/>
    <s v="Anita Gupta"/>
    <s v="Female"/>
    <s v="09/03/1993"/>
    <s v="Ahmedabad"/>
    <s v="North"/>
    <s v="Home Appliances"/>
    <s v="Keyboard"/>
    <n v="13"/>
    <n v="1200"/>
    <n v="0"/>
    <n v="15600"/>
    <n v="3"/>
    <s v="NetBanking"/>
    <s v="Neha"/>
    <s v="pooja.shah@company.com"/>
    <s v="9142334315"/>
    <s v="Cancelled"/>
    <x v="4"/>
  </r>
  <r>
    <s v="ORD10332"/>
    <s v="C001"/>
    <s v="P104"/>
    <x v="239"/>
    <s v="07/09/2025"/>
    <s v="Rohit Singh"/>
    <s v="Male"/>
    <s v="03/06/1993"/>
    <s v="Delhi"/>
    <s v="South"/>
    <s v="Electronics"/>
    <s v="Monitor"/>
    <n v="5"/>
    <n v="12000"/>
    <n v="10"/>
    <n v="54000"/>
    <n v="3"/>
    <s v="UPI"/>
    <s v="Rahul"/>
    <s v="amit.sharma@company.com"/>
    <s v="9123961962"/>
    <s v="Completed"/>
    <x v="11"/>
  </r>
  <r>
    <s v="ORD10333"/>
    <s v="C010"/>
    <s v="P303"/>
    <x v="240"/>
    <s v="08/04/2025"/>
    <s v="Pooja Shah"/>
    <s v="Female"/>
    <s v="10/12/1999"/>
    <s v="Bengaluru"/>
    <s v="West"/>
    <s v="Electronics"/>
    <s v="Marker"/>
    <n v="12"/>
    <n v="45"/>
    <n v="20"/>
    <n v="432"/>
    <n v="3"/>
    <s v="NetBanking"/>
    <s v="Aisha"/>
    <s v="pooja.shah@company.com"/>
    <s v="9741953402"/>
    <s v="Completed"/>
    <x v="1"/>
  </r>
  <r>
    <s v="ORD10334"/>
    <s v="C008"/>
    <s v="P201"/>
    <x v="102"/>
    <s v="14/04/2025"/>
    <s v="Amit Sharma"/>
    <s v="Female"/>
    <s v="06/06/1976"/>
    <s v="Bengaluru"/>
    <s v="North"/>
    <s v="Electronics"/>
    <s v="Mixer"/>
    <n v="2"/>
    <n v="3500"/>
    <n v="0"/>
    <n v="7000"/>
    <n v="1"/>
    <s v="NetBanking"/>
    <s v="Neha"/>
    <s v="KAvya.nair@company.com"/>
    <s v="9404733633"/>
    <s v="Pending"/>
    <x v="1"/>
  </r>
  <r>
    <s v="ORD10335"/>
    <s v="C008"/>
    <s v="P202"/>
    <x v="57"/>
    <s v="16/05/2026"/>
    <s v="Pooja Shah"/>
    <s v="Female"/>
    <s v="27/10/1984"/>
    <s v="Pune"/>
    <s v="South"/>
    <s v="Stationery"/>
    <s v="Iron"/>
    <n v="15"/>
    <n v="2200"/>
    <n v="15"/>
    <n v="28050"/>
    <n v="2"/>
    <s v="NetBanking"/>
    <s v="Rahul"/>
    <s v="KAvya.nair@company.com"/>
    <s v="9297492337"/>
    <s v="Pending"/>
    <x v="8"/>
  </r>
  <r>
    <s v="ORD10336"/>
    <s v="C002"/>
    <s v="P302"/>
    <x v="241"/>
    <s v="12/12/2025"/>
    <s v="Kavya Nair"/>
    <s v="Female"/>
    <s v="28/02/1975"/>
    <s v="Ahmedabad"/>
    <s v="South"/>
    <s v="Home Appliances"/>
    <s v="Pen"/>
    <n v="8"/>
    <n v="20"/>
    <n v="20"/>
    <n v="128"/>
    <n v="5"/>
    <s v="UPI"/>
    <s v="Rahul"/>
    <s v="priYa.patel@company.com"/>
    <s v="9350338928"/>
    <s v="Completed"/>
    <x v="6"/>
  </r>
  <r>
    <s v="ORD10337"/>
    <s v="C003"/>
    <s v="P302"/>
    <x v="35"/>
    <s v="10/03/2026"/>
    <s v="Kavya Nair"/>
    <s v="Male"/>
    <s v="19/10/1993"/>
    <s v="Hyderabad"/>
    <s v="West"/>
    <s v="Home Appliances"/>
    <s v="Pen"/>
    <n v="1"/>
    <n v="20"/>
    <n v="0"/>
    <n v="20"/>
    <n v="3"/>
    <s v="UPI"/>
    <s v="Ritika"/>
    <s v="rohit.singh@company.com"/>
    <s v="9933894798"/>
    <s v="Completed"/>
    <x v="4"/>
  </r>
  <r>
    <s v="ORD10338"/>
    <s v="C008"/>
    <s v="P102"/>
    <x v="242"/>
    <s v="16/01/2026"/>
    <s v="Priya Patel"/>
    <s v="Female"/>
    <s v="25/10/1983"/>
    <s v="Jaipur"/>
    <s v="West"/>
    <s v="Stationery"/>
    <s v="Mouse"/>
    <n v="15"/>
    <n v="700"/>
    <n v="0"/>
    <n v="10500"/>
    <n v="2"/>
    <s v="UPI"/>
    <s v="Rahul"/>
    <s v="KAvya.nair@company.com"/>
    <s v="9705218824"/>
    <s v="Completed"/>
    <x v="2"/>
  </r>
  <r>
    <s v="ORD10339"/>
    <s v="C001"/>
    <s v="P201"/>
    <x v="148"/>
    <s v="10/02/2025"/>
    <s v="Rohit Singh"/>
    <s v="Male"/>
    <s v="08/01/1983"/>
    <s v="Hyderabad"/>
    <s v="South"/>
    <s v="Stationery"/>
    <s v="Mixer"/>
    <n v="15"/>
    <n v="3500"/>
    <n v="10"/>
    <n v="47250"/>
    <n v="3"/>
    <s v="Cash"/>
    <s v="Karan"/>
    <s v="amit.sharma@company.com"/>
    <s v="9229164453"/>
    <s v="Pending"/>
    <x v="3"/>
  </r>
  <r>
    <s v="ORD10340"/>
    <s v="C008"/>
    <s v="P301"/>
    <x v="243"/>
    <s v="07/08/2025"/>
    <s v="Kavya Nair"/>
    <s v="Female"/>
    <s v="14/12/1983"/>
    <s v="Kolkata"/>
    <s v="North"/>
    <s v="Electronics"/>
    <s v="Notebook"/>
    <n v="16"/>
    <n v="60"/>
    <n v="10"/>
    <n v="864"/>
    <n v="4"/>
    <s v="Card"/>
    <s v="Aisha"/>
    <s v="KAvya.nair@company.com"/>
    <s v="9219806176"/>
    <s v="Completed"/>
    <x v="5"/>
  </r>
  <r>
    <s v="ORD10341"/>
    <s v="C003"/>
    <s v="P303"/>
    <x v="244"/>
    <s v="21/10/2025"/>
    <s v="Amit Sharma"/>
    <s v="Male"/>
    <s v="26/09/1983"/>
    <s v="Delhi"/>
    <s v="South"/>
    <s v="Home Appliances"/>
    <s v="Marker"/>
    <n v="2"/>
    <n v="45"/>
    <n v="15"/>
    <n v="76.5"/>
    <n v="1"/>
    <s v="UPI"/>
    <s v="Karan"/>
    <s v="rohit.singh@company.com"/>
    <s v="9630210250"/>
    <s v="Cancelled"/>
    <x v="9"/>
  </r>
  <r>
    <s v="ORD10342"/>
    <s v="C004"/>
    <s v="P301"/>
    <x v="245"/>
    <s v="15/12/2025"/>
    <s v="Kavya Nair"/>
    <s v="Female"/>
    <s v="23/05/1975"/>
    <s v="Delhi"/>
    <s v="East"/>
    <s v="Stationery"/>
    <s v="Notebook"/>
    <n v="13"/>
    <n v="60"/>
    <n v="15"/>
    <n v="663"/>
    <n v="2"/>
    <s v="NetBanking"/>
    <s v="Aisha"/>
    <s v="anita.gupta@company.com"/>
    <s v="9583354052"/>
    <s v="Cancelled"/>
    <x v="6"/>
  </r>
  <r>
    <s v="ORD10343"/>
    <s v="C007"/>
    <s v="P104"/>
    <x v="182"/>
    <s v="22/05/2025"/>
    <s v="Rohit Singh"/>
    <s v="Male"/>
    <s v="09/11/1994"/>
    <s v="Delhi"/>
    <s v="North"/>
    <s v="Stationery"/>
    <s v="Monitor"/>
    <n v="15"/>
    <n v="12000"/>
    <n v="20"/>
    <n v="144000"/>
    <n v="3"/>
    <s v="Card"/>
    <s v="Ritika"/>
    <s v="arjun.rao@company.com"/>
    <s v="9242534507"/>
    <s v="Cancelled"/>
    <x v="8"/>
  </r>
  <r>
    <s v="ORD10344"/>
    <s v="C001"/>
    <s v="P302"/>
    <x v="119"/>
    <s v="02/08/2025"/>
    <s v="Anita Gupta"/>
    <s v="Male"/>
    <s v="17/12/1987"/>
    <s v="Delhi"/>
    <s v="North"/>
    <s v="Stationery"/>
    <s v="Pen"/>
    <n v="2"/>
    <n v="20"/>
    <n v="20"/>
    <n v="32"/>
    <n v="4"/>
    <s v="Cash"/>
    <s v="Ritika"/>
    <s v="amit.sharma@company.com"/>
    <s v="9291239150"/>
    <s v="Pending"/>
    <x v="5"/>
  </r>
  <r>
    <s v="ORD10345"/>
    <s v="C003"/>
    <s v="P201"/>
    <x v="246"/>
    <s v="17/08/2025"/>
    <s v="Arjun Rao"/>
    <s v="Male"/>
    <s v="19/06/1975"/>
    <s v="Bengaluru"/>
    <s v="North"/>
    <s v="Electronics"/>
    <s v="Mixer"/>
    <n v="16"/>
    <n v="3500"/>
    <n v="0"/>
    <n v="56000"/>
    <n v="4"/>
    <s v="Cash"/>
    <s v="Neha"/>
    <s v="rohit.singh@company.com"/>
    <s v="9550820904"/>
    <s v="Completed"/>
    <x v="11"/>
  </r>
  <r>
    <s v="ORD10346"/>
    <s v="C010"/>
    <s v="P201"/>
    <x v="207"/>
    <s v="25/02/2026"/>
    <s v="Amit Sharma"/>
    <s v="Female"/>
    <s v="09/01/1977"/>
    <s v="Ahmedabad"/>
    <s v="North"/>
    <s v="Stationery"/>
    <s v="Mixer"/>
    <n v="18"/>
    <n v="3500"/>
    <n v="15"/>
    <n v="53550"/>
    <n v="5"/>
    <s v="Cash"/>
    <s v="Karan"/>
    <s v="pooja.shah@company.com"/>
    <s v="9294486423"/>
    <s v="Cancelled"/>
    <x v="3"/>
  </r>
  <r>
    <s v="ORD10347"/>
    <s v="C008"/>
    <s v="P303"/>
    <x v="247"/>
    <s v="26/03/2026"/>
    <s v="Rohit Singh"/>
    <s v="Female"/>
    <s v="20/09/1993"/>
    <s v="Ahmedabad"/>
    <s v="South"/>
    <s v="Home Appliances"/>
    <s v="Marker"/>
    <n v="20"/>
    <n v="45"/>
    <n v="15"/>
    <n v="765"/>
    <n v="4"/>
    <s v="Cash"/>
    <s v="Karan"/>
    <s v="KAvya.nair@company.com"/>
    <s v="9260258621"/>
    <s v="Cancelled"/>
    <x v="4"/>
  </r>
  <r>
    <s v="ORD10348"/>
    <s v="C006"/>
    <s v="P202"/>
    <x v="248"/>
    <s v="19/04/2026"/>
    <s v="Pooja Shah"/>
    <s v="Female"/>
    <s v="05/03/1997"/>
    <s v="Delhi"/>
    <s v="West"/>
    <s v="Home Appliances"/>
    <s v="Iron"/>
    <n v="13"/>
    <n v="2200"/>
    <n v="15"/>
    <n v="24310"/>
    <n v="2"/>
    <s v="NetBanking"/>
    <s v="Neha"/>
    <s v="sneha.joshi@company.com"/>
    <s v="9697433584"/>
    <s v="Pending"/>
    <x v="1"/>
  </r>
  <r>
    <s v="ORD10349"/>
    <s v="C010"/>
    <s v="P999"/>
    <x v="43"/>
    <s v="14/10/2025"/>
    <s v="Kavya Nair"/>
    <s v="Female"/>
    <s v="10/07/2002"/>
    <s v="Kolkata"/>
    <s v="West"/>
    <s v="Stationery"/>
    <s v="Microwave"/>
    <n v="11"/>
    <n v="8500"/>
    <n v="5"/>
    <n v="88825"/>
    <n v="1"/>
    <s v="UPI"/>
    <s v="Neha"/>
    <s v="pooja.shah@company.com"/>
    <s v="9837969758"/>
    <s v="Cancelled"/>
    <x v="9"/>
  </r>
  <r>
    <s v="ORD10350"/>
    <s v="C010"/>
    <s v="P202"/>
    <x v="249"/>
    <s v="10/12/2025"/>
    <s v="Sneha Joshi"/>
    <s v="Female"/>
    <s v="18/04/1984"/>
    <s v="Jaipur"/>
    <s v="North"/>
    <s v="Home Appliances"/>
    <s v="Iron"/>
    <n v="2"/>
    <n v="2200"/>
    <n v="0"/>
    <n v="4400"/>
    <n v="4"/>
    <s v="UPI"/>
    <s v="Karan"/>
    <s v="pooja.shah@company.com"/>
    <s v="9209736419"/>
    <s v="Pending"/>
    <x v="6"/>
  </r>
  <r>
    <s v="ORD10351"/>
    <s v="C007"/>
    <s v="P102"/>
    <x v="250"/>
    <s v="04/08/2025"/>
    <s v="Pooja Shah"/>
    <s v="Male"/>
    <s v="01/07/2003"/>
    <s v="Mumbai"/>
    <s v="East"/>
    <s v="Home Appliances"/>
    <s v="Mouse"/>
    <n v="15"/>
    <n v="700"/>
    <n v="15"/>
    <n v="8925"/>
    <n v="3"/>
    <s v="NetBanking"/>
    <s v="Neha"/>
    <s v="arjun.rao@company.com"/>
    <s v="9645907237"/>
    <s v="Completed"/>
    <x v="5"/>
  </r>
  <r>
    <s v="ORD10352"/>
    <s v="C003"/>
    <s v="P202"/>
    <x v="251"/>
    <s v="24/07/2025"/>
    <s v="Pooja Shah"/>
    <s v="Male"/>
    <s v="25/10/1992"/>
    <s v="Ahmedabad"/>
    <s v="North"/>
    <s v="Home Appliances"/>
    <s v="Iron"/>
    <n v="5"/>
    <n v="2200"/>
    <n v="15"/>
    <n v="9350"/>
    <n v="1"/>
    <s v="NetBanking"/>
    <s v="Neha"/>
    <s v="rohit.singh@company.com"/>
    <s v="9566149945"/>
    <s v="Pending"/>
    <x v="5"/>
  </r>
  <r>
    <s v="ORD10353"/>
    <s v="C007"/>
    <s v="P103"/>
    <x v="83"/>
    <s v="12/03/2026"/>
    <s v="Arjun Rao"/>
    <s v="Male"/>
    <s v="05/08/1988"/>
    <s v="Ahmedabad"/>
    <s v="West"/>
    <s v="Electronics"/>
    <s v="Keyboard"/>
    <n v="15"/>
    <n v="1200"/>
    <n v="0"/>
    <n v="18000"/>
    <n v="3"/>
    <s v="NetBanking"/>
    <s v="Aisha"/>
    <s v="arjun.rao@company.com"/>
    <s v="9935018068"/>
    <s v="Cancelled"/>
    <x v="4"/>
  </r>
  <r>
    <s v="ORD10354"/>
    <s v="C006"/>
    <s v="P103"/>
    <x v="14"/>
    <s v="10/04/2026"/>
    <s v="Rohit Singh"/>
    <s v="Female"/>
    <s v="24/06/1987"/>
    <s v="Mumbai"/>
    <s v="West"/>
    <s v="Home Appliances"/>
    <s v="Keyboard"/>
    <n v="19"/>
    <n v="1200"/>
    <n v="0"/>
    <n v="22800"/>
    <n v="1"/>
    <s v="Cash"/>
    <s v="Rahul"/>
    <s v="sneha.joshi@company.com"/>
    <s v="9171794652"/>
    <s v="Cancelled"/>
    <x v="1"/>
  </r>
  <r>
    <s v="ORD10355"/>
    <s v="C004"/>
    <s v="P104"/>
    <x v="0"/>
    <s v="25/09/2025"/>
    <s v="Arjun Rao"/>
    <s v="Female"/>
    <s v="19/10/1989"/>
    <s v="Mumbai"/>
    <s v="West"/>
    <s v="Electronics"/>
    <s v="Monitor"/>
    <n v="9"/>
    <n v="12000"/>
    <n v="15"/>
    <n v="91800"/>
    <n v="3"/>
    <s v="UPI"/>
    <s v="Rahul"/>
    <s v="anita.gupta@company.com"/>
    <s v="9671497416"/>
    <s v="Cancelled"/>
    <x v="0"/>
  </r>
  <r>
    <s v="ORD10356"/>
    <s v="C008"/>
    <s v="P303"/>
    <x v="44"/>
    <s v="21/10/2025"/>
    <s v="Sneha Joshi"/>
    <s v="Female"/>
    <s v="22/05/1992"/>
    <s v="Jaipur"/>
    <s v="West"/>
    <s v="Electronics"/>
    <s v="Marker"/>
    <n v="5"/>
    <n v="45"/>
    <n v="5"/>
    <n v="213.75"/>
    <n v="1"/>
    <s v="Card"/>
    <s v="Neha"/>
    <s v="KAvya.nair@company.com"/>
    <s v="9810433484"/>
    <s v="Completed"/>
    <x v="9"/>
  </r>
  <r>
    <s v="ORD10357"/>
    <s v="C006"/>
    <s v="P102"/>
    <x v="252"/>
    <s v="11/02/2025"/>
    <s v="Anita Gupta"/>
    <s v="Female"/>
    <s v="10/11/1989"/>
    <s v="Mumbai"/>
    <s v="West"/>
    <s v="Electronics"/>
    <s v="Mouse"/>
    <n v="3"/>
    <n v="700"/>
    <n v="15"/>
    <n v="1785"/>
    <n v="4"/>
    <s v="Cash"/>
    <s v="Karan"/>
    <s v="sneha.joshi@company.com"/>
    <s v="9990243436"/>
    <s v="Completed"/>
    <x v="12"/>
  </r>
  <r>
    <s v="ORD10358"/>
    <s v="C009"/>
    <s v="P203"/>
    <x v="63"/>
    <s v="26/12/2025"/>
    <s v="Kavya Nair"/>
    <s v="Male"/>
    <s v="03/09/1980"/>
    <s v="Jaipur"/>
    <s v="North"/>
    <s v="Stationery"/>
    <s v="Microwave"/>
    <n v="12"/>
    <n v="8500"/>
    <n v="5"/>
    <n v="96900"/>
    <n v="3"/>
    <s v="Card"/>
    <s v="Aisha"/>
    <s v="mohit.verma@company.com"/>
    <s v="9396678031"/>
    <s v="Pending"/>
    <x v="6"/>
  </r>
  <r>
    <s v="ORD10359"/>
    <s v="C006"/>
    <s v="P203"/>
    <x v="253"/>
    <s v="19/04/2026"/>
    <s v="Sneha Joshi"/>
    <s v="Female"/>
    <s v="06/03/1979"/>
    <s v="Pune"/>
    <s v="West"/>
    <s v="Electronics"/>
    <s v="Microwave"/>
    <n v="4"/>
    <n v="8500"/>
    <n v="15"/>
    <n v="28900"/>
    <n v="4"/>
    <s v="NetBanking"/>
    <s v="Aisha"/>
    <s v="sneha.joshi@company.com"/>
    <s v="9818591245"/>
    <s v="Pending"/>
    <x v="1"/>
  </r>
  <r>
    <s v="ORD10360"/>
    <s v="C003"/>
    <s v="P302"/>
    <x v="21"/>
    <s v="22/04/2025"/>
    <s v="Mohit Verma"/>
    <s v="Male"/>
    <s v="04/09/1996"/>
    <s v="Jaipur"/>
    <s v="North"/>
    <s v="Home Appliances"/>
    <s v="Pen"/>
    <n v="16"/>
    <n v="20"/>
    <n v="10"/>
    <n v="288"/>
    <n v="4"/>
    <s v="Cash"/>
    <s v="Neha"/>
    <s v="rohit.singh@company.com"/>
    <s v="9505550047"/>
    <s v="Cancelled"/>
    <x v="1"/>
  </r>
  <r>
    <s v="ORD10361"/>
    <s v="C003"/>
    <s v="P301"/>
    <x v="254"/>
    <s v="18/05/2026"/>
    <s v="Sneha Joshi"/>
    <s v="Male"/>
    <s v="14/03/1999"/>
    <s v="Mumbai"/>
    <s v="West"/>
    <s v="Home Appliances"/>
    <s v="Notebook"/>
    <n v="3"/>
    <n v="60"/>
    <n v="20"/>
    <n v="144"/>
    <n v="4"/>
    <s v="UPI"/>
    <s v="Karan"/>
    <s v="rohit.singh@company.com"/>
    <s v="9469828772"/>
    <s v="Pending"/>
    <x v="8"/>
  </r>
  <r>
    <s v="ORD10362"/>
    <s v="C009"/>
    <s v="P202"/>
    <x v="178"/>
    <s v="26/07/2025"/>
    <s v="Rohit Singh"/>
    <s v="Male"/>
    <s v="03/10/1984"/>
    <s v="Mumbai"/>
    <s v="North"/>
    <s v="Stationery"/>
    <s v="Iron"/>
    <n v="19"/>
    <n v="2200"/>
    <n v="10"/>
    <n v="37620"/>
    <n v="2"/>
    <s v="Cash"/>
    <s v="Karan"/>
    <s v="mohit.verma@company.com"/>
    <s v="9885092680"/>
    <s v="Pending"/>
    <x v="5"/>
  </r>
  <r>
    <s v="ORD10363"/>
    <s v="C009"/>
    <s v="P103"/>
    <x v="255"/>
    <s v="27/01/2026"/>
    <s v="Rohit Singh"/>
    <s v="Male"/>
    <s v="09/07/1984"/>
    <s v="Hyderabad"/>
    <s v="West"/>
    <s v="Stationery"/>
    <s v="Keyboard"/>
    <n v="7"/>
    <n v="1200"/>
    <n v="20"/>
    <n v="6720"/>
    <n v="3"/>
    <s v="Card"/>
    <s v="Neha"/>
    <s v="mohit.verma@company.com"/>
    <s v="9362319457"/>
    <s v="Cancelled"/>
    <x v="2"/>
  </r>
  <r>
    <s v="ORD10364"/>
    <s v="C010"/>
    <s v="P302"/>
    <x v="81"/>
    <s v="21/03/2026"/>
    <s v="Mohit Verma"/>
    <s v="Female"/>
    <s v="10/03/1989"/>
    <s v="Bengaluru"/>
    <s v="West"/>
    <s v="Home Appliances"/>
    <s v="Pen"/>
    <n v="20"/>
    <n v="20"/>
    <n v="20"/>
    <n v="320"/>
    <n v="5"/>
    <s v="Card"/>
    <s v="Neha"/>
    <s v="pooja.shah@company.com"/>
    <s v="9223945130"/>
    <s v="Pending"/>
    <x v="4"/>
  </r>
  <r>
    <s v="ORD10365"/>
    <s v="C002"/>
    <s v="P103"/>
    <x v="256"/>
    <s v="07/05/2025"/>
    <s v="Mohit Verma"/>
    <s v="Female"/>
    <s v="19/04/1985"/>
    <s v="Hyderabad"/>
    <s v="South"/>
    <s v="Electronics"/>
    <s v="Keyboard"/>
    <n v="19"/>
    <n v="1200"/>
    <n v="5"/>
    <n v="21660"/>
    <n v="3"/>
    <s v="Card"/>
    <s v="Ritika"/>
    <s v="priYa.patel@company.com"/>
    <s v="9910804926"/>
    <s v="Pending"/>
    <x v="1"/>
  </r>
  <r>
    <s v="ORD10366"/>
    <s v="C010"/>
    <s v="P302"/>
    <x v="257"/>
    <s v="13/02/2025"/>
    <s v="Pooja Shah"/>
    <s v="Female"/>
    <s v="13/08/2003"/>
    <s v="Hyderabad"/>
    <s v="South"/>
    <s v="Stationery"/>
    <s v="Pen"/>
    <n v="5"/>
    <n v="20"/>
    <n v="0"/>
    <n v="100"/>
    <n v="2"/>
    <s v="UPI"/>
    <s v="Rahul"/>
    <s v="pooja.shah@company.com"/>
    <s v="9274269744"/>
    <s v="Pending"/>
    <x v="3"/>
  </r>
  <r>
    <s v="ORD10367"/>
    <s v="C002"/>
    <s v="P303"/>
    <x v="127"/>
    <s v="16/03/2026"/>
    <s v="Priya Patel"/>
    <s v="Female"/>
    <s v="11/09/1983"/>
    <s v="Jaipur"/>
    <s v="South"/>
    <s v="Electronics"/>
    <s v="Marker"/>
    <n v="16"/>
    <n v="45"/>
    <n v="15"/>
    <n v="612"/>
    <n v="5"/>
    <s v="Cash"/>
    <s v="Aisha"/>
    <s v="priYa.patel@company.com"/>
    <s v="9223196101"/>
    <s v="Cancelled"/>
    <x v="4"/>
  </r>
  <r>
    <s v="ORD10368"/>
    <s v="C008"/>
    <s v="P202"/>
    <x v="200"/>
    <s v="15/05/2025"/>
    <s v="Pooja Shah"/>
    <s v="Female"/>
    <s v="11/06/1976"/>
    <s v="Jaipur"/>
    <s v="South"/>
    <s v="Stationery"/>
    <s v="Iron"/>
    <n v="1"/>
    <n v="2200"/>
    <n v="10"/>
    <n v="1980"/>
    <n v="5"/>
    <s v="Card"/>
    <s v="Rahul"/>
    <s v="KAvya.nair@company.com"/>
    <s v="9888477457"/>
    <s v="Completed"/>
    <x v="8"/>
  </r>
  <r>
    <s v="ORD10369"/>
    <s v="C010"/>
    <s v="P301"/>
    <x v="141"/>
    <s v="05/04/2026"/>
    <s v="Priya Patel"/>
    <s v="Female"/>
    <s v="04/01/1987"/>
    <s v="Hyderabad"/>
    <s v="North"/>
    <s v="Stationery"/>
    <s v="Notebook"/>
    <n v="19"/>
    <n v="60"/>
    <n v="15"/>
    <n v="969"/>
    <n v="4"/>
    <s v="NetBanking"/>
    <s v="Neha"/>
    <s v="pooja.shah@company.com"/>
    <s v="9435947486"/>
    <s v="Cancelled"/>
    <x v="1"/>
  </r>
  <r>
    <s v="ORD10370"/>
    <s v="C001"/>
    <s v="P101"/>
    <x v="252"/>
    <s v="02/02/2025"/>
    <s v="Kavya Nair"/>
    <s v="Male"/>
    <s v="14/05/1992"/>
    <s v="Delhi"/>
    <s v="North"/>
    <s v="Home Appliances"/>
    <s v="Laptop"/>
    <n v="15"/>
    <n v="55000"/>
    <n v="0"/>
    <n v="825000"/>
    <n v="5"/>
    <s v="Card"/>
    <s v="Neha"/>
    <s v="amit.sharma@company.com"/>
    <s v="9411668831"/>
    <s v="Cancelled"/>
    <x v="12"/>
  </r>
  <r>
    <s v="ORD10371"/>
    <s v="C009"/>
    <s v="P303"/>
    <x v="228"/>
    <s v="08/10/2025"/>
    <s v="Pooja Shah"/>
    <s v="Male"/>
    <s v="03/05/1989"/>
    <s v="Bengaluru"/>
    <s v="South"/>
    <s v="Stationery"/>
    <s v="Marker"/>
    <n v="11"/>
    <n v="45"/>
    <n v="5"/>
    <n v="470.25"/>
    <n v="5"/>
    <s v="NetBanking"/>
    <s v="Karan"/>
    <s v="mohit.verma@company.com"/>
    <s v="9523682403"/>
    <s v="Completed"/>
    <x v="9"/>
  </r>
  <r>
    <s v="ORD10372"/>
    <s v="C006"/>
    <s v="P302"/>
    <x v="258"/>
    <s v="17/06/2025"/>
    <s v="Amit Sharma"/>
    <s v="Female"/>
    <s v="19/12/1990"/>
    <s v="Jaipur"/>
    <s v="North"/>
    <s v="Electronics"/>
    <s v="Pen"/>
    <n v="9"/>
    <n v="20"/>
    <n v="10"/>
    <n v="162"/>
    <n v="1"/>
    <s v="Card"/>
    <s v="Rahul"/>
    <s v="sneha.joshi@company.com"/>
    <s v="9652936744"/>
    <s v="Cancelled"/>
    <x v="7"/>
  </r>
  <r>
    <s v="ORD10373"/>
    <s v="C004"/>
    <s v="P303"/>
    <x v="101"/>
    <s v="20/11/2025"/>
    <s v="Mohit Verma"/>
    <s v="Female"/>
    <s v="09/07/1995"/>
    <s v="Bengaluru"/>
    <s v="South"/>
    <s v="Stationery"/>
    <s v="Marker"/>
    <n v="5"/>
    <n v="45"/>
    <n v="5"/>
    <n v="213.75"/>
    <n v="3"/>
    <s v="Card"/>
    <s v="Neha"/>
    <s v="anita.gupta@company.com"/>
    <s v="9726464733"/>
    <s v="Pending"/>
    <x v="10"/>
  </r>
  <r>
    <s v="ORD10374"/>
    <s v="C007"/>
    <s v="P102"/>
    <x v="259"/>
    <s v="02/11/2025"/>
    <s v="Sneha Joshi"/>
    <s v="Male"/>
    <s v="23/12/1998"/>
    <s v="Hyderabad"/>
    <s v="North"/>
    <s v="Stationery"/>
    <s v="Mouse"/>
    <n v="5"/>
    <n v="700"/>
    <n v="10"/>
    <n v="3150"/>
    <n v="2"/>
    <s v="UPI"/>
    <s v="Rahul"/>
    <s v="arjun.rao@company.com"/>
    <s v="9273520544"/>
    <s v="Completed"/>
    <x v="10"/>
  </r>
  <r>
    <s v="ORD10375"/>
    <s v="C005"/>
    <s v="P102"/>
    <x v="260"/>
    <s v="31/01/2025"/>
    <s v="Anita Gupta"/>
    <s v="Male"/>
    <s v="23/12/1979"/>
    <s v="Kolkata"/>
    <s v="South"/>
    <s v="Stationery"/>
    <s v="Mouse"/>
    <n v="1"/>
    <n v="700"/>
    <n v="0"/>
    <n v="700"/>
    <n v="1"/>
    <s v="UPI"/>
    <s v="Karan"/>
    <s v="vikas.mehta@company.com"/>
    <s v="9374259988"/>
    <s v="Completed"/>
    <x v="2"/>
  </r>
  <r>
    <s v="ORD10376"/>
    <s v="C008"/>
    <s v="P102"/>
    <x v="218"/>
    <s v="21/02/2026"/>
    <s v="Arjun Rao"/>
    <s v="Female"/>
    <s v="15/12/1975"/>
    <s v="Mumbai"/>
    <s v="South"/>
    <s v="Electronics"/>
    <s v="Mouse"/>
    <n v="13"/>
    <n v="700"/>
    <n v="20"/>
    <n v="7280"/>
    <n v="2"/>
    <s v="Card"/>
    <s v="Ritika"/>
    <s v="KAvya.nair@company.com"/>
    <s v="9538129419"/>
    <s v="Completed"/>
    <x v="3"/>
  </r>
  <r>
    <s v="ORD10377"/>
    <s v="C009"/>
    <s v="P104"/>
    <x v="188"/>
    <s v="19/02/2025"/>
    <s v="Vikas Mehta"/>
    <s v="Male"/>
    <s v="17/05/1993"/>
    <s v="Pune"/>
    <s v="East"/>
    <s v="Electronics"/>
    <s v="Monitor"/>
    <n v="20"/>
    <n v="12000"/>
    <n v="0"/>
    <n v="240000"/>
    <n v="2"/>
    <s v="Card"/>
    <s v="Neha"/>
    <s v="mohit.verma@company.com"/>
    <s v="9382815686"/>
    <s v="Completed"/>
    <x v="3"/>
  </r>
  <r>
    <s v="ORD10378"/>
    <s v="C007"/>
    <s v="P103"/>
    <x v="193"/>
    <s v="06/01/2026"/>
    <s v="Kavya Nair"/>
    <s v="Male"/>
    <s v="17/09/1976"/>
    <s v="Kolkata"/>
    <s v="West"/>
    <s v="Electronics"/>
    <s v="Keyboard"/>
    <n v="9"/>
    <n v="1200"/>
    <n v="15"/>
    <n v="9180"/>
    <n v="1"/>
    <s v="UPI"/>
    <s v="Ritika"/>
    <s v="arjun.rao@company.com"/>
    <s v="9450746157"/>
    <s v="Pending"/>
    <x v="6"/>
  </r>
  <r>
    <s v="ORD10379"/>
    <s v="C007"/>
    <s v="P302"/>
    <x v="261"/>
    <s v="03/10/2025"/>
    <s v="Mohit Verma"/>
    <s v="Male"/>
    <s v="22/12/1996"/>
    <s v="Jaipur"/>
    <s v="West"/>
    <s v="Electronics"/>
    <s v="Pen"/>
    <n v="3"/>
    <n v="20"/>
    <n v="15"/>
    <n v="51"/>
    <n v="3"/>
    <s v="Cash"/>
    <s v="Neha"/>
    <s v="arjun.rao@company.com"/>
    <s v="9349012570"/>
    <s v="Pending"/>
    <x v="9"/>
  </r>
  <r>
    <s v="ORD10380"/>
    <s v="C006"/>
    <s v="P101"/>
    <x v="167"/>
    <s v="19/12/2025"/>
    <s v="Arjun Rao"/>
    <s v="Female"/>
    <s v="25/12/1995"/>
    <s v="Delhi"/>
    <s v="East"/>
    <s v="Electronics"/>
    <s v="Laptop"/>
    <n v="8"/>
    <n v="55000"/>
    <n v="20"/>
    <n v="352000"/>
    <n v="5"/>
    <s v="Card"/>
    <s v="Karan"/>
    <s v="sneha.joshi@company.com"/>
    <s v="9442163790"/>
    <s v="Pending"/>
    <x v="6"/>
  </r>
  <r>
    <s v="ORD10381"/>
    <s v="C006"/>
    <s v="P301"/>
    <x v="262"/>
    <s v="07/10/2025"/>
    <s v="Arjun Rao"/>
    <s v="Female"/>
    <s v="23/06/1985"/>
    <s v="Delhi"/>
    <s v="North"/>
    <s v="Stationery"/>
    <s v="Notebook"/>
    <n v="17"/>
    <n v="60"/>
    <n v="20"/>
    <n v="816"/>
    <n v="1"/>
    <s v="UPI"/>
    <s v="Ritika"/>
    <s v="sneha.joshi@company.com"/>
    <s v="9953329223"/>
    <s v="Pending"/>
    <x v="0"/>
  </r>
  <r>
    <s v="ORD10382"/>
    <s v="C003"/>
    <s v="P302"/>
    <x v="263"/>
    <s v="22/05/2025"/>
    <s v="Sneha Joshi"/>
    <s v="Male"/>
    <s v="10/02/1984"/>
    <s v="Bengaluru"/>
    <s v="North"/>
    <s v="Electronics"/>
    <s v="Pen"/>
    <n v="4"/>
    <n v="20"/>
    <n v="15"/>
    <n v="68"/>
    <n v="3"/>
    <s v="NetBanking"/>
    <s v="Aisha"/>
    <s v="rohit.singh@company.com"/>
    <s v="9202321359"/>
    <s v="Pending"/>
    <x v="8"/>
  </r>
  <r>
    <s v="ORD10383"/>
    <s v="C003"/>
    <s v="P202"/>
    <x v="221"/>
    <s v="11/04/2025"/>
    <s v="Sneha Joshi"/>
    <s v="Male"/>
    <s v="02/04/2002"/>
    <s v="Kolkata"/>
    <s v="North"/>
    <s v="Stationery"/>
    <s v="Iron"/>
    <n v="2"/>
    <n v="2200"/>
    <n v="10"/>
    <n v="3960"/>
    <n v="2"/>
    <s v="UPI"/>
    <s v="Rahul"/>
    <s v="rohit.singh@company.com"/>
    <s v="9812564160"/>
    <s v="Pending"/>
    <x v="1"/>
  </r>
  <r>
    <s v="ORD10384"/>
    <s v="C005"/>
    <s v="P301"/>
    <x v="64"/>
    <s v="18/04/2025"/>
    <s v="Rohit Singh"/>
    <s v="Male"/>
    <s v="17/07/2003"/>
    <s v="Bengaluru"/>
    <s v="South"/>
    <s v="Stationery"/>
    <s v="Notebook"/>
    <n v="5"/>
    <n v="60"/>
    <n v="5"/>
    <n v="285"/>
    <n v="1"/>
    <s v="UPI"/>
    <s v="Ritika"/>
    <s v="vikas.mehta@company.com"/>
    <s v="9688458222"/>
    <s v="Cancelled"/>
    <x v="1"/>
  </r>
  <r>
    <s v="ORD10385"/>
    <s v="C003"/>
    <s v="P202"/>
    <x v="264"/>
    <s v="23/02/2026"/>
    <s v="Rohit Singh"/>
    <s v="Male"/>
    <s v="06/10/1991"/>
    <s v="Delhi"/>
    <s v="East"/>
    <s v="Home Appliances"/>
    <s v="Iron"/>
    <n v="17"/>
    <n v="2200"/>
    <n v="0"/>
    <n v="37400"/>
    <n v="2"/>
    <s v="UPI"/>
    <s v="Karan"/>
    <s v="rohit.singh@company.com"/>
    <s v="9634473337"/>
    <s v="Cancelled"/>
    <x v="3"/>
  </r>
  <r>
    <s v="ORD10386"/>
    <s v="C004"/>
    <s v="P301"/>
    <x v="241"/>
    <s v="11/12/2025"/>
    <s v="Vikas Mehta"/>
    <s v="Female"/>
    <s v="05/01/1984"/>
    <s v="Ahmedabad"/>
    <s v="South"/>
    <s v="Stationery"/>
    <s v="Notebook"/>
    <n v="7"/>
    <n v="60"/>
    <n v="0"/>
    <n v="420"/>
    <n v="2"/>
    <s v="UPI"/>
    <s v="Aisha"/>
    <s v="anita.gupta@company.com"/>
    <s v="9608737026"/>
    <s v="Pending"/>
    <x v="6"/>
  </r>
  <r>
    <s v="ORD10387"/>
    <s v="C005"/>
    <s v="P101"/>
    <x v="110"/>
    <s v="24/10/2025"/>
    <s v="Rohit Singh"/>
    <s v="Male"/>
    <s v="12/03/1975"/>
    <s v="Hyderabad"/>
    <s v="North"/>
    <s v="Home Appliances"/>
    <s v="Laptop"/>
    <n v="6"/>
    <n v="55000"/>
    <n v="5"/>
    <n v="313500"/>
    <n v="4"/>
    <s v="Card"/>
    <s v="Aisha"/>
    <s v="vikas.mehta@company.com"/>
    <s v="9804498139"/>
    <s v="Completed"/>
    <x v="9"/>
  </r>
  <r>
    <s v="ORD10388"/>
    <s v="C009"/>
    <s v="P302"/>
    <x v="208"/>
    <s v="25/01/2026"/>
    <s v="Anita Gupta"/>
    <s v="Male"/>
    <s v="15/03/1983"/>
    <s v="Hyderabad"/>
    <s v="West"/>
    <s v="Stationery"/>
    <s v="Pen"/>
    <n v="16"/>
    <n v="20"/>
    <n v="5"/>
    <n v="304"/>
    <n v="1"/>
    <s v="Card"/>
    <s v="Rahul"/>
    <s v="mohit.verma@company.com"/>
    <s v="9798643580"/>
    <s v="Completed"/>
    <x v="2"/>
  </r>
  <r>
    <s v="ORD10389"/>
    <s v="C008"/>
    <s v="P202"/>
    <x v="265"/>
    <s v="28/01/2025"/>
    <s v="Vikas Mehta"/>
    <s v="Female"/>
    <s v="20/04/1976"/>
    <s v="Kolkata"/>
    <s v="South"/>
    <s v="Electronics"/>
    <s v="Iron"/>
    <n v="11"/>
    <n v="2200"/>
    <n v="15"/>
    <n v="20570"/>
    <n v="1"/>
    <s v="NetBanking"/>
    <s v="Neha"/>
    <s v="KAvya.nair@company.com"/>
    <s v="9809823278"/>
    <s v="Cancelled"/>
    <x v="2"/>
  </r>
  <r>
    <s v="ORD10390"/>
    <s v="C002"/>
    <s v="P302"/>
    <x v="171"/>
    <s v="02/03/2025"/>
    <s v="Mohit Verma"/>
    <s v="Female"/>
    <s v="11/02/1986"/>
    <s v="Pune"/>
    <s v="South"/>
    <s v="Stationery"/>
    <s v="Pen"/>
    <n v="19"/>
    <n v="20"/>
    <n v="5"/>
    <n v="361"/>
    <n v="4"/>
    <s v="UPI"/>
    <s v="Ritika"/>
    <s v="priYa.patel@company.com"/>
    <s v="9177767854"/>
    <s v="Pending"/>
    <x v="3"/>
  </r>
  <r>
    <s v="ORD10391"/>
    <s v="C002"/>
    <s v="P103"/>
    <x v="266"/>
    <s v="21/06/2025"/>
    <s v="Kavya Nair"/>
    <s v="Female"/>
    <s v="21/03/1978"/>
    <s v="Pune"/>
    <s v="East"/>
    <s v="Home Appliances"/>
    <s v="Keyboard"/>
    <n v="20"/>
    <n v="1200"/>
    <n v="15"/>
    <n v="20400"/>
    <n v="4"/>
    <s v="Card"/>
    <s v="Ritika"/>
    <s v="priYa.patel@company.com"/>
    <s v="9643440006"/>
    <s v="Pending"/>
    <x v="7"/>
  </r>
  <r>
    <s v="ORD10392"/>
    <s v="C010"/>
    <s v="P302"/>
    <x v="267"/>
    <s v="06/06/2025"/>
    <s v="Priya Patel"/>
    <s v="Female"/>
    <s v="12/07/1996"/>
    <s v="Hyderabad"/>
    <s v="West"/>
    <s v="Stationery"/>
    <s v="Pen"/>
    <n v="13"/>
    <n v="20"/>
    <n v="15"/>
    <n v="221"/>
    <n v="4"/>
    <s v="Cash"/>
    <s v="Ritika"/>
    <s v="pooja.shah@company.com"/>
    <s v="9673698825"/>
    <s v="Pending"/>
    <x v="8"/>
  </r>
  <r>
    <s v="ORD10393"/>
    <s v="C006"/>
    <s v="P103"/>
    <x v="20"/>
    <s v="08/01/2025"/>
    <s v="Priya Patel"/>
    <s v="Female"/>
    <s v="02/12/1992"/>
    <s v="Delhi"/>
    <s v="West"/>
    <s v="Electronics"/>
    <s v="Keyboard"/>
    <n v="12"/>
    <n v="1200"/>
    <n v="10"/>
    <n v="12960"/>
    <n v="3"/>
    <s v="NetBanking"/>
    <s v="Ritika"/>
    <s v="sneha.joshi@company.com"/>
    <s v="9706238784"/>
    <s v="Pending"/>
    <x v="2"/>
  </r>
  <r>
    <s v="ORD10394"/>
    <s v="C002"/>
    <s v="P203"/>
    <x v="268"/>
    <s v="29/01/2025"/>
    <s v="Pooja Shah"/>
    <s v="Female"/>
    <s v="23/03/1996"/>
    <s v="Kolkata"/>
    <s v="South"/>
    <s v="Stationery"/>
    <s v="Microwave"/>
    <n v="6"/>
    <n v="8500"/>
    <n v="5"/>
    <n v="48450"/>
    <n v="5"/>
    <s v="Cash"/>
    <s v="Neha"/>
    <s v="priYa.patel@company.com"/>
    <s v="9132959877"/>
    <s v="Cancelled"/>
    <x v="2"/>
  </r>
  <r>
    <s v="ORD10395"/>
    <s v="C008"/>
    <s v="P203"/>
    <x v="207"/>
    <s v="26/02/2026"/>
    <s v="Sneha Joshi"/>
    <s v="Female"/>
    <s v="23/06/1994"/>
    <s v="Ahmedabad"/>
    <s v="North"/>
    <s v="Electronics"/>
    <s v="Microwave"/>
    <n v="15"/>
    <n v="8500"/>
    <n v="10"/>
    <n v="114750"/>
    <n v="1"/>
    <s v="Cash"/>
    <s v="Neha"/>
    <s v="KAvya.nair@company.com"/>
    <s v="9295011645"/>
    <s v="Completed"/>
    <x v="3"/>
  </r>
  <r>
    <s v="ORD10396"/>
    <s v="C003"/>
    <s v="P104"/>
    <x v="269"/>
    <s v="15/08/2025"/>
    <s v="Priya Patel"/>
    <s v="Male"/>
    <s v="02/02/1980"/>
    <s v="Hyderabad"/>
    <s v="East"/>
    <s v="Home Appliances"/>
    <s v="Monitor"/>
    <n v="19"/>
    <n v="12000"/>
    <n v="20"/>
    <n v="182400"/>
    <n v="5"/>
    <s v="Cash"/>
    <s v="Neha"/>
    <s v="rohit.singh@company.com"/>
    <s v="9677606427"/>
    <s v="Completed"/>
    <x v="11"/>
  </r>
  <r>
    <s v="ORD10397"/>
    <s v="C007"/>
    <s v="P102"/>
    <x v="270"/>
    <s v="18/01/2025"/>
    <s v="Kavya Nair"/>
    <s v="Male"/>
    <s v="24/08/1990"/>
    <s v="Delhi"/>
    <s v="West"/>
    <s v="Home Appliances"/>
    <s v="Mouse"/>
    <n v="5"/>
    <n v="700"/>
    <n v="0"/>
    <n v="3500"/>
    <n v="2"/>
    <s v="Card"/>
    <s v="Aisha"/>
    <s v="arjun.rao@company.com"/>
    <s v="9161631566"/>
    <s v="Cancelled"/>
    <x v="2"/>
  </r>
  <r>
    <s v="ORD10398"/>
    <s v="C007"/>
    <s v="P104"/>
    <x v="271"/>
    <s v="04/02/2025"/>
    <s v="Rohit Singh"/>
    <s v="Male"/>
    <s v="10/12/1978"/>
    <s v="Kolkata"/>
    <s v="South"/>
    <s v="Electronics"/>
    <s v="Monitor"/>
    <n v="19"/>
    <n v="12000"/>
    <n v="0"/>
    <n v="228000"/>
    <n v="4"/>
    <s v="UPI"/>
    <s v="Aisha"/>
    <s v="arjun.rao@company.com"/>
    <s v="9136906750"/>
    <s v="Pending"/>
    <x v="2"/>
  </r>
  <r>
    <s v="ORD10399"/>
    <s v="C001"/>
    <s v="P102"/>
    <x v="252"/>
    <s v="03/11/2025"/>
    <s v="Arjun Rao"/>
    <s v="Male"/>
    <s v="01/09/1979"/>
    <s v="Bengaluru"/>
    <s v="North"/>
    <s v="Electronics"/>
    <s v="Mouse"/>
    <n v="12"/>
    <n v="700"/>
    <n v="15"/>
    <n v="7140"/>
    <n v="3"/>
    <s v="Card"/>
    <s v="Ritika"/>
    <s v="amit.sharma@company.com"/>
    <s v="9485286324"/>
    <s v="Completed"/>
    <x v="12"/>
  </r>
  <r>
    <s v="ORD10400"/>
    <s v="C008"/>
    <s v="P103"/>
    <x v="272"/>
    <s v="21/05/2025"/>
    <s v="Arjun Rao"/>
    <s v="Female"/>
    <s v="08/04/2001"/>
    <s v="Delhi"/>
    <s v="East"/>
    <s v="Electronics"/>
    <s v="Keyboard"/>
    <n v="16"/>
    <n v="1200"/>
    <n v="20"/>
    <n v="15360"/>
    <n v="1"/>
    <s v="Cash"/>
    <s v="Rahul"/>
    <s v="KAvya.nair@company.com"/>
    <s v="9414633966"/>
    <s v="Pending"/>
    <x v="8"/>
  </r>
  <r>
    <s v="ORD10401"/>
    <s v="C009"/>
    <s v="P203"/>
    <x v="273"/>
    <s v="04/01/2026"/>
    <s v="Amit Sharma"/>
    <s v="Male"/>
    <s v="01/01/1983"/>
    <s v="Hyderabad"/>
    <s v="South"/>
    <s v="Electronics"/>
    <s v="Microwave"/>
    <n v="10"/>
    <n v="8500"/>
    <n v="5"/>
    <n v="80750"/>
    <n v="5"/>
    <s v="NetBanking"/>
    <s v="Ritika"/>
    <s v="mohit.verma@company.com"/>
    <s v="9833735234"/>
    <s v="Completed"/>
    <x v="6"/>
  </r>
  <r>
    <s v="ORD10402"/>
    <s v="C008"/>
    <s v="P302"/>
    <x v="219"/>
    <s v="21/02/2025"/>
    <s v="Kavya Nair"/>
    <s v="Female"/>
    <s v="09/08/1989"/>
    <s v="Ahmedabad"/>
    <s v="North"/>
    <s v="Electronics"/>
    <s v="Pen"/>
    <n v="18"/>
    <n v="20"/>
    <n v="20"/>
    <n v="288"/>
    <n v="1"/>
    <s v="UPI"/>
    <s v="Ritika"/>
    <s v="KAvya.nair@company.com"/>
    <s v="9523689108"/>
    <s v="Pending"/>
    <x v="3"/>
  </r>
  <r>
    <s v="ORD10403"/>
    <s v="C009"/>
    <s v="P203"/>
    <x v="26"/>
    <s v="19/03/2026"/>
    <s v="Mohit Verma"/>
    <s v="Male"/>
    <s v="22/10/1993"/>
    <s v="Mumbai"/>
    <s v="South"/>
    <s v="Home Appliances"/>
    <s v="Microwave"/>
    <n v="9"/>
    <n v="8500"/>
    <n v="0"/>
    <n v="76500"/>
    <n v="2"/>
    <s v="Card"/>
    <s v="Ritika"/>
    <s v="mohit.verma@company.com"/>
    <s v="9812909831"/>
    <s v="Pending"/>
    <x v="4"/>
  </r>
  <r>
    <s v="ORD10404"/>
    <s v="C008"/>
    <s v="P203"/>
    <x v="261"/>
    <s v="12/10/2025"/>
    <s v="Kavya Nair"/>
    <s v="Female"/>
    <s v="05/05/2000"/>
    <s v="Mumbai"/>
    <s v="West"/>
    <s v="Stationery"/>
    <s v="Microwave"/>
    <n v="8"/>
    <n v="8500"/>
    <n v="10"/>
    <n v="61200"/>
    <n v="4"/>
    <s v="Cash"/>
    <s v="Neha"/>
    <s v="KAvya.nair@company.com"/>
    <s v="9106290987"/>
    <s v="Cancelled"/>
    <x v="9"/>
  </r>
  <r>
    <s v="ORD10405"/>
    <s v="C010"/>
    <s v="P302"/>
    <x v="69"/>
    <s v="01/02/2026"/>
    <s v="Mohit Verma"/>
    <s v="Female"/>
    <s v="18/02/1984"/>
    <s v="Pune"/>
    <s v="West"/>
    <s v="Home Appliances"/>
    <s v="Pen"/>
    <n v="3"/>
    <n v="20"/>
    <n v="10"/>
    <n v="54"/>
    <n v="3"/>
    <s v="Card"/>
    <s v="Karan"/>
    <s v="pooja.shah@company.com"/>
    <s v="9767727724"/>
    <s v="Pending"/>
    <x v="2"/>
  </r>
  <r>
    <s v="ORD10406"/>
    <s v="C004"/>
    <s v="P203"/>
    <x v="274"/>
    <s v="12/07/2025"/>
    <s v="Kavya Nair"/>
    <s v="Female"/>
    <s v="13/06/1991"/>
    <s v="Kolkata"/>
    <s v="West"/>
    <s v="Home Appliances"/>
    <s v="Microwave"/>
    <n v="18"/>
    <n v="8500"/>
    <n v="10"/>
    <n v="137700"/>
    <n v="4"/>
    <s v="Cash"/>
    <s v="Rahul"/>
    <s v="anita.gupta@company.com"/>
    <s v="9865401727"/>
    <s v="Cancelled"/>
    <x v="5"/>
  </r>
  <r>
    <s v="ORD10407"/>
    <s v="C010"/>
    <s v="P303"/>
    <x v="37"/>
    <s v="09/10/2025"/>
    <s v="Pooja Shah"/>
    <s v="Female"/>
    <s v="19/05/1996"/>
    <s v="Pune"/>
    <s v="West"/>
    <s v="Stationery"/>
    <s v="Marker"/>
    <n v="5"/>
    <n v="45"/>
    <n v="10"/>
    <n v="202.5"/>
    <n v="3"/>
    <s v="Cash"/>
    <s v="Neha"/>
    <s v="pooja.shah@company.com"/>
    <s v="9603848571"/>
    <s v="Pending"/>
    <x v="9"/>
  </r>
  <r>
    <s v="ORD10408"/>
    <s v="C009"/>
    <s v="P303"/>
    <x v="108"/>
    <s v="02/06/2025"/>
    <s v="Anita Gupta"/>
    <s v="Male"/>
    <s v="23/05/1992"/>
    <s v="Mumbai"/>
    <s v="East"/>
    <s v="Home Appliances"/>
    <s v="Marker"/>
    <n v="2"/>
    <n v="45"/>
    <n v="20"/>
    <n v="72"/>
    <n v="5"/>
    <s v="UPI"/>
    <s v="Aisha"/>
    <s v="mohit.verma@company.com"/>
    <s v="9101231789"/>
    <s v="Cancelled"/>
    <x v="8"/>
  </r>
  <r>
    <s v="ORD10409"/>
    <s v="C002"/>
    <s v="P303"/>
    <x v="275"/>
    <s v="06/02/2025"/>
    <s v="Pooja Shah"/>
    <s v="Female"/>
    <s v="15/06/1988"/>
    <s v="Hyderabad"/>
    <s v="West"/>
    <s v="Stationery"/>
    <s v="Marker"/>
    <n v="18"/>
    <n v="45"/>
    <n v="10"/>
    <n v="729"/>
    <n v="2"/>
    <s v="NetBanking"/>
    <s v="Neha"/>
    <s v="priYa.patel@company.com"/>
    <s v="9485017802"/>
    <s v="Pending"/>
    <x v="2"/>
  </r>
  <r>
    <s v="ORD10410"/>
    <s v="C003"/>
    <s v="P103"/>
    <x v="65"/>
    <s v="01/01/2026"/>
    <s v="Mohit Verma"/>
    <s v="Male"/>
    <s v="22/07/1993"/>
    <s v="Kolkata"/>
    <s v="West"/>
    <s v="Stationery"/>
    <s v="Keyboard"/>
    <n v="13"/>
    <n v="1200"/>
    <n v="5"/>
    <n v="14820"/>
    <n v="4"/>
    <s v="Card"/>
    <s v="Neha"/>
    <s v="rohit.singh@company.com"/>
    <s v="9815464650"/>
    <s v="Completed"/>
    <x v="6"/>
  </r>
  <r>
    <s v="ORD10411"/>
    <s v="C008"/>
    <s v="P302"/>
    <x v="276"/>
    <s v="17/05/2026"/>
    <s v="Priya Patel"/>
    <s v="Female"/>
    <s v="03/02/2004"/>
    <s v="Hyderabad"/>
    <s v="South"/>
    <s v="Stationery"/>
    <s v="Pen"/>
    <n v="14"/>
    <n v="20"/>
    <n v="20"/>
    <n v="224"/>
    <n v="5"/>
    <s v="UPI"/>
    <s v="Rahul"/>
    <s v="KAvya.nair@company.com"/>
    <s v="9860715839"/>
    <s v="Pending"/>
    <x v="8"/>
  </r>
  <r>
    <s v="ORD10412"/>
    <s v="C002"/>
    <s v="P201"/>
    <x v="277"/>
    <s v="23/02/2026"/>
    <s v="Rohit Singh"/>
    <s v="Female"/>
    <s v="23/12/1978"/>
    <s v="Hyderabad"/>
    <s v="East"/>
    <s v="Electronics"/>
    <s v="Mixer"/>
    <n v="16"/>
    <n v="3500"/>
    <n v="15"/>
    <n v="47600"/>
    <n v="3"/>
    <s v="UPI"/>
    <s v="Aisha"/>
    <s v="priYa.patel@company.com"/>
    <s v="9207561051"/>
    <s v="Cancelled"/>
    <x v="3"/>
  </r>
  <r>
    <s v="ORD10413"/>
    <s v="C006"/>
    <s v="P302"/>
    <x v="157"/>
    <s v="24/02/2025"/>
    <s v="Kavya Nair"/>
    <s v="Female"/>
    <s v="15/10/1993"/>
    <s v="Bengaluru"/>
    <s v="South"/>
    <s v="Stationery"/>
    <s v="Pen"/>
    <n v="20"/>
    <n v="20"/>
    <n v="15"/>
    <n v="340"/>
    <n v="1"/>
    <s v="NetBanking"/>
    <s v="Aisha"/>
    <s v="sneha.joshi@company.com"/>
    <s v="9159894508"/>
    <s v="Cancelled"/>
    <x v="3"/>
  </r>
  <r>
    <s v="ORD10414"/>
    <s v="C004"/>
    <s v="P101"/>
    <x v="102"/>
    <s v="14/04/2025"/>
    <s v="Priya Patel"/>
    <s v="Female"/>
    <s v="12/12/1979"/>
    <s v="Ahmedabad"/>
    <s v="South"/>
    <s v="Home Appliances"/>
    <s v="Laptop"/>
    <n v="1"/>
    <n v="55000"/>
    <n v="15"/>
    <n v="46750"/>
    <n v="2"/>
    <s v="UPI"/>
    <s v="Neha"/>
    <s v="anita.gupta@company.com"/>
    <s v="9531465024"/>
    <s v="Cancelled"/>
    <x v="1"/>
  </r>
  <r>
    <s v="ORD10415"/>
    <s v="C002"/>
    <s v="P301"/>
    <x v="270"/>
    <s v="20/01/2025"/>
    <s v="Sneha Joshi"/>
    <s v="Female"/>
    <s v="24/05/2002"/>
    <s v="Ahmedabad"/>
    <s v="South"/>
    <s v="Stationery"/>
    <s v="Notebook"/>
    <n v="15"/>
    <n v="60"/>
    <n v="5"/>
    <n v="855"/>
    <n v="4"/>
    <s v="NetBanking"/>
    <s v="Aisha"/>
    <s v="priYa.patel@company.com"/>
    <s v="9158813608"/>
    <s v="Completed"/>
    <x v="2"/>
  </r>
  <r>
    <s v="ORD10416"/>
    <s v="C007"/>
    <s v="P102"/>
    <x v="278"/>
    <s v="02/04/2026"/>
    <s v="Anita Gupta"/>
    <s v="Male"/>
    <s v="09/03/1976"/>
    <s v="Mumbai"/>
    <s v="West"/>
    <s v="Electronics"/>
    <s v="Mouse"/>
    <n v="15"/>
    <n v="700"/>
    <n v="0"/>
    <n v="10500"/>
    <n v="5"/>
    <s v="NetBanking"/>
    <s v="Neha"/>
    <s v="arjun.rao@company.com"/>
    <s v="9308461700"/>
    <s v="Completed"/>
    <x v="4"/>
  </r>
  <r>
    <s v="ORD10417"/>
    <s v="C005"/>
    <s v="P104"/>
    <x v="242"/>
    <s v="09/01/2026"/>
    <s v="Priya Patel"/>
    <s v="Male"/>
    <s v="20/09/1980"/>
    <s v="Kolkata"/>
    <s v="West"/>
    <s v="Stationery"/>
    <s v="Monitor"/>
    <n v="13"/>
    <n v="12000"/>
    <n v="10"/>
    <n v="140400"/>
    <n v="1"/>
    <s v="Cash"/>
    <s v="Karan"/>
    <s v="vikas.mehta@company.com"/>
    <s v="9882279049"/>
    <s v="Cancelled"/>
    <x v="2"/>
  </r>
  <r>
    <s v="ORD10418"/>
    <s v="C007"/>
    <s v="P104"/>
    <x v="279"/>
    <s v="29/04/2026"/>
    <s v="Arjun Rao"/>
    <s v="Male"/>
    <s v="24/06/1988"/>
    <s v="Hyderabad"/>
    <s v="West"/>
    <s v="Electronics"/>
    <s v="Monitor"/>
    <n v="12"/>
    <n v="12000"/>
    <n v="20"/>
    <n v="115200"/>
    <n v="2"/>
    <s v="Cash"/>
    <s v="Ritika"/>
    <s v="arjun.rao@company.com"/>
    <s v="9961801338"/>
    <s v="Completed"/>
    <x v="1"/>
  </r>
  <r>
    <s v="ORD10419"/>
    <s v="C007"/>
    <s v="P303"/>
    <x v="8"/>
    <s v="29/03/2025"/>
    <s v="Vikas Mehta"/>
    <s v="Male"/>
    <s v="11/06/2003"/>
    <s v="Mumbai"/>
    <s v="East"/>
    <s v="Electronics"/>
    <s v="Marker"/>
    <n v="10"/>
    <n v="45"/>
    <n v="0"/>
    <n v="450"/>
    <n v="5"/>
    <s v="Card"/>
    <s v="Neha"/>
    <s v="arjun.rao@company.com"/>
    <s v="9853525026"/>
    <s v="Cancelled"/>
    <x v="4"/>
  </r>
  <r>
    <s v="ORD10420"/>
    <s v="C003"/>
    <s v="P103"/>
    <x v="1"/>
    <s v="09/05/2025"/>
    <s v="Arjun Rao"/>
    <s v="Male"/>
    <s v="10/12/1981"/>
    <s v="Mumbai"/>
    <s v="South"/>
    <s v="Electronics"/>
    <s v="Keyboard"/>
    <n v="20"/>
    <n v="1200"/>
    <n v="20"/>
    <n v="19200"/>
    <n v="5"/>
    <s v="NetBanking"/>
    <s v="Aisha"/>
    <s v="rohit.singh@company.com"/>
    <s v="9209649485"/>
    <s v="Cancelled"/>
    <x v="1"/>
  </r>
  <r>
    <s v="ORD10421"/>
    <s v="C009"/>
    <s v="P103"/>
    <x v="9"/>
    <s v="26/09/2025"/>
    <s v="Arjun Rao"/>
    <s v="Male"/>
    <s v="24/02/1975"/>
    <s v="Pune"/>
    <s v="West"/>
    <s v="Stationery"/>
    <s v="Keyboard"/>
    <n v="8"/>
    <n v="1200"/>
    <n v="10"/>
    <n v="8640"/>
    <n v="4"/>
    <s v="NetBanking"/>
    <s v="Aisha"/>
    <s v="mohit.verma@company.com"/>
    <s v="9712905525"/>
    <s v="Completed"/>
    <x v="0"/>
  </r>
  <r>
    <s v="ORD10422"/>
    <s v="C003"/>
    <s v="P103"/>
    <x v="174"/>
    <s v="20/05/2025"/>
    <s v="Rohit Singh"/>
    <s v="Male"/>
    <s v="27/09/1977"/>
    <s v="Jaipur"/>
    <s v="West"/>
    <s v="Electronics"/>
    <s v="Keyboard"/>
    <n v="8"/>
    <n v="1200"/>
    <n v="10"/>
    <n v="8640"/>
    <n v="5"/>
    <s v="Card"/>
    <s v="Rahul"/>
    <s v="rohit.singh@company.com"/>
    <s v="9812472447"/>
    <s v="Cancelled"/>
    <x v="8"/>
  </r>
  <r>
    <s v="ORD10423"/>
    <s v="C001"/>
    <s v="P202"/>
    <x v="280"/>
    <s v="30/12/2025"/>
    <s v="Mohit Verma"/>
    <s v="Male"/>
    <s v="25/12/1987"/>
    <s v="Jaipur"/>
    <s v="West"/>
    <s v="Electronics"/>
    <s v="Iron"/>
    <n v="9"/>
    <n v="2200"/>
    <n v="20"/>
    <n v="15840"/>
    <n v="1"/>
    <s v="NetBanking"/>
    <s v="Neha"/>
    <s v="amit.sharma@company.com"/>
    <s v="9281127052"/>
    <s v="Completed"/>
    <x v="6"/>
  </r>
  <r>
    <s v="ORD10424"/>
    <s v="C003"/>
    <s v="P302"/>
    <x v="281"/>
    <s v="16/01/2025"/>
    <s v="Rohit Singh"/>
    <s v="Male"/>
    <s v="23/03/2001"/>
    <s v="Kolkata"/>
    <s v="North"/>
    <s v="Electronics"/>
    <s v="Pen"/>
    <n v="8"/>
    <n v="20"/>
    <n v="20"/>
    <n v="128"/>
    <n v="4"/>
    <s v="Cash"/>
    <s v="Ritika"/>
    <s v="rohit.singh@company.com"/>
    <s v="9346312555"/>
    <s v="Cancelled"/>
    <x v="2"/>
  </r>
  <r>
    <s v="ORD10425"/>
    <s v="C005"/>
    <s v="P101"/>
    <x v="282"/>
    <s v="22/01/2026"/>
    <s v="Amit Sharma"/>
    <s v="Male"/>
    <s v="22/09/1982"/>
    <s v="Pune"/>
    <s v="North"/>
    <s v="Home Appliances"/>
    <s v="Laptop"/>
    <n v="5"/>
    <n v="55000"/>
    <n v="0"/>
    <n v="275000"/>
    <n v="1"/>
    <s v="Card"/>
    <s v="Neha"/>
    <s v="vikas.mehta@company.com"/>
    <s v="9443786067"/>
    <s v="Completed"/>
    <x v="2"/>
  </r>
  <r>
    <s v="ORD10426"/>
    <s v="C002"/>
    <s v="P103"/>
    <x v="283"/>
    <s v="18/03/2026"/>
    <s v="Rohit Singh"/>
    <s v="Female"/>
    <s v="15/09/1986"/>
    <s v="Mumbai"/>
    <s v="East"/>
    <s v="Stationery"/>
    <s v="Keyboard"/>
    <n v="13"/>
    <n v="1200"/>
    <n v="5"/>
    <n v="14820"/>
    <n v="2"/>
    <s v="Card"/>
    <s v="Ritika"/>
    <s v="priYa.patel@company.com"/>
    <s v="9452540528"/>
    <s v="Cancelled"/>
    <x v="4"/>
  </r>
  <r>
    <s v="ORD10427"/>
    <s v="C007"/>
    <s v="P203"/>
    <x v="236"/>
    <s v="30/11/2025"/>
    <s v="Vikas Mehta"/>
    <s v="Male"/>
    <s v="12/12/2002"/>
    <s v="Jaipur"/>
    <s v="West"/>
    <s v="Electronics"/>
    <s v="Microwave"/>
    <n v="13"/>
    <n v="8500"/>
    <n v="20"/>
    <n v="88400"/>
    <n v="5"/>
    <s v="Cash"/>
    <s v="Rahul"/>
    <s v="arjun.rao@company.com"/>
    <s v="9750918728"/>
    <s v="Pending"/>
    <x v="10"/>
  </r>
  <r>
    <s v="ORD10428"/>
    <s v="C009"/>
    <s v="P301"/>
    <x v="121"/>
    <s v="15/02/2025"/>
    <s v="Priya Patel"/>
    <s v="Male"/>
    <s v="15/09/1998"/>
    <s v="Pune"/>
    <s v="West"/>
    <s v="Electronics"/>
    <s v="Notebook"/>
    <n v="14"/>
    <n v="60"/>
    <n v="10"/>
    <n v="756"/>
    <n v="1"/>
    <s v="Cash"/>
    <s v="Aisha"/>
    <s v="mohit.verma@company.com"/>
    <s v="9375975834"/>
    <s v="Cancelled"/>
    <x v="3"/>
  </r>
  <r>
    <s v="ORD10429"/>
    <s v="C006"/>
    <s v="P202"/>
    <x v="158"/>
    <s v="29/04/2025"/>
    <s v="Arjun Rao"/>
    <s v="Female"/>
    <s v="17/10/1985"/>
    <s v="Bengaluru"/>
    <s v="North"/>
    <s v="Home Appliances"/>
    <s v="Iron"/>
    <n v="15"/>
    <n v="2200"/>
    <n v="0"/>
    <n v="33000"/>
    <n v="1"/>
    <s v="Cash"/>
    <s v="Aisha"/>
    <s v="sneha.joshi@company.com"/>
    <s v="9497321112"/>
    <s v="Completed"/>
    <x v="1"/>
  </r>
  <r>
    <s v="ORD10430"/>
    <s v="C007"/>
    <s v="P301"/>
    <x v="284"/>
    <s v="29/08/2025"/>
    <s v="Mohit Verma"/>
    <s v="Male"/>
    <s v="15/08/1995"/>
    <s v="Jaipur"/>
    <s v="West"/>
    <s v="Stationery"/>
    <s v="Notebook"/>
    <n v="19"/>
    <n v="60"/>
    <n v="20"/>
    <n v="912"/>
    <n v="3"/>
    <s v="Cash"/>
    <s v="Karan"/>
    <s v="arjun.rao@company.com"/>
    <s v="9828749888"/>
    <s v="Pending"/>
    <x v="11"/>
  </r>
  <r>
    <s v="ORD10431"/>
    <s v="C010"/>
    <s v="P303"/>
    <x v="285"/>
    <s v="23/10/2025"/>
    <s v="Sneha Joshi"/>
    <s v="Female"/>
    <s v="27/08/1985"/>
    <s v="Jaipur"/>
    <s v="South"/>
    <s v="Home Appliances"/>
    <s v="Marker"/>
    <n v="13"/>
    <n v="45"/>
    <n v="15"/>
    <n v="497.25"/>
    <n v="2"/>
    <s v="Cash"/>
    <s v="Rahul"/>
    <s v="pooja.shah@company.com"/>
    <s v="9814267382"/>
    <s v="Completed"/>
    <x v="9"/>
  </r>
  <r>
    <s v="ORD10432"/>
    <s v="C006"/>
    <s v="P104"/>
    <x v="286"/>
    <s v="24/01/2026"/>
    <s v="Arjun Rao"/>
    <s v="Female"/>
    <s v="05/06/1975"/>
    <s v="Mumbai"/>
    <s v="North"/>
    <s v="Stationery"/>
    <s v="Monitor"/>
    <n v="7"/>
    <n v="12000"/>
    <n v="5"/>
    <n v="79800"/>
    <n v="4"/>
    <s v="Card"/>
    <s v="Karan"/>
    <s v="sneha.joshi@company.com"/>
    <s v="9937007439"/>
    <s v="Cancelled"/>
    <x v="2"/>
  </r>
  <r>
    <s v="ORD10433"/>
    <s v="C001"/>
    <s v="P302"/>
    <x v="254"/>
    <s v="Pending"/>
    <s v="Pooja Shah"/>
    <s v="Male"/>
    <s v="25/03/1997"/>
    <s v="Kolkata"/>
    <s v="North"/>
    <s v="Stationery"/>
    <s v="Pen"/>
    <n v="8"/>
    <n v="20"/>
    <n v="0"/>
    <n v="160"/>
    <n v="4"/>
    <s v="Card"/>
    <s v="Aisha"/>
    <s v="amit.sharma@company.com"/>
    <s v="9657513435"/>
    <s v="Pending"/>
    <x v="8"/>
  </r>
  <r>
    <s v="ORD10434"/>
    <s v="C008"/>
    <s v="P201"/>
    <x v="287"/>
    <s v="06/02/2025"/>
    <s v="Sneha Joshi"/>
    <s v="Female"/>
    <s v="18/04/1997"/>
    <s v="Kolkata"/>
    <s v="West"/>
    <s v="Electronics"/>
    <s v="Mixer"/>
    <n v="16"/>
    <n v="3500"/>
    <n v="5"/>
    <n v="53200"/>
    <n v="1"/>
    <s v="Card"/>
    <s v="Aisha"/>
    <s v="KAvya.nair@company.com"/>
    <s v="9999406260"/>
    <s v="Cancelled"/>
    <x v="3"/>
  </r>
  <r>
    <s v="ORD10435"/>
    <s v="C001"/>
    <s v="P203"/>
    <x v="288"/>
    <s v="04/03/2025"/>
    <s v="Amit Sharma"/>
    <s v="Male"/>
    <s v="28/05/1999"/>
    <s v="Mumbai"/>
    <s v="East"/>
    <s v="Stationery"/>
    <s v="Microwave"/>
    <n v="12"/>
    <n v="8500"/>
    <n v="10"/>
    <n v="91800"/>
    <n v="3"/>
    <s v="Card"/>
    <s v="Ritika"/>
    <s v="amit.sharma@company.com"/>
    <s v="9233727886"/>
    <s v="Completed"/>
    <x v="3"/>
  </r>
  <r>
    <s v="ORD10436"/>
    <s v="C008"/>
    <s v="P301"/>
    <x v="289"/>
    <s v="20/04/2025"/>
    <s v="Kavya Nair"/>
    <s v="Female"/>
    <s v="25/06/1983"/>
    <s v="Ahmedabad"/>
    <s v="East"/>
    <s v="Home Appliances"/>
    <s v="Notebook"/>
    <n v="1"/>
    <n v="60"/>
    <n v="20"/>
    <n v="48"/>
    <n v="2"/>
    <s v="Card"/>
    <s v="Karan"/>
    <s v="KAvya.nair@company.com"/>
    <s v="9831688801"/>
    <s v="Completed"/>
    <x v="1"/>
  </r>
  <r>
    <s v="ORD10437"/>
    <s v="C003"/>
    <s v="P301"/>
    <x v="74"/>
    <s v="11/11/2025"/>
    <s v="Amit Sharma"/>
    <s v="Male"/>
    <s v="26/01/1993"/>
    <s v="Hyderabad"/>
    <s v="West"/>
    <s v="Home Appliances"/>
    <s v="Notebook"/>
    <n v="3"/>
    <n v="60"/>
    <n v="15"/>
    <n v="153"/>
    <n v="4"/>
    <s v="Card"/>
    <s v="Ritika"/>
    <s v="rohit.singh@company.com"/>
    <s v="9982849508"/>
    <s v="Completed"/>
    <x v="10"/>
  </r>
  <r>
    <s v="ORD10438"/>
    <s v="C002"/>
    <s v="P102"/>
    <x v="290"/>
    <s v="25/03/2025"/>
    <s v="Kavya Nair"/>
    <s v="Female"/>
    <s v="03/03/1979"/>
    <s v="Kolkata"/>
    <s v="West"/>
    <s v="Stationery"/>
    <s v="Mouse"/>
    <n v="10"/>
    <n v="700"/>
    <n v="15"/>
    <n v="5950"/>
    <n v="3"/>
    <s v="NetBanking"/>
    <s v="Ritika"/>
    <s v="priYa.patel@company.com"/>
    <s v="9288309246"/>
    <s v="Pending"/>
    <x v="4"/>
  </r>
  <r>
    <s v="ORD10439"/>
    <s v="C007"/>
    <s v="P302"/>
    <x v="291"/>
    <s v="25/10/2025"/>
    <s v="Rohit Singh"/>
    <s v="Male"/>
    <s v="13/09/1976"/>
    <s v="Ahmedabad"/>
    <s v="South"/>
    <s v="Stationery"/>
    <s v="Pen"/>
    <n v="2"/>
    <n v="20"/>
    <n v="10"/>
    <n v="36"/>
    <n v="2"/>
    <s v="UPI"/>
    <s v="Aisha"/>
    <s v="arjun.rao@company.com"/>
    <s v="9808476235"/>
    <s v="Completed"/>
    <x v="9"/>
  </r>
  <r>
    <s v="ORD10440"/>
    <s v="C007"/>
    <s v="P302"/>
    <x v="292"/>
    <s v="05/01/2026"/>
    <s v="Priya Patel"/>
    <s v="Male"/>
    <s v="27/07/1991"/>
    <s v="Delhi"/>
    <s v="East"/>
    <s v="Electronics"/>
    <s v="Pen"/>
    <n v="14"/>
    <n v="20"/>
    <n v="20"/>
    <n v="224"/>
    <n v="5"/>
    <s v="Cash"/>
    <s v="Karan"/>
    <s v="arjun.rao@company.com"/>
    <s v="9869056117"/>
    <s v="Pending"/>
    <x v="6"/>
  </r>
  <r>
    <s v="ORD10441"/>
    <s v="C001"/>
    <s v="P201"/>
    <x v="293"/>
    <s v="25/06/2025"/>
    <s v="Arjun Rao"/>
    <s v="Male"/>
    <s v="25/10/1987"/>
    <s v="Ahmedabad"/>
    <s v="West"/>
    <s v="Stationery"/>
    <s v="Mixer"/>
    <n v="4"/>
    <n v="3500"/>
    <n v="0"/>
    <n v="14000"/>
    <n v="2"/>
    <s v="UPI"/>
    <s v="Ritika"/>
    <s v="amit.sharma@company.com"/>
    <s v="9734229772"/>
    <s v="Cancelled"/>
    <x v="7"/>
  </r>
  <r>
    <s v="ORD10442"/>
    <s v="C007"/>
    <s v="P201"/>
    <x v="39"/>
    <s v="05/06/2025"/>
    <s v="Arjun Rao"/>
    <s v="Male"/>
    <s v="09/11/1983"/>
    <s v="Jaipur"/>
    <s v="North"/>
    <s v="Stationery"/>
    <s v="Mixer"/>
    <n v="9"/>
    <n v="3500"/>
    <n v="5"/>
    <n v="29925"/>
    <n v="3"/>
    <s v="Card"/>
    <s v="Aisha"/>
    <s v="arjun.rao@company.com"/>
    <s v="9791617906"/>
    <s v="Completed"/>
    <x v="7"/>
  </r>
  <r>
    <s v="ORD10443"/>
    <s v="C003"/>
    <s v="P301"/>
    <x v="108"/>
    <s v="03/06/2025"/>
    <s v="Amit Sharma"/>
    <s v="Male"/>
    <s v="28/12/1983"/>
    <s v="Mumbai"/>
    <s v="West"/>
    <s v="Home Appliances"/>
    <s v="Notebook"/>
    <n v="9"/>
    <n v="60"/>
    <n v="0"/>
    <n v="540"/>
    <n v="3"/>
    <s v="UPI"/>
    <s v="Ritika"/>
    <s v="rohit.singh@company.com"/>
    <s v="9286316823"/>
    <s v="Pending"/>
    <x v="8"/>
  </r>
  <r>
    <s v="ORD10444"/>
    <s v="C004"/>
    <s v="P103"/>
    <x v="294"/>
    <s v="03/05/2025"/>
    <s v="Arjun Rao"/>
    <s v="Female"/>
    <s v="15/09/1992"/>
    <s v="Ahmedabad"/>
    <s v="North"/>
    <s v="Home Appliances"/>
    <s v="Keyboard"/>
    <n v="4"/>
    <n v="1200"/>
    <n v="0"/>
    <n v="4800"/>
    <n v="1"/>
    <s v="NetBanking"/>
    <s v="Aisha"/>
    <s v="anita.gupta@company.com"/>
    <s v="9810569252"/>
    <s v="Completed"/>
    <x v="8"/>
  </r>
  <r>
    <s v="ORD10445"/>
    <s v="C010"/>
    <s v="P101"/>
    <x v="257"/>
    <s v="13/02/2025"/>
    <s v="Rohit Singh"/>
    <s v="Female"/>
    <s v="09/08/1999"/>
    <s v="Hyderabad"/>
    <s v="West"/>
    <s v="Stationery"/>
    <s v="Laptop"/>
    <n v="10"/>
    <n v="55000"/>
    <n v="5"/>
    <n v="522500"/>
    <n v="5"/>
    <s v="UPI"/>
    <s v="Neha"/>
    <s v="pooja.shah@company.com"/>
    <s v="9771745925"/>
    <s v="Completed"/>
    <x v="3"/>
  </r>
  <r>
    <s v="ORD10446"/>
    <s v="C005"/>
    <s v="P303"/>
    <x v="295"/>
    <s v="06/07/2025"/>
    <s v="Anita Gupta"/>
    <s v="Male"/>
    <s v="27/02/1990"/>
    <s v="Hyderabad"/>
    <s v="West"/>
    <s v="Electronics"/>
    <s v="Marker"/>
    <n v="20"/>
    <n v="45"/>
    <n v="15"/>
    <n v="765"/>
    <n v="2"/>
    <s v="Card"/>
    <s v="Ritika"/>
    <s v="vikas.mehta@company.com"/>
    <s v="9820683063"/>
    <s v="Cancelled"/>
    <x v="7"/>
  </r>
  <r>
    <s v="ORD10447"/>
    <s v="C008"/>
    <s v="P302"/>
    <x v="296"/>
    <s v="22/02/2026"/>
    <s v="Pooja Shah"/>
    <s v="Female"/>
    <s v="27/03/1994"/>
    <s v="Mumbai"/>
    <s v="South"/>
    <s v="Electronics"/>
    <s v="Pen"/>
    <n v="9"/>
    <n v="20"/>
    <n v="20"/>
    <n v="144"/>
    <n v="3"/>
    <s v="Card"/>
    <s v="Aisha"/>
    <s v="KAvya.nair@company.com"/>
    <s v="9292891941"/>
    <s v="Completed"/>
    <x v="3"/>
  </r>
  <r>
    <s v="ORD10448"/>
    <s v="C008"/>
    <s v="P101"/>
    <x v="297"/>
    <s v="14/03/2025"/>
    <s v="Vikas Mehta"/>
    <s v="Female"/>
    <s v="11/06/1980"/>
    <s v="Pune"/>
    <s v="South"/>
    <s v="Stationery"/>
    <s v="Laptop"/>
    <n v="8"/>
    <n v="55000"/>
    <n v="0"/>
    <n v="440000"/>
    <n v="4"/>
    <s v="Cash"/>
    <s v="Neha"/>
    <s v="KAvya.nair@company.com"/>
    <s v="9413789556"/>
    <s v="Completed"/>
    <x v="4"/>
  </r>
  <r>
    <s v="ORD10449"/>
    <s v="C001"/>
    <s v="P103"/>
    <x v="298"/>
    <s v="28/04/2026"/>
    <s v="Kavya Nair"/>
    <s v="Male"/>
    <s v="10/06/2000"/>
    <s v="Ahmedabad"/>
    <s v="West"/>
    <s v="Stationery"/>
    <s v="Keyboard"/>
    <n v="4"/>
    <n v="1200"/>
    <n v="10"/>
    <n v="4320"/>
    <n v="4"/>
    <s v="UPI"/>
    <s v="Ritika"/>
    <s v="amit.sharma@company.com"/>
    <s v="98765"/>
    <s v="Cancelled"/>
    <x v="1"/>
  </r>
  <r>
    <s v="ORD10450"/>
    <s v="C001"/>
    <s v="P203"/>
    <x v="130"/>
    <s v="13/05/2026"/>
    <s v="Kavya Nair"/>
    <s v="Male"/>
    <s v="21/04/1998"/>
    <s v="Kolkata"/>
    <s v="West"/>
    <s v="Electronics"/>
    <s v="Microwave"/>
    <n v="14"/>
    <n v="8500"/>
    <n v="10"/>
    <n v="107100"/>
    <n v="4"/>
    <s v="Cash"/>
    <s v="Ritika"/>
    <s v="amit.sharma@company.com"/>
    <s v="9211936331"/>
    <s v="Completed"/>
    <x v="8"/>
  </r>
  <r>
    <s v="ORD10451"/>
    <s v="C009"/>
    <s v="P303"/>
    <x v="108"/>
    <s v="07/06/2025"/>
    <s v="Amit Sharma"/>
    <s v="Male"/>
    <s v="10/05/1984"/>
    <s v="Hyderabad"/>
    <s v="West"/>
    <s v="Electronics"/>
    <s v="Marker"/>
    <n v="1"/>
    <n v="45"/>
    <n v="0"/>
    <n v="45"/>
    <n v="3"/>
    <s v="UPI"/>
    <s v="Karan"/>
    <s v="mohit.verma@company.com"/>
    <s v="9167291747"/>
    <s v="Cancelled"/>
    <x v="8"/>
  </r>
  <r>
    <s v="ORD10452"/>
    <s v="C009"/>
    <s v="P101"/>
    <x v="299"/>
    <s v="28/02/2025"/>
    <s v="Amit Sharma"/>
    <s v="Male"/>
    <s v="07/10/1986"/>
    <s v="Delhi"/>
    <s v="East"/>
    <s v="Home Appliances"/>
    <s v="Laptop"/>
    <n v="16"/>
    <n v="55000"/>
    <n v="15"/>
    <n v="748000"/>
    <n v="1"/>
    <s v="Card"/>
    <s v="Karan"/>
    <s v="mohit.verma@company.com"/>
    <s v="9637283597"/>
    <s v="Cancelled"/>
    <x v="3"/>
  </r>
  <r>
    <s v="ORD10453"/>
    <s v="C010"/>
    <s v="P102"/>
    <x v="300"/>
    <s v="29/03/2026"/>
    <s v="Mohit Verma"/>
    <s v="Female"/>
    <s v="01/11/2003"/>
    <s v="Ahmedabad"/>
    <s v="South"/>
    <s v="Stationery"/>
    <s v="Mouse"/>
    <n v="8"/>
    <n v="700"/>
    <n v="0"/>
    <n v="5600"/>
    <n v="3"/>
    <s v="Cash"/>
    <s v="Rahul"/>
    <s v="pooja.shah@company.com"/>
    <s v="9514269002"/>
    <s v="Completed"/>
    <x v="4"/>
  </r>
  <r>
    <s v="ORD10454"/>
    <s v="C006"/>
    <s v="P103"/>
    <x v="301"/>
    <s v="13/04/2026"/>
    <s v="Mohit Verma"/>
    <s v="Female"/>
    <s v="10/06/2003"/>
    <s v="Ahmedabad"/>
    <s v="North"/>
    <s v="Electronics"/>
    <s v="Keyboard"/>
    <n v="3"/>
    <n v="1200"/>
    <n v="0"/>
    <n v="3600"/>
    <n v="1"/>
    <s v="Card"/>
    <s v="Rahul"/>
    <s v="sneha.joshi@company.com"/>
    <s v="9778908233"/>
    <s v="Cancelled"/>
    <x v="1"/>
  </r>
  <r>
    <s v="ORD10455"/>
    <s v="C009"/>
    <s v="P201"/>
    <x v="302"/>
    <s v="26/02/2025"/>
    <s v="Pooja Shah"/>
    <s v="Male"/>
    <s v="27/03/1990"/>
    <s v="Kolkata"/>
    <s v="West"/>
    <s v="Electronics"/>
    <s v="Mixer"/>
    <n v="7"/>
    <n v="3500"/>
    <n v="15"/>
    <n v="20825"/>
    <n v="4"/>
    <s v="Card"/>
    <s v="Aisha"/>
    <s v="mohit.verma@company.com"/>
    <s v="9981118755"/>
    <s v="Pending"/>
    <x v="3"/>
  </r>
  <r>
    <s v="ORD10456"/>
    <s v="C010"/>
    <s v="P101"/>
    <x v="303"/>
    <s v="04/04/2026"/>
    <s v="Sneha Joshi"/>
    <s v="Female"/>
    <s v="28/05/2003"/>
    <s v="Pune"/>
    <s v="West"/>
    <s v="Electronics"/>
    <s v="Laptop"/>
    <n v="9"/>
    <n v="55000"/>
    <n v="15"/>
    <n v="420750"/>
    <n v="3"/>
    <s v="UPI"/>
    <s v="Ritika"/>
    <s v="pooja.shah@company.com"/>
    <s v="9887896743"/>
    <s v="Cancelled"/>
    <x v="4"/>
  </r>
  <r>
    <s v="ORD10457"/>
    <s v="C001"/>
    <s v="P104"/>
    <x v="17"/>
    <s v="02/12/2025"/>
    <s v="Mohit Verma"/>
    <s v="Male"/>
    <s v="06/02/1993"/>
    <s v="Bengaluru"/>
    <s v="East"/>
    <s v="Home Appliances"/>
    <s v="Monitor"/>
    <n v="12"/>
    <n v="12000"/>
    <n v="0"/>
    <n v="144000"/>
    <n v="3"/>
    <s v="Card"/>
    <s v="Karan"/>
    <s v="amit.sharma@company.com"/>
    <s v="9585330043"/>
    <s v="Cancelled"/>
    <x v="6"/>
  </r>
  <r>
    <s v="ORD10458"/>
    <s v="C002"/>
    <s v="P301"/>
    <x v="304"/>
    <s v="11/05/2025"/>
    <s v="Pooja Shah"/>
    <s v="Female"/>
    <s v="02/09/1975"/>
    <s v="Ahmedabad"/>
    <s v="West"/>
    <s v="Electronics"/>
    <s v="Notebook"/>
    <n v="7"/>
    <n v="60"/>
    <n v="10"/>
    <n v="378"/>
    <n v="4"/>
    <s v="Cash"/>
    <s v="Rahul"/>
    <s v="priYa.patel@company.com"/>
    <s v="9423719975"/>
    <s v="Cancelled"/>
    <x v="8"/>
  </r>
  <r>
    <s v="ORD10459"/>
    <s v="C005"/>
    <s v="P202"/>
    <x v="305"/>
    <s v="31/08/2025"/>
    <s v="Amit Sharma"/>
    <s v="Male"/>
    <s v="09/09/1994"/>
    <s v="Mumbai"/>
    <s v="South"/>
    <s v="Electronics"/>
    <s v="Iron"/>
    <n v="17"/>
    <n v="2200"/>
    <n v="15"/>
    <n v="31790"/>
    <n v="3"/>
    <s v="UPI"/>
    <s v="Karan"/>
    <s v="vikas.mehta@company.com"/>
    <s v="9270746961"/>
    <s v="Pending"/>
    <x v="11"/>
  </r>
  <r>
    <s v="ORD10460"/>
    <s v="C001"/>
    <s v="P102"/>
    <x v="45"/>
    <s v="06/12/2025"/>
    <s v="Priya Patel"/>
    <s v="Male"/>
    <s v="07/10/1992"/>
    <s v="Bengaluru"/>
    <s v="West"/>
    <s v="Stationery"/>
    <s v="Mouse"/>
    <n v="17"/>
    <n v="700"/>
    <n v="10"/>
    <n v="10710"/>
    <n v="2"/>
    <s v="Cash"/>
    <s v="Aisha"/>
    <s v="amit.sharma@company.com"/>
    <s v="9333162025"/>
    <s v="Pending"/>
    <x v="10"/>
  </r>
  <r>
    <s v="ORD10461"/>
    <s v="C001"/>
    <s v="P101"/>
    <x v="306"/>
    <s v="01/06/2025"/>
    <s v="Vikas Mehta"/>
    <s v="Male"/>
    <s v="17/07/2002"/>
    <s v="Delhi"/>
    <s v="West"/>
    <s v="Home Appliances"/>
    <s v="Laptop"/>
    <n v="19"/>
    <n v="55000"/>
    <n v="20"/>
    <n v="836000"/>
    <n v="5"/>
    <s v="NetBanking"/>
    <s v="Aisha"/>
    <s v="amit.sharma@company.com"/>
    <s v="9247023285"/>
    <s v="Completed"/>
    <x v="8"/>
  </r>
  <r>
    <s v="ORD10462"/>
    <s v="C003"/>
    <s v="P301"/>
    <x v="307"/>
    <s v="19/09/2025"/>
    <s v="Amit Sharma"/>
    <s v="Male"/>
    <s v="03/02/2001"/>
    <s v="Delhi"/>
    <s v="South"/>
    <s v="Electronics"/>
    <s v="Notebook"/>
    <n v="1"/>
    <n v="60"/>
    <n v="10"/>
    <n v="54"/>
    <n v="4"/>
    <s v="NetBanking"/>
    <s v="Not assigned"/>
    <s v="rohit.singh@company.com"/>
    <s v="9448658297"/>
    <s v="Cancelled"/>
    <x v="0"/>
  </r>
  <r>
    <s v="ORD10463"/>
    <s v="C009"/>
    <s v="P201"/>
    <x v="308"/>
    <s v="11/03/2026"/>
    <s v="Amit Sharma"/>
    <s v="Male"/>
    <s v="23/06/1990"/>
    <s v="Hyderabad"/>
    <s v="North"/>
    <s v="Electronics"/>
    <s v="Mixer"/>
    <n v="16"/>
    <n v="3500"/>
    <n v="0"/>
    <n v="56000"/>
    <n v="4"/>
    <s v="NetBanking"/>
    <s v="Ritika"/>
    <s v="mohit.verma@company.com"/>
    <s v="9906748486"/>
    <s v="Pending"/>
    <x v="4"/>
  </r>
  <r>
    <s v="ORD10464"/>
    <s v="C003"/>
    <s v="P302"/>
    <x v="260"/>
    <s v="05/02/2025"/>
    <s v="Rohit Singh"/>
    <s v="Male"/>
    <s v="13/05/1978"/>
    <s v="Pune"/>
    <s v="North"/>
    <s v="Stationery"/>
    <s v="Pen"/>
    <n v="14"/>
    <n v="20"/>
    <n v="10"/>
    <n v="252"/>
    <n v="1"/>
    <s v="NetBanking"/>
    <s v="Aisha"/>
    <s v="rohit.singh@company.com"/>
    <s v="9365182725"/>
    <s v="Pending"/>
    <x v="2"/>
  </r>
  <r>
    <s v="ORD10465"/>
    <s v="C009"/>
    <s v="P202"/>
    <x v="67"/>
    <s v="14/12/2025"/>
    <s v="Mohit Verma"/>
    <s v="Male"/>
    <s v="22/07/2000"/>
    <s v="Bengaluru"/>
    <s v="South"/>
    <s v="Home Appliances"/>
    <s v="Iron"/>
    <n v="11"/>
    <n v="2200"/>
    <n v="15"/>
    <n v="20570"/>
    <n v="4"/>
    <s v="NetBanking"/>
    <s v="Rahul"/>
    <s v="mohit.verma@company.com"/>
    <s v="9937119494"/>
    <s v="Cancelled"/>
    <x v="6"/>
  </r>
  <r>
    <s v="ORD10466"/>
    <s v="C007"/>
    <s v="P101"/>
    <x v="309"/>
    <s v="09/08/2025"/>
    <s v="Rohit Singh"/>
    <s v="Male"/>
    <s v="20/03/1985"/>
    <s v="Jaipur"/>
    <s v="West"/>
    <s v="Stationery"/>
    <s v="Laptop"/>
    <n v="2"/>
    <n v="55000"/>
    <n v="0"/>
    <n v="110000"/>
    <n v="4"/>
    <s v="NetBanking"/>
    <s v="Rahul"/>
    <s v="arjun.rao@company.com"/>
    <s v="9828015293"/>
    <s v="Cancelled"/>
    <x v="11"/>
  </r>
  <r>
    <s v="ORD10467"/>
    <s v="C010"/>
    <s v="P202"/>
    <x v="75"/>
    <s v="07/01/2025"/>
    <s v="Mohit Verma"/>
    <s v="Female"/>
    <s v="08/02/1988"/>
    <s v="Pune"/>
    <s v="South"/>
    <s v="Home Appliances"/>
    <s v="Iron"/>
    <n v="7"/>
    <n v="2200"/>
    <n v="5"/>
    <n v="14630"/>
    <n v="4"/>
    <s v="Card"/>
    <s v="Neha"/>
    <s v="pooja.shah@company.com"/>
    <s v="9864206250"/>
    <s v="Cancelled"/>
    <x v="2"/>
  </r>
  <r>
    <s v="ORD10468"/>
    <s v="C008"/>
    <s v="P303"/>
    <x v="310"/>
    <s v="12/04/2025"/>
    <s v="Arjun Rao"/>
    <s v="Female"/>
    <s v="26/04/1997"/>
    <s v="Ahmedabad"/>
    <s v="North"/>
    <s v="Electronics"/>
    <s v="Marker"/>
    <n v="11"/>
    <n v="45"/>
    <n v="15"/>
    <n v="420.75"/>
    <n v="4"/>
    <s v="Card"/>
    <s v="Aisha"/>
    <s v="KAvya.nair@company.com"/>
    <s v="9519293104"/>
    <s v="Pending"/>
    <x v="1"/>
  </r>
  <r>
    <s v="ORD10469"/>
    <s v="C002"/>
    <s v="P301"/>
    <x v="180"/>
    <s v="30/04/2025"/>
    <s v="Pooja Shah"/>
    <s v="Female"/>
    <s v="22/05/2001"/>
    <s v="Mumbai"/>
    <s v="West"/>
    <s v="Home Appliances"/>
    <s v="Notebook"/>
    <n v="16"/>
    <n v="60"/>
    <n v="5"/>
    <n v="912"/>
    <n v="2"/>
    <s v="Cash"/>
    <s v="Neha"/>
    <s v="priYa.patel@company.com"/>
    <s v="9296075245"/>
    <s v="Cancelled"/>
    <x v="1"/>
  </r>
  <r>
    <s v="ORD10470"/>
    <s v="C001"/>
    <s v="P101"/>
    <x v="311"/>
    <s v="04/11/2025"/>
    <s v="Kavya Nair"/>
    <s v="Male"/>
    <s v="19/06/1982"/>
    <s v="Pune"/>
    <s v="West"/>
    <s v="Stationery"/>
    <s v="Laptop"/>
    <n v="18"/>
    <n v="55000"/>
    <n v="0"/>
    <n v="990000"/>
    <n v="5"/>
    <s v="NetBanking"/>
    <s v="Rahul"/>
    <s v="amit.sharma@company.com"/>
    <s v="9316770206"/>
    <s v="Pending"/>
    <x v="10"/>
  </r>
  <r>
    <s v="ORD10471"/>
    <s v="C008"/>
    <s v="P103"/>
    <x v="312"/>
    <s v="22/10/2025"/>
    <s v="Priya Patel"/>
    <s v="Female"/>
    <s v="23/06/1999"/>
    <s v="Bengaluru"/>
    <s v="West"/>
    <s v="Stationery"/>
    <s v="Keyboard"/>
    <n v="17"/>
    <n v="1200"/>
    <n v="5"/>
    <n v="19380"/>
    <n v="1"/>
    <s v="NetBanking"/>
    <s v="Ritika"/>
    <s v="KAvya.nair@company.com"/>
    <s v="9706553861"/>
    <s v="Pending"/>
    <x v="9"/>
  </r>
  <r>
    <s v="ORD10472"/>
    <s v="C010"/>
    <s v="P101"/>
    <x v="1"/>
    <s v="05/05/2025"/>
    <s v="Amit Sharma"/>
    <s v="Female"/>
    <s v="02/02/2001"/>
    <s v="Pune"/>
    <s v="West"/>
    <s v="Electronics"/>
    <s v="Laptop"/>
    <n v="11"/>
    <n v="55000"/>
    <n v="0"/>
    <n v="605000"/>
    <n v="2"/>
    <s v="Cash"/>
    <s v="Aisha"/>
    <s v="pooja.shah@company.com"/>
    <s v="9524904662"/>
    <s v="Pending"/>
    <x v="1"/>
  </r>
  <r>
    <s v="ORD10473"/>
    <s v="C006"/>
    <s v="P102"/>
    <x v="25"/>
    <s v="31/05/2025"/>
    <s v="Kavya Nair"/>
    <s v="Female"/>
    <s v="09/02/1999"/>
    <s v="Delhi"/>
    <s v="South"/>
    <s v="Electronics"/>
    <s v="Mouse"/>
    <n v="20"/>
    <n v="700"/>
    <n v="20"/>
    <n v="11200"/>
    <n v="5"/>
    <s v="NetBanking"/>
    <s v="Aisha"/>
    <s v="sneha.joshi@company.com"/>
    <s v="9577624596"/>
    <s v="Completed"/>
    <x v="8"/>
  </r>
  <r>
    <s v="ORD10474"/>
    <s v="C009"/>
    <s v="P302"/>
    <x v="313"/>
    <s v="08/02/2026"/>
    <s v="Pooja Shah"/>
    <s v="Male"/>
    <s v="06/05/1988"/>
    <s v="Delhi"/>
    <s v="West"/>
    <s v="Electronics"/>
    <s v="Pen"/>
    <n v="5"/>
    <n v="20"/>
    <n v="5"/>
    <n v="95"/>
    <n v="4"/>
    <s v="Cash"/>
    <s v="Rahul"/>
    <s v="mohit.verma@company.com"/>
    <s v="9898452436"/>
    <s v="Cancelled"/>
    <x v="2"/>
  </r>
  <r>
    <s v="ORD10475"/>
    <s v="C001"/>
    <s v="P101"/>
    <x v="121"/>
    <s v="11/02/2025"/>
    <s v="Sneha Joshi"/>
    <s v="Male"/>
    <s v="12/02/1975"/>
    <s v="Mumbai"/>
    <s v="North"/>
    <s v="Electronics"/>
    <s v="Laptop"/>
    <n v="13"/>
    <n v="55000"/>
    <n v="5"/>
    <n v="679250"/>
    <n v="1"/>
    <s v="NetBanking"/>
    <s v="Rahul"/>
    <s v="amit.sharma@company.com"/>
    <s v="9960757012"/>
    <s v="Pending"/>
    <x v="3"/>
  </r>
  <r>
    <s v="ORD10476"/>
    <s v="C003"/>
    <s v="P101"/>
    <x v="21"/>
    <s v="20/04/2025"/>
    <s v="Mohit Verma"/>
    <s v="Male"/>
    <s v="01/01/2004"/>
    <s v="Kolkata"/>
    <s v="North"/>
    <s v="Stationery"/>
    <s v="Laptop"/>
    <n v="12"/>
    <n v="55000"/>
    <n v="5"/>
    <n v="627000"/>
    <n v="1"/>
    <s v="NetBanking"/>
    <s v="Neha"/>
    <s v="rohit.singh@company.com"/>
    <s v="9331268182"/>
    <s v="Cancelled"/>
    <x v="1"/>
  </r>
  <r>
    <s v="ORD10477"/>
    <s v="C010"/>
    <s v="P303"/>
    <x v="314"/>
    <s v="28/01/2025"/>
    <s v="Amit Sharma"/>
    <s v="Female"/>
    <s v="23/08/2001"/>
    <s v="Mumbai"/>
    <s v="West"/>
    <s v="Electronics"/>
    <s v="Marker"/>
    <n v="16"/>
    <n v="45"/>
    <n v="20"/>
    <n v="576"/>
    <n v="2"/>
    <s v="Cash"/>
    <s v="Rahul"/>
    <s v="pooja.shah@company.com"/>
    <s v="9135996862"/>
    <s v="Pending"/>
    <x v="2"/>
  </r>
  <r>
    <s v="ORD10478"/>
    <s v="C008"/>
    <s v="P103"/>
    <x v="0"/>
    <s v="27/09/2025"/>
    <s v="Rohit Singh"/>
    <s v="Female"/>
    <s v="23/01/1998"/>
    <s v="Bengaluru"/>
    <s v="East"/>
    <s v="Electronics"/>
    <s v="Keyboard"/>
    <n v="5"/>
    <n v="1200"/>
    <n v="10"/>
    <n v="5400"/>
    <n v="1"/>
    <s v="Cash"/>
    <s v="Not assigned"/>
    <s v="KAvya.nair@company.com"/>
    <s v="9540813143"/>
    <s v="Completed"/>
    <x v="0"/>
  </r>
  <r>
    <s v="ORD10479"/>
    <s v="C004"/>
    <s v="P303"/>
    <x v="315"/>
    <s v="20/10/2025"/>
    <s v="Pooja Shah"/>
    <s v="Female"/>
    <s v="28/05/2004"/>
    <s v="Kolkata"/>
    <s v="West"/>
    <s v="Stationery"/>
    <s v="Marker"/>
    <n v="2"/>
    <n v="45"/>
    <n v="10"/>
    <n v="81"/>
    <n v="4"/>
    <s v="UPI"/>
    <s v="Rahul"/>
    <s v="anita.gupta@company.com"/>
    <s v="9910913552"/>
    <s v="Pending"/>
    <x v="9"/>
  </r>
  <r>
    <s v="ORD10480"/>
    <s v="C003"/>
    <s v="P104"/>
    <x v="316"/>
    <s v="18/01/2026"/>
    <s v="Kavya Nair"/>
    <s v="Male"/>
    <s v="06/03/1985"/>
    <s v="Ahmedabad"/>
    <s v="South"/>
    <s v="Electronics"/>
    <s v="Monitor"/>
    <n v="3"/>
    <n v="12000"/>
    <n v="0"/>
    <n v="36000"/>
    <n v="2"/>
    <s v="UPI"/>
    <s v="Karan"/>
    <s v="rohit.singh@company.com"/>
    <s v="9282751683"/>
    <s v="Pending"/>
    <x v="2"/>
  </r>
  <r>
    <s v="ORD10481"/>
    <s v="C008"/>
    <s v="P104"/>
    <x v="317"/>
    <s v="01/02/2025"/>
    <s v="Anita Gupta"/>
    <s v="Female"/>
    <s v="06/09/1986"/>
    <s v="Bengaluru"/>
    <s v="East"/>
    <s v="Stationery"/>
    <s v="Monitor"/>
    <n v="3"/>
    <n v="12000"/>
    <n v="20"/>
    <n v="28800"/>
    <n v="3"/>
    <s v="UPI"/>
    <s v="Neha"/>
    <s v="KAvya.nair@company.com"/>
    <s v="9939332058"/>
    <s v="Completed"/>
    <x v="2"/>
  </r>
  <r>
    <s v="ORD10482"/>
    <s v="C003"/>
    <s v="P203"/>
    <x v="318"/>
    <s v="08/04/2026"/>
    <s v="Rohit Singh"/>
    <s v="Male"/>
    <s v="21/08/1981"/>
    <s v="Kolkata"/>
    <s v="West"/>
    <s v="Electronics"/>
    <s v="Microwave"/>
    <n v="9"/>
    <n v="8500"/>
    <n v="15"/>
    <n v="65025"/>
    <n v="5"/>
    <s v="Cash"/>
    <s v="Rahul"/>
    <s v="rohit.singh@company.com"/>
    <s v="9780626473"/>
    <s v="Pending"/>
    <x v="1"/>
  </r>
  <r>
    <s v="ORD10483"/>
    <s v="C009"/>
    <s v="P102"/>
    <x v="319"/>
    <s v="06/07/2025"/>
    <s v="Kavya Nair"/>
    <s v="Male"/>
    <s v="23/04/1992"/>
    <s v="Kolkata"/>
    <s v="South"/>
    <s v="Electronics"/>
    <s v="Mouse"/>
    <n v="17"/>
    <n v="700"/>
    <n v="0"/>
    <n v="11900"/>
    <n v="2"/>
    <s v="Cash"/>
    <s v="Aisha"/>
    <s v="mohit.verma@company.com"/>
    <s v="9347298020"/>
    <s v="Cancelled"/>
    <x v="7"/>
  </r>
  <r>
    <s v="ORD10484"/>
    <s v="C008"/>
    <s v="P102"/>
    <x v="198"/>
    <s v="18/07/2025"/>
    <s v="Rohit Singh"/>
    <s v="Female"/>
    <s v="03/07/1991"/>
    <s v="Hyderabad"/>
    <s v="East"/>
    <s v="Home Appliances"/>
    <s v="Mouse"/>
    <n v="20"/>
    <n v="700"/>
    <n v="5"/>
    <n v="13300"/>
    <n v="2"/>
    <s v="UPI"/>
    <s v="Ritika"/>
    <s v="KAvya.nair@company.com"/>
    <s v="9345328522"/>
    <s v="Completed"/>
    <x v="5"/>
  </r>
  <r>
    <s v="ORD10485"/>
    <s v="C001"/>
    <s v="P103"/>
    <x v="83"/>
    <s v="21/03/2026"/>
    <s v="Mohit Verma"/>
    <s v="Male"/>
    <s v="05/02/1978"/>
    <s v="Ahmedabad"/>
    <s v="East"/>
    <s v="Electronics"/>
    <s v="Keyboard"/>
    <n v="13"/>
    <n v="1200"/>
    <n v="20"/>
    <n v="12480"/>
    <n v="5"/>
    <s v="Card"/>
    <s v="Neha"/>
    <s v="amit.sharma@company.com"/>
    <s v="9160310438"/>
    <s v="Completed"/>
    <x v="4"/>
  </r>
  <r>
    <s v="ORD10486"/>
    <s v="C002"/>
    <s v="P101"/>
    <x v="320"/>
    <s v="29/03/2026"/>
    <s v="Kavya Nair"/>
    <s v="Female"/>
    <s v="18/07/1999"/>
    <s v="Jaipur"/>
    <s v="South"/>
    <s v="Electronics"/>
    <s v="Laptop"/>
    <n v="20"/>
    <n v="55000"/>
    <n v="10"/>
    <n v="990000"/>
    <n v="1"/>
    <s v="UPI"/>
    <s v="Ritika"/>
    <s v="priYa.patel@company.com"/>
    <s v="9343776153"/>
    <s v="Pending"/>
    <x v="4"/>
  </r>
  <r>
    <s v="ORD10487"/>
    <s v="C006"/>
    <s v="P103"/>
    <x v="79"/>
    <s v="05/11/2025"/>
    <s v="Amit Sharma"/>
    <s v="Female"/>
    <s v="03/04/1988"/>
    <s v="Kolkata"/>
    <s v="West"/>
    <s v="Electronics"/>
    <s v="Keyboard"/>
    <n v="8"/>
    <n v="1200"/>
    <n v="0"/>
    <n v="9600"/>
    <n v="2"/>
    <s v="NetBanking"/>
    <s v="Karan"/>
    <s v="sneha.joshi@company.com"/>
    <s v="9458599727"/>
    <s v="Completed"/>
    <x v="9"/>
  </r>
  <r>
    <s v="ORD10488"/>
    <s v="C010"/>
    <s v="P302"/>
    <x v="321"/>
    <s v="09/05/2026"/>
    <s v="Priya Patel"/>
    <s v="Female"/>
    <s v="11/11/1978"/>
    <s v="Kolkata"/>
    <s v="North"/>
    <s v="Electronics"/>
    <s v="Pen"/>
    <n v="18"/>
    <n v="20"/>
    <n v="10"/>
    <n v="324"/>
    <n v="5"/>
    <s v="Card"/>
    <s v="Not assigned"/>
    <s v="pooja.shah@company.com"/>
    <s v="9218660140"/>
    <s v="Pending"/>
    <x v="8"/>
  </r>
  <r>
    <s v="ORD10489"/>
    <s v="C004"/>
    <s v="P104"/>
    <x v="322"/>
    <s v="07/03/2025"/>
    <s v="Sneha Joshi"/>
    <s v="Female"/>
    <s v="02/04/1994"/>
    <s v="Pune"/>
    <s v="East"/>
    <s v="Electronics"/>
    <s v="Monitor"/>
    <n v="11"/>
    <n v="12000"/>
    <n v="10"/>
    <n v="118800"/>
    <n v="1"/>
    <s v="Card"/>
    <s v="Rahul"/>
    <s v="anita.gupta@company.com"/>
    <s v="9341979199"/>
    <s v="Cancelled"/>
    <x v="3"/>
  </r>
  <r>
    <s v="ORD10490"/>
    <s v="C001"/>
    <s v="P203"/>
    <x v="270"/>
    <s v="17/01/2025"/>
    <s v="Pooja Shah"/>
    <s v="Male"/>
    <s v="09/05/1993"/>
    <s v="Hyderabad"/>
    <s v="East"/>
    <s v="Stationery"/>
    <s v="Microwave"/>
    <n v="2"/>
    <n v="8500"/>
    <n v="5"/>
    <n v="16150"/>
    <n v="1"/>
    <s v="Card"/>
    <s v="Aisha"/>
    <s v="amit.sharma@company.com"/>
    <s v="9823080381"/>
    <s v="Completed"/>
    <x v="2"/>
  </r>
  <r>
    <s v="ORD10491"/>
    <s v="C002"/>
    <s v="P202"/>
    <x v="41"/>
    <s v="08/04/2025"/>
    <s v="Anita Gupta"/>
    <s v="Female"/>
    <s v="11/07/1994"/>
    <s v="Pune"/>
    <s v="West"/>
    <s v="Electronics"/>
    <s v="Iron"/>
    <n v="7"/>
    <n v="2200"/>
    <n v="0"/>
    <n v="15400"/>
    <n v="5"/>
    <s v="NetBanking"/>
    <s v="Ritika"/>
    <s v="priYa.patel@company.com"/>
    <s v="9981183477"/>
    <s v="Pending"/>
    <x v="4"/>
  </r>
  <r>
    <s v="ORD10492"/>
    <s v="C007"/>
    <s v="P203"/>
    <x v="298"/>
    <s v="02/05/2026"/>
    <s v="Amit Sharma"/>
    <s v="Male"/>
    <s v="19/12/1982"/>
    <s v="Delhi"/>
    <s v="South"/>
    <s v="Home Appliances"/>
    <s v="Microwave"/>
    <n v="20"/>
    <n v="8500"/>
    <n v="0"/>
    <n v="170000"/>
    <n v="3"/>
    <s v="NetBanking"/>
    <s v="Rahul"/>
    <s v="arjun.rao@company.com"/>
    <s v="9281596011"/>
    <s v="Completed"/>
    <x v="1"/>
  </r>
  <r>
    <s v="ORD10493"/>
    <s v="C003"/>
    <s v="P103"/>
    <x v="178"/>
    <s v="29/07/2025"/>
    <s v="Priya Patel"/>
    <s v="Male"/>
    <s v="02/11/2001"/>
    <s v="Hyderabad"/>
    <s v="West"/>
    <s v="Home Appliances"/>
    <s v="Keyboard"/>
    <n v="11"/>
    <n v="1200"/>
    <n v="5"/>
    <n v="12540"/>
    <n v="2"/>
    <s v="Cash"/>
    <s v="Ritika"/>
    <s v="rohit.singh@company.com"/>
    <s v="9211734022"/>
    <s v="Pending"/>
    <x v="5"/>
  </r>
  <r>
    <s v="ORD10494"/>
    <s v="C007"/>
    <s v="P102"/>
    <x v="323"/>
    <s v="01/08/2025"/>
    <s v="Arjun Rao"/>
    <s v="Male"/>
    <s v="18/10/2001"/>
    <s v="Ahmedabad"/>
    <s v="North"/>
    <s v="Home Appliances"/>
    <s v="Mouse"/>
    <n v="14"/>
    <n v="700"/>
    <n v="0"/>
    <n v="9800"/>
    <n v="2"/>
    <s v="Card"/>
    <s v="Karan"/>
    <s v="arjun.rao@company.com"/>
    <s v="9447151666"/>
    <s v="Cancelled"/>
    <x v="5"/>
  </r>
  <r>
    <s v="ORD10495"/>
    <s v="C009"/>
    <s v="P103"/>
    <x v="324"/>
    <s v="01/11/2025"/>
    <s v="Rohit Singh"/>
    <s v="Male"/>
    <s v="21/12/2000"/>
    <s v="Pune"/>
    <s v="South"/>
    <s v="Electronics"/>
    <s v="Keyboard"/>
    <n v="16"/>
    <n v="1200"/>
    <n v="15"/>
    <n v="16320"/>
    <n v="4"/>
    <s v="Cash"/>
    <s v="Karan"/>
    <s v="mohit.verma@company.com"/>
    <s v="9345342793"/>
    <s v="Pending"/>
    <x v="9"/>
  </r>
  <r>
    <s v="ORD10496"/>
    <s v="C004"/>
    <s v="P202"/>
    <x v="71"/>
    <s v="29/03/2026"/>
    <s v="Arjun Rao"/>
    <s v="Female"/>
    <s v="20/02/1983"/>
    <s v="Jaipur"/>
    <s v="West"/>
    <s v="Electronics"/>
    <s v="Iron"/>
    <n v="20"/>
    <n v="2200"/>
    <n v="0"/>
    <n v="44000"/>
    <n v="5"/>
    <s v="Cash"/>
    <s v="Ritika"/>
    <s v="anita.gupta@company.com"/>
    <s v="9329668173"/>
    <s v="Cancelled"/>
    <x v="4"/>
  </r>
  <r>
    <s v="ORD10497"/>
    <s v="C007"/>
    <s v="P104"/>
    <x v="322"/>
    <s v="07/03/2025"/>
    <s v="Mohit Verma"/>
    <s v="Male"/>
    <s v="13/06/1988"/>
    <s v="Jaipur"/>
    <s v="West"/>
    <s v="Electronics"/>
    <s v="Monitor"/>
    <n v="12"/>
    <n v="12000"/>
    <n v="15"/>
    <n v="122400"/>
    <n v="5"/>
    <s v="Cash"/>
    <s v="Karan"/>
    <s v="arjun.rao@company.com"/>
    <s v="9294740227"/>
    <s v="Completed"/>
    <x v="3"/>
  </r>
  <r>
    <s v="ORD10498"/>
    <s v="C005"/>
    <s v="P103"/>
    <x v="95"/>
    <s v="20/12/2025"/>
    <s v="Anita Gupta"/>
    <s v="Male"/>
    <s v="22/07/1992"/>
    <s v="Delhi"/>
    <s v="North"/>
    <s v="Home Appliances"/>
    <s v="Keyboard"/>
    <n v="3"/>
    <n v="1200"/>
    <n v="20"/>
    <n v="2880"/>
    <n v="2"/>
    <s v="NetBanking"/>
    <s v="Neha"/>
    <s v="vikas.mehtacompany.com"/>
    <s v="9549426303"/>
    <s v="Pending"/>
    <x v="6"/>
  </r>
  <r>
    <s v="ORD10499"/>
    <s v="C002"/>
    <s v="P101"/>
    <x v="124"/>
    <s v="05/07/2025"/>
    <s v="Arjun Rao"/>
    <s v="Female"/>
    <s v="12/08/1979"/>
    <s v="Mumbai"/>
    <s v="North"/>
    <s v="Electronics"/>
    <s v="Laptop,Mouse"/>
    <n v="6"/>
    <n v="55000"/>
    <n v="20"/>
    <n v="264000"/>
    <n v="3"/>
    <s v="Cash"/>
    <s v="Karan"/>
    <s v="priYa.patel@company.com"/>
    <s v="9374249303"/>
    <s v="Completed"/>
    <x v="5"/>
  </r>
  <r>
    <s v="ORD10500"/>
    <s v="C002"/>
    <s v="P201"/>
    <x v="325"/>
    <s v="23/09/2025"/>
    <s v="Vikas Mehta"/>
    <s v="Female"/>
    <s v="24/11/1976"/>
    <s v="Bengaluru"/>
    <s v="North"/>
    <s v="Electronics"/>
    <s v="Mixer"/>
    <n v="20"/>
    <n v="3500"/>
    <n v="0"/>
    <n v="70000"/>
    <n v="1"/>
    <s v="NetBanking"/>
    <s v="Karan"/>
    <s v="priYa.patel@company.com"/>
    <s v="9810334941"/>
    <s v="Pend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1">
  <location ref="AR2:AS16" firstHeaderRow="1" firstDataRow="1" firstDataCol="1"/>
  <pivotFields count="23">
    <pivotField compact="0" outline="0" showAll="0"/>
    <pivotField compact="0" outline="0" showAll="0"/>
    <pivotField compact="0" outline="0" showAll="0"/>
    <pivotField compact="0" outline="0" showAll="0">
      <items count="327">
        <item x="75"/>
        <item x="287"/>
        <item x="58"/>
        <item x="221"/>
        <item x="141"/>
        <item x="30"/>
        <item x="309"/>
        <item x="61"/>
        <item x="261"/>
        <item x="259"/>
        <item x="17"/>
        <item x="112"/>
        <item x="226"/>
        <item x="301"/>
        <item x="294"/>
        <item x="177"/>
        <item x="168"/>
        <item x="274"/>
        <item x="311"/>
        <item x="145"/>
        <item x="20"/>
        <item x="109"/>
        <item x="257"/>
        <item x="297"/>
        <item x="105"/>
        <item x="103"/>
        <item x="200"/>
        <item x="130"/>
        <item x="234"/>
        <item x="269"/>
        <item x="2"/>
        <item x="196"/>
        <item x="4"/>
        <item x="121"/>
        <item x="68"/>
        <item x="308"/>
        <item x="117"/>
        <item x="304"/>
        <item x="89"/>
        <item x="39"/>
        <item x="124"/>
        <item x="114"/>
        <item x="87"/>
        <item x="150"/>
        <item x="137"/>
        <item x="241"/>
        <item x="242"/>
        <item x="55"/>
        <item x="238"/>
        <item x="240"/>
        <item x="321"/>
        <item x="181"/>
        <item x="246"/>
        <item x="37"/>
        <item x="34"/>
        <item x="249"/>
        <item x="162"/>
        <item x="143"/>
        <item x="163"/>
        <item x="170"/>
        <item x="164"/>
        <item x="140"/>
        <item x="211"/>
        <item x="228"/>
        <item x="74"/>
        <item x="245"/>
        <item x="148"/>
        <item x="31"/>
        <item x="127"/>
        <item x="64"/>
        <item x="318"/>
        <item x="93"/>
        <item x="129"/>
        <item x="190"/>
        <item x="188"/>
        <item x="40"/>
        <item x="10"/>
        <item x="35"/>
        <item x="310"/>
        <item x="14"/>
        <item x="230"/>
        <item x="215"/>
        <item x="118"/>
        <item x="198"/>
        <item x="27"/>
        <item x="201"/>
        <item x="60"/>
        <item x="59"/>
        <item x="62"/>
        <item x="12"/>
        <item x="102"/>
        <item x="23"/>
        <item x="92"/>
        <item x="197"/>
        <item x="72"/>
        <item x="187"/>
        <item x="203"/>
        <item x="32"/>
        <item x="147"/>
        <item x="11"/>
        <item x="38"/>
        <item x="80"/>
        <item x="254"/>
        <item x="100"/>
        <item x="52"/>
        <item x="126"/>
        <item x="235"/>
        <item x="28"/>
        <item x="219"/>
        <item x="277"/>
        <item x="83"/>
        <item x="123"/>
        <item x="253"/>
        <item x="111"/>
        <item x="276"/>
        <item x="184"/>
        <item x="44"/>
        <item x="95"/>
        <item x="281"/>
        <item x="316"/>
        <item x="296"/>
        <item x="217"/>
        <item x="88"/>
        <item x="210"/>
        <item x="155"/>
        <item x="258"/>
        <item x="307"/>
        <item x="285"/>
        <item x="199"/>
        <item x="96"/>
        <item x="282"/>
        <item x="36"/>
        <item x="218"/>
        <item x="133"/>
        <item x="26"/>
        <item x="6"/>
        <item x="272"/>
        <item x="57"/>
        <item x="85"/>
        <item x="43"/>
        <item x="67"/>
        <item x="286"/>
        <item x="146"/>
        <item x="144"/>
        <item x="91"/>
        <item x="263"/>
        <item x="152"/>
        <item x="132"/>
        <item x="63"/>
        <item x="270"/>
        <item x="283"/>
        <item x="159"/>
        <item x="151"/>
        <item x="54"/>
        <item x="82"/>
        <item x="244"/>
        <item x="73"/>
        <item x="195"/>
        <item x="120"/>
        <item x="185"/>
        <item x="157"/>
        <item x="86"/>
        <item x="81"/>
        <item x="248"/>
        <item x="223"/>
        <item x="191"/>
        <item x="29"/>
        <item x="56"/>
        <item x="325"/>
        <item x="156"/>
        <item x="154"/>
        <item x="220"/>
        <item x="165"/>
        <item x="299"/>
        <item x="116"/>
        <item x="97"/>
        <item x="71"/>
        <item x="202"/>
        <item x="279"/>
        <item x="209"/>
        <item x="125"/>
        <item x="90"/>
        <item x="302"/>
        <item x="207"/>
        <item x="77"/>
        <item x="289"/>
        <item x="174"/>
        <item x="251"/>
        <item x="0"/>
        <item x="312"/>
        <item x="101"/>
        <item x="167"/>
        <item x="176"/>
        <item x="179"/>
        <item x="264"/>
        <item x="21"/>
        <item x="46"/>
        <item x="205"/>
        <item x="138"/>
        <item x="136"/>
        <item x="49"/>
        <item x="9"/>
        <item x="315"/>
        <item x="33"/>
        <item x="160"/>
        <item x="186"/>
        <item x="290"/>
        <item x="180"/>
        <item x="113"/>
        <item x="182"/>
        <item x="266"/>
        <item x="178"/>
        <item x="84"/>
        <item x="110"/>
        <item x="314"/>
        <item x="208"/>
        <item x="51"/>
        <item x="213"/>
        <item x="247"/>
        <item x="94"/>
        <item x="293"/>
        <item x="135"/>
        <item x="166"/>
        <item x="324"/>
        <item x="122"/>
        <item x="288"/>
        <item x="15"/>
        <item x="300"/>
        <item x="153"/>
        <item x="169"/>
        <item x="25"/>
        <item x="204"/>
        <item x="134"/>
        <item x="214"/>
        <item x="291"/>
        <item x="22"/>
        <item x="255"/>
        <item x="322"/>
        <item x="194"/>
        <item x="320"/>
        <item x="212"/>
        <item x="225"/>
        <item x="224"/>
        <item x="305"/>
        <item x="104"/>
        <item x="128"/>
        <item x="260"/>
        <item x="183"/>
        <item x="232"/>
        <item x="53"/>
        <item x="298"/>
        <item x="161"/>
        <item x="24"/>
        <item x="106"/>
        <item x="65"/>
        <item x="265"/>
        <item x="98"/>
        <item x="222"/>
        <item x="8"/>
        <item x="42"/>
        <item x="76"/>
        <item x="192"/>
        <item x="18"/>
        <item x="119"/>
        <item x="48"/>
        <item x="236"/>
        <item x="317"/>
        <item x="69"/>
        <item x="99"/>
        <item x="139"/>
        <item x="175"/>
        <item x="19"/>
        <item x="229"/>
        <item x="149"/>
        <item x="319"/>
        <item x="13"/>
        <item x="239"/>
        <item x="231"/>
        <item x="275"/>
        <item x="189"/>
        <item x="233"/>
        <item x="216"/>
        <item x="278"/>
        <item x="1"/>
        <item x="115"/>
        <item x="70"/>
        <item x="50"/>
        <item x="284"/>
        <item x="3"/>
        <item x="45"/>
        <item x="273"/>
        <item x="268"/>
        <item x="313"/>
        <item x="171"/>
        <item x="16"/>
        <item x="47"/>
        <item x="158"/>
        <item x="267"/>
        <item x="243"/>
        <item x="227"/>
        <item x="142"/>
        <item x="193"/>
        <item x="206"/>
        <item x="303"/>
        <item x="173"/>
        <item x="306"/>
        <item x="295"/>
        <item x="323"/>
        <item x="262"/>
        <item x="237"/>
        <item x="131"/>
        <item x="280"/>
        <item x="172"/>
        <item x="41"/>
        <item x="256"/>
        <item x="108"/>
        <item x="250"/>
        <item x="66"/>
        <item x="78"/>
        <item x="271"/>
        <item x="7"/>
        <item x="5"/>
        <item x="107"/>
        <item x="79"/>
        <item x="292"/>
        <item x="2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3">
        <item x="2"/>
        <item x="3"/>
        <item x="4"/>
        <item x="1"/>
        <item x="8"/>
        <item x="7"/>
        <item x="5"/>
        <item x="11"/>
        <item x="0"/>
        <item x="9"/>
        <item x="10"/>
        <item x="6"/>
        <item x="12"/>
      </items>
    </pivotField>
  </pivotFields>
  <rowFields count="1">
    <field x="22"/>
  </rowFields>
  <rowItems count="14">
    <i>
      <x/>
    </i>
    <i>
      <x v="1"/>
    </i>
    <i>
      <x v="2"/>
    </i>
    <i>
      <x v="3"/>
    </i>
    <i>
      <x v="4"/>
    </i>
    <i>
      <x v="5"/>
    </i>
    <i>
      <x v="6"/>
    </i>
    <i>
      <x v="7"/>
    </i>
    <i>
      <x v="8"/>
    </i>
    <i>
      <x v="9"/>
    </i>
    <i>
      <x v="10"/>
    </i>
    <i>
      <x v="11"/>
    </i>
    <i>
      <x v="12"/>
    </i>
    <i t="grand">
      <x/>
    </i>
  </rowItems>
  <colItems count="1">
    <i/>
  </colItems>
  <dataFields count="1">
    <dataField name="Sum of Sales" fld="15" baseField="0" baseItem="0"/>
  </dataFields>
  <formats count="1">
    <format dxfId="0">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1">
  <location ref="AD2:AE8" firstHeaderRow="1"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3"/>
        <item x="2"/>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6">
    <i>
      <x/>
    </i>
    <i>
      <x v="1"/>
    </i>
    <i>
      <x v="2"/>
    </i>
    <i>
      <x v="3"/>
    </i>
    <i>
      <x v="4"/>
    </i>
    <i t="grand">
      <x/>
    </i>
  </rowItems>
  <colItems count="1">
    <i/>
  </colItems>
  <dataFields count="1">
    <dataField name="Sum of Sales" fld="15" baseField="0" baseItem="0"/>
  </dataFields>
  <formats count="1">
    <format dxfId="1">
      <pivotArea type="all" dataOnly="0"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1">
  <location ref="G2:H7" firstHeaderRow="1"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h="1" x="4"/>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346">
        <item x="23"/>
        <item x="246"/>
        <item x="251"/>
        <item x="24"/>
        <item x="129"/>
        <item x="314"/>
        <item x="308"/>
        <item x="212"/>
        <item x="292"/>
        <item x="32"/>
        <item x="277"/>
        <item x="295"/>
        <item x="162"/>
        <item x="86"/>
        <item x="328"/>
        <item x="109"/>
        <item x="213"/>
        <item x="37"/>
        <item x="78"/>
        <item x="133"/>
        <item x="28"/>
        <item x="62"/>
        <item x="58"/>
        <item x="75"/>
        <item x="159"/>
        <item x="245"/>
        <item x="184"/>
        <item x="106"/>
        <item x="178"/>
        <item x="80"/>
        <item x="266"/>
        <item x="56"/>
        <item x="169"/>
        <item x="307"/>
        <item x="96"/>
        <item x="67"/>
        <item x="116"/>
        <item x="95"/>
        <item x="224"/>
        <item x="193"/>
        <item x="232"/>
        <item x="87"/>
        <item x="294"/>
        <item x="261"/>
        <item x="144"/>
        <item x="147"/>
        <item x="282"/>
        <item x="298"/>
        <item x="220"/>
        <item x="191"/>
        <item x="211"/>
        <item x="321"/>
        <item x="103"/>
        <item x="265"/>
        <item x="168"/>
        <item x="214"/>
        <item x="42"/>
        <item x="59"/>
        <item x="335"/>
        <item x="299"/>
        <item x="154"/>
        <item x="8"/>
        <item x="146"/>
        <item x="318"/>
        <item x="76"/>
        <item x="92"/>
        <item x="39"/>
        <item x="138"/>
        <item x="323"/>
        <item x="50"/>
        <item x="188"/>
        <item x="122"/>
        <item x="306"/>
        <item x="102"/>
        <item x="148"/>
        <item x="311"/>
        <item x="326"/>
        <item x="229"/>
        <item x="228"/>
        <item x="189"/>
        <item x="33"/>
        <item x="145"/>
        <item x="249"/>
        <item x="60"/>
        <item x="29"/>
        <item x="273"/>
        <item x="234"/>
        <item x="132"/>
        <item x="105"/>
        <item x="176"/>
        <item x="296"/>
        <item x="304"/>
        <item x="253"/>
        <item x="55"/>
        <item x="192"/>
        <item x="276"/>
        <item x="170"/>
        <item x="248"/>
        <item x="149"/>
        <item x="100"/>
        <item x="53"/>
        <item x="225"/>
        <item x="93"/>
        <item x="239"/>
        <item x="68"/>
        <item x="104"/>
        <item x="262"/>
        <item x="69"/>
        <item x="110"/>
        <item x="270"/>
        <item x="52"/>
        <item x="216"/>
        <item x="221"/>
        <item x="94"/>
        <item x="342"/>
        <item x="272"/>
        <item x="70"/>
        <item x="20"/>
        <item x="218"/>
        <item x="14"/>
        <item x="287"/>
        <item x="316"/>
        <item x="128"/>
        <item x="34"/>
        <item x="174"/>
        <item x="278"/>
        <item x="182"/>
        <item x="54"/>
        <item x="312"/>
        <item x="256"/>
        <item x="215"/>
        <item x="172"/>
        <item x="57"/>
        <item x="85"/>
        <item x="327"/>
        <item x="19"/>
        <item x="309"/>
        <item x="17"/>
        <item x="98"/>
        <item x="136"/>
        <item x="141"/>
        <item x="219"/>
        <item x="5"/>
        <item x="268"/>
        <item x="48"/>
        <item x="243"/>
        <item x="73"/>
        <item x="274"/>
        <item x="0"/>
        <item x="143"/>
        <item x="222"/>
        <item x="204"/>
        <item x="41"/>
        <item x="302"/>
        <item x="107"/>
        <item x="4"/>
        <item x="45"/>
        <item x="3"/>
        <item x="237"/>
        <item x="257"/>
        <item x="61"/>
        <item x="231"/>
        <item x="74"/>
        <item x="338"/>
        <item x="119"/>
        <item x="180"/>
        <item x="198"/>
        <item x="97"/>
        <item x="247"/>
        <item x="46"/>
        <item x="165"/>
        <item x="187"/>
        <item x="21"/>
        <item x="125"/>
        <item x="332"/>
        <item x="72"/>
        <item x="175"/>
        <item x="150"/>
        <item x="334"/>
        <item x="118"/>
        <item x="194"/>
        <item x="283"/>
        <item x="49"/>
        <item x="26"/>
        <item x="333"/>
        <item x="108"/>
        <item x="173"/>
        <item x="310"/>
        <item x="202"/>
        <item x="297"/>
        <item x="288"/>
        <item x="155"/>
        <item x="241"/>
        <item x="238"/>
        <item x="337"/>
        <item x="339"/>
        <item x="157"/>
        <item x="115"/>
        <item x="99"/>
        <item x="196"/>
        <item x="258"/>
        <item x="137"/>
        <item x="79"/>
        <item x="113"/>
        <item x="66"/>
        <item x="324"/>
        <item x="158"/>
        <item x="163"/>
        <item x="281"/>
        <item x="280"/>
        <item x="63"/>
        <item x="152"/>
        <item x="269"/>
        <item x="259"/>
        <item x="236"/>
        <item x="254"/>
        <item x="134"/>
        <item x="195"/>
        <item x="185"/>
        <item x="40"/>
        <item x="16"/>
        <item x="71"/>
        <item x="244"/>
        <item x="130"/>
        <item x="330"/>
        <item x="264"/>
        <item x="11"/>
        <item x="223"/>
        <item x="139"/>
        <item x="217"/>
        <item x="319"/>
        <item x="200"/>
        <item x="305"/>
        <item x="10"/>
        <item x="43"/>
        <item x="164"/>
        <item x="120"/>
        <item x="156"/>
        <item x="9"/>
        <item x="12"/>
        <item x="88"/>
        <item x="25"/>
        <item x="329"/>
        <item x="114"/>
        <item x="124"/>
        <item x="267"/>
        <item x="101"/>
        <item x="77"/>
        <item x="127"/>
        <item x="7"/>
        <item x="31"/>
        <item x="227"/>
        <item x="197"/>
        <item x="340"/>
        <item x="121"/>
        <item x="13"/>
        <item x="240"/>
        <item x="206"/>
        <item x="181"/>
        <item x="300"/>
        <item x="112"/>
        <item x="64"/>
        <item x="284"/>
        <item x="183"/>
        <item x="27"/>
        <item x="44"/>
        <item x="252"/>
        <item x="242"/>
        <item x="82"/>
        <item x="81"/>
        <item x="153"/>
        <item x="291"/>
        <item x="36"/>
        <item x="140"/>
        <item x="210"/>
        <item x="117"/>
        <item x="331"/>
        <item x="83"/>
        <item x="343"/>
        <item x="290"/>
        <item x="186"/>
        <item x="166"/>
        <item x="289"/>
        <item x="167"/>
        <item x="199"/>
        <item x="15"/>
        <item x="255"/>
        <item x="260"/>
        <item x="263"/>
        <item x="179"/>
        <item x="313"/>
        <item x="322"/>
        <item x="171"/>
        <item x="285"/>
        <item x="301"/>
        <item x="190"/>
        <item x="336"/>
        <item x="341"/>
        <item x="84"/>
        <item x="160"/>
        <item x="30"/>
        <item x="90"/>
        <item x="151"/>
        <item x="89"/>
        <item x="293"/>
        <item x="201"/>
        <item x="6"/>
        <item x="250"/>
        <item x="207"/>
        <item x="203"/>
        <item x="38"/>
        <item x="209"/>
        <item x="230"/>
        <item x="131"/>
        <item x="286"/>
        <item x="1"/>
        <item x="235"/>
        <item x="233"/>
        <item x="135"/>
        <item x="47"/>
        <item x="275"/>
        <item x="2"/>
        <item x="205"/>
        <item x="303"/>
        <item x="279"/>
        <item x="18"/>
        <item x="317"/>
        <item x="208"/>
        <item x="126"/>
        <item x="111"/>
        <item x="35"/>
        <item x="226"/>
        <item x="325"/>
        <item x="51"/>
        <item x="22"/>
        <item x="177"/>
        <item x="315"/>
        <item x="65"/>
        <item x="271"/>
        <item x="320"/>
        <item x="161"/>
        <item x="142"/>
        <item x="91"/>
        <item x="123"/>
        <item x="34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5">
    <i>
      <x/>
    </i>
    <i>
      <x v="1"/>
    </i>
    <i>
      <x v="2"/>
    </i>
    <i>
      <x v="3"/>
    </i>
    <i t="grand">
      <x/>
    </i>
  </rowItems>
  <colItems count="1">
    <i/>
  </colItems>
  <dataFields count="1">
    <dataField name="Sum of Sales" fld="15" baseField="0" baseItem="0"/>
  </dataFields>
  <formats count="2">
    <format dxfId="3">
      <pivotArea type="all" dataOnly="0" outline="0" fieldPosition="0"/>
    </format>
    <format dxfId="2">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2" name="PivotTable1"/>
  </pivotTables>
  <data>
    <tabular pivotCacheId="1">
      <items count="5">
        <i x="3" s="1"/>
        <i x="1" s="1"/>
        <i x="0" s="1"/>
        <i x="2"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2" name="PivotTable2"/>
  </pivotTables>
  <data>
    <tabular pivotCacheId="1">
      <items count="5">
        <i x="1" s="1"/>
        <i x="0" s="1"/>
        <i x="3"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_BIN_MONTHS" sourceName="DATE_BIN(MONTHS)">
  <pivotTables>
    <pivotTable tabId="12" name="PivotTable3"/>
  </pivotTables>
  <data>
    <tabular pivotCacheId="2">
      <items count="13">
        <i x="2" s="1"/>
        <i x="3" s="1"/>
        <i x="4" s="1"/>
        <i x="1" s="1"/>
        <i x="8" s="1"/>
        <i x="7" s="1"/>
        <i x="5" s="1"/>
        <i x="11" s="1"/>
        <i x="0" s="1"/>
        <i x="9" s="1"/>
        <i x="10" s="1"/>
        <i x="6"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DATE_BIN(MONTHS)" cache="Slicer_DATE_BIN_MONTHS" caption="DATE_BIN(MONTHS)" startItem="2" rowHeight="241300"/>
</slicers>
</file>

<file path=xl/tables/table1.xml><?xml version="1.0" encoding="utf-8"?>
<table xmlns="http://schemas.openxmlformats.org/spreadsheetml/2006/main" id="1" name="Table1" displayName="Table1" ref="X1:X501" totalsRowShown="0" headerRowDxfId="10" tableBorderDxfId="9">
  <autoFilter ref="X1:X501"/>
  <tableColumns count="1">
    <tableColumn id="1" name="Total revenue" dataDxfId="8">
      <calculatedColumnFormula>M2*N2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D1:AD501" totalsRowShown="0" headerRowDxfId="7" tableBorderDxfId="6">
  <autoFilter ref="AD1:AD501"/>
  <tableColumns count="1">
    <tableColumn id="1" name="Discounted amnt" dataDxfId="5">
      <calculatedColumnFormula>(N2*M2)-(M2*N2)*(O2/100)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drawing" Target="../drawings/drawing1.xm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6" Type="http://schemas.openxmlformats.org/officeDocument/2006/relationships/table" Target="../tables/table2.xm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table" Target="../tables/table1.xm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topLeftCell="U1" workbookViewId="0">
      <selection activeCell="V1" sqref="A1:V501"/>
    </sheetView>
  </sheetViews>
  <sheetFormatPr defaultRowHeight="14.25"/>
  <cols>
    <col min="1" max="1" width="10.625" bestFit="1" customWidth="1"/>
    <col min="6" max="6" width="16.875" bestFit="1" customWidth="1"/>
    <col min="15" max="15" width="9.125" style="18"/>
    <col min="22" max="22" width="12.75" bestFit="1" customWidth="1"/>
    <col min="23" max="23" width="21.875" style="24" bestFit="1" customWidth="1"/>
    <col min="24" max="24" width="20.875" style="19" bestFit="1" customWidth="1"/>
    <col min="25" max="25" width="14.875" style="28" bestFit="1" customWidth="1"/>
    <col min="26" max="26" width="26.625" style="28" bestFit="1" customWidth="1"/>
  </cols>
  <sheetData>
    <row r="1" spans="1:26"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c r="W1" s="25" t="s">
        <v>22</v>
      </c>
      <c r="X1" s="26" t="s">
        <v>23</v>
      </c>
      <c r="Y1" s="27" t="s">
        <v>24</v>
      </c>
      <c r="Z1" s="27" t="s">
        <v>25</v>
      </c>
    </row>
    <row r="2" spans="1:26">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c r="W2" s="24" t="e" cm="1">
        <f t="array" aca="1" ref="W2" ca="1">_xlfn.IFS(  OR(Q2&lt;=2, V2="Cancelled"), "BLACKLISTED", AND(P2&gt;=100000, Q2&gt;=4, O2&lt;=10, V2="Completed"), "PLATINUM", AND( P2&lt;=99999, P2&gt;=50000, Q2&gt;=3, V2= "Completed"), "GOLD", AND( P2&lt;50000, V2="Completed"), "SILVER", TRUE, "UNCLASSIFIED")</f>
        <v>#NAME?</v>
      </c>
      <c r="X2" s="19" t="str">
        <f>PROPER(TRIM(F2))</f>
        <v>Kavya Nair</v>
      </c>
      <c r="Y2" s="28" t="str">
        <f>LEFT(X2,3)&amp;RIGHT(A2,4)&amp;LEFT(I2,2)</f>
        <v>Kav0001Hy</v>
      </c>
      <c r="Z2" s="28" t="str">
        <f>IF(IFERROR(FIND("@", T2), 0), TRIM(LOWER(T2)), "Invalid Email" )</f>
        <v>kavya.nair@company.com</v>
      </c>
    </row>
    <row r="3" spans="1:26">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c r="W3" s="24" t="e" cm="1">
        <f t="array" aca="1" ref="W3" ca="1">_xlfn.IFS(  OR(Q3&lt;=2, V3="Cancelled"), "BLACKLISTED", AND(P3&gt;=100000, Q3&gt;=4, O3&lt;=10, V3="Completed"), "PLATINUM", AND( P3&lt;=99999, P3&gt;=50000, Q3&gt;=3, V3= "Completed"), "GOLD", AND( P3&lt;50000, V3="Completed"), "SILVER", TRUE, "UNCLASSIFIED")</f>
        <v>#NAME?</v>
      </c>
      <c r="X3" s="19" t="str">
        <f t="shared" ref="X3:X66" si="0">PROPER(TRIM(F3))</f>
        <v>Kavya Nair</v>
      </c>
      <c r="Y3" s="28" t="str">
        <f t="shared" ref="Y3:Y66" si="1">LEFT(X3,3)&amp;RIGHT(A3,4)&amp;LEFT(I3,2)</f>
        <v>Kav0002De</v>
      </c>
      <c r="Z3" s="28" t="str">
        <f t="shared" ref="Z3:Z66" si="2">IF(IFERROR(FIND("@", T3), 0), TRIM(LOWER(T3)), "Invalid Email" )</f>
        <v>kavya.nair@company.com</v>
      </c>
    </row>
    <row r="4" spans="1:26">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W4" s="24" t="e" cm="1">
        <f t="array" aca="1" ref="W4" ca="1">_xlfn.IFS(  OR(Q4&lt;=2, V4="Cancelled"), "BLACKLISTED", AND(P4&gt;=100000, Q4&gt;=4, O4&lt;=10, V4="Completed"), "PLATINUM", AND( P4&lt;=99999, P4&gt;=50000, Q4&gt;=3, V4= "Completed"), "GOLD", AND( P4&lt;50000, V4="Completed"), "SILVER", TRUE, "UNCLASSIFIED")</f>
        <v>#NAME?</v>
      </c>
      <c r="X4" s="19" t="str">
        <f t="shared" si="0"/>
        <v>Pooja Shah</v>
      </c>
      <c r="Y4" s="28" t="str">
        <f t="shared" si="1"/>
        <v>Poo0003Be</v>
      </c>
      <c r="Z4" s="28" t="str">
        <f t="shared" si="2"/>
        <v>pooja.shah@company.com</v>
      </c>
    </row>
    <row r="5" spans="1:26">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W5" s="24" t="e" cm="1">
        <f t="array" aca="1" ref="W5" ca="1">_xlfn.IFS(  OR(Q5&lt;=2, V5="Cancelled"), "BLACKLISTED", AND(P5&gt;=100000, Q5&gt;=4, O5&lt;=10, V5="Completed"), "PLATINUM", AND( P5&lt;=99999, P5&gt;=50000, Q5&gt;=3, V5= "Completed"), "GOLD", AND( P5&lt;50000, V5="Completed"), "SILVER", TRUE, "UNCLASSIFIED")</f>
        <v>#NAME?</v>
      </c>
      <c r="X5" s="19" t="str">
        <f t="shared" si="0"/>
        <v>Kavya Nair</v>
      </c>
      <c r="Y5" s="28" t="str">
        <f t="shared" si="1"/>
        <v>Kav0002Be</v>
      </c>
      <c r="Z5" s="28" t="str">
        <f t="shared" si="2"/>
        <v>kavya.nair@company.com</v>
      </c>
    </row>
    <row r="6" spans="1:26">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W6" s="24" t="e" cm="1">
        <f t="array" aca="1" ref="W6" ca="1">_xlfn.IFS(  OR(Q6&lt;=2, V6="Cancelled"), "BLACKLISTED", AND(P6&gt;=100000, Q6&gt;=4, O6&lt;=10, V6="Completed"), "PLATINUM", AND( P6&lt;=99999, P6&gt;=50000, Q6&gt;=3, V6= "Completed"), "GOLD", AND( P6&lt;50000, V6="Completed"), "SILVER", TRUE, "UNCLASSIFIED")</f>
        <v>#NAME?</v>
      </c>
      <c r="X6" s="19" t="str">
        <f t="shared" si="0"/>
        <v>Mohit Verma</v>
      </c>
      <c r="Y6" s="28" t="str">
        <f t="shared" si="1"/>
        <v>Moh0005De</v>
      </c>
      <c r="Z6" s="28" t="str">
        <f t="shared" si="2"/>
        <v>mohit.verma@company.com</v>
      </c>
    </row>
    <row r="7" spans="1:26">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W7" s="24" t="e" cm="1">
        <f t="array" aca="1" ref="W7" ca="1">_xlfn.IFS(  OR(Q7&lt;=2, V7="Cancelled"), "BLACKLISTED", AND(P7&gt;=100000, Q7&gt;=4, O7&lt;=10, V7="Completed"), "PLATINUM", AND( P7&lt;=99999, P7&gt;=50000, Q7&gt;=3, V7= "Completed"), "GOLD", AND( P7&lt;50000, V7="Completed"), "SILVER", TRUE, "UNCLASSIFIED")</f>
        <v>#NAME?</v>
      </c>
      <c r="X7" s="19" t="str">
        <f t="shared" si="0"/>
        <v>Arjun Rao</v>
      </c>
      <c r="Y7" s="28" t="str">
        <f t="shared" si="1"/>
        <v>Arj0006Hy</v>
      </c>
      <c r="Z7" s="28" t="str">
        <f t="shared" si="2"/>
        <v>arjun.rao@company.com</v>
      </c>
    </row>
    <row r="8" spans="1:26">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W8" s="24" t="e" cm="1">
        <f t="array" aca="1" ref="W8" ca="1">_xlfn.IFS(  OR(Q8&lt;=2, V8="Cancelled"), "BLACKLISTED", AND(P8&gt;=100000, Q8&gt;=4, O8&lt;=10, V8="Completed"), "PLATINUM", AND( P8&lt;=99999, P8&gt;=50000, Q8&gt;=3, V8= "Completed"), "GOLD", AND( P8&lt;50000, V8="Completed"), "SILVER", TRUE, "UNCLASSIFIED")</f>
        <v>#NAME?</v>
      </c>
      <c r="X8" s="19" t="str">
        <f t="shared" si="0"/>
        <v>Kavya Nair</v>
      </c>
      <c r="Y8" s="28" t="str">
        <f t="shared" si="1"/>
        <v>Kav0007Hy</v>
      </c>
      <c r="Z8" s="28" t="str">
        <f t="shared" si="2"/>
        <v>kavya.nair@company.com</v>
      </c>
    </row>
    <row r="9" spans="1:26">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c r="W9" s="24" t="e" cm="1">
        <f t="array" aca="1" ref="W9" ca="1">_xlfn.IFS(  OR(Q9&lt;=2, V9="Cancelled"), "BLACKLISTED", AND(P9&gt;=100000, Q9&gt;=4, O9&lt;=10, V9="Completed"), "PLATINUM", AND( P9&lt;=99999, P9&gt;=50000, Q9&gt;=3, V9= "Completed"), "GOLD", AND( P9&lt;50000, V9="Completed"), "SILVER", TRUE, "UNCLASSIFIED")</f>
        <v>#NAME?</v>
      </c>
      <c r="X9" s="19" t="str">
        <f t="shared" si="0"/>
        <v>Priya Patel</v>
      </c>
      <c r="Y9" s="28" t="str">
        <f t="shared" si="1"/>
        <v>Pri0008Mu</v>
      </c>
      <c r="Z9" s="28" t="str">
        <f t="shared" si="2"/>
        <v>priya.patel@company.com</v>
      </c>
    </row>
    <row r="10" spans="1:26">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W10" s="24" t="e" cm="1">
        <f t="array" aca="1" ref="W10" ca="1">_xlfn.IFS(  OR(Q10&lt;=2, V10="Cancelled"), "BLACKLISTED", AND(P10&gt;=100000, Q10&gt;=4, O10&lt;=10, V10="Completed"), "PLATINUM", AND( P10&lt;=99999, P10&gt;=50000, Q10&gt;=3, V10= "Completed"), "GOLD", AND( P10&lt;50000, V10="Completed"), "SILVER", TRUE, "UNCLASSIFIED")</f>
        <v>#NAME?</v>
      </c>
      <c r="X10" s="19" t="str">
        <f t="shared" si="0"/>
        <v>Kavya Nair</v>
      </c>
      <c r="Y10" s="28" t="str">
        <f t="shared" si="1"/>
        <v>Kav0009Pu</v>
      </c>
      <c r="Z10" s="28" t="str">
        <f t="shared" si="2"/>
        <v>kavya.nair@company.com</v>
      </c>
    </row>
    <row r="11" spans="1:26">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W11" s="24" t="e" cm="1">
        <f t="array" aca="1" ref="W11" ca="1">_xlfn.IFS(  OR(Q11&lt;=2, V11="Cancelled"), "BLACKLISTED", AND(P11&gt;=100000, Q11&gt;=4, O11&lt;=10, V11="Completed"), "PLATINUM", AND( P11&lt;=99999, P11&gt;=50000, Q11&gt;=3, V11= "Completed"), "GOLD", AND( P11&lt;50000, V11="Completed"), "SILVER", TRUE, "UNCLASSIFIED")</f>
        <v>#NAME?</v>
      </c>
      <c r="X11" s="19" t="str">
        <f t="shared" si="0"/>
        <v>Priya Patel</v>
      </c>
      <c r="Y11" s="28" t="str">
        <f t="shared" si="1"/>
        <v>Pri0010Mu</v>
      </c>
      <c r="Z11" s="28" t="str">
        <f t="shared" si="2"/>
        <v>priya.patel@company.com</v>
      </c>
    </row>
    <row r="12" spans="1:26">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c r="W12" s="24" t="e" cm="1">
        <f t="array" aca="1" ref="W12" ca="1">_xlfn.IFS(  OR(Q12&lt;=2, V12="Cancelled"), "BLACKLISTED", AND(P12&gt;=100000, Q12&gt;=4, O12&lt;=10, V12="Completed"), "PLATINUM", AND( P12&lt;=99999, P12&gt;=50000, Q12&gt;=3, V12= "Completed"), "GOLD", AND( P12&lt;50000, V12="Completed"), "SILVER", TRUE, "UNCLASSIFIED")</f>
        <v>#NAME?</v>
      </c>
      <c r="X12" s="19" t="str">
        <f t="shared" si="0"/>
        <v>Rohit Singh</v>
      </c>
      <c r="Y12" s="28" t="str">
        <f t="shared" si="1"/>
        <v>Roh0011De</v>
      </c>
      <c r="Z12" s="28" t="str">
        <f t="shared" si="2"/>
        <v>rohit.singh@company.com</v>
      </c>
    </row>
    <row r="13" spans="1:26">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W13" s="24" t="e" cm="1">
        <f t="array" aca="1" ref="W13" ca="1">_xlfn.IFS(  OR(Q13&lt;=2, V13="Cancelled"), "BLACKLISTED", AND(P13&gt;=100000, Q13&gt;=4, O13&lt;=10, V13="Completed"), "PLATINUM", AND( P13&lt;=99999, P13&gt;=50000, Q13&gt;=3, V13= "Completed"), "GOLD", AND( P13&lt;50000, V13="Completed"), "SILVER", TRUE, "UNCLASSIFIED")</f>
        <v>#NAME?</v>
      </c>
      <c r="X13" s="19" t="str">
        <f t="shared" si="0"/>
        <v>Kavya Nair</v>
      </c>
      <c r="Y13" s="28" t="str">
        <f t="shared" si="1"/>
        <v>Kav0012Ah</v>
      </c>
      <c r="Z13" s="28" t="str">
        <f t="shared" si="2"/>
        <v>kavya.nair@company.com</v>
      </c>
    </row>
    <row r="14" spans="1:26">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W14" s="24" t="e" cm="1">
        <f t="array" aca="1" ref="W14" ca="1">_xlfn.IFS(  OR(Q14&lt;=2, V14="Cancelled"), "BLACKLISTED", AND(P14&gt;=100000, Q14&gt;=4, O14&lt;=10, V14="Completed"), "PLATINUM", AND( P14&lt;=99999, P14&gt;=50000, Q14&gt;=3, V14= "Completed"), "GOLD", AND( P14&lt;50000, V14="Completed"), "SILVER", TRUE, "UNCLASSIFIED")</f>
        <v>#NAME?</v>
      </c>
      <c r="X14" s="19" t="str">
        <f t="shared" si="0"/>
        <v>Priya Patel</v>
      </c>
      <c r="Y14" s="28" t="str">
        <f t="shared" si="1"/>
        <v>Pri0013Pu</v>
      </c>
      <c r="Z14" s="28" t="str">
        <f t="shared" si="2"/>
        <v>priya.patel@company.com</v>
      </c>
    </row>
    <row r="15" spans="1:26">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c r="W15" s="24" t="e" cm="1">
        <f t="array" aca="1" ref="W15" ca="1">_xlfn.IFS(  OR(Q15&lt;=2, V15="Cancelled"), "BLACKLISTED", AND(P15&gt;=100000, Q15&gt;=4, O15&lt;=10, V15="Completed"), "PLATINUM", AND( P15&lt;=99999, P15&gt;=50000, Q15&gt;=3, V15= "Completed"), "GOLD", AND( P15&lt;50000, V15="Completed"), "SILVER", TRUE, "UNCLASSIFIED")</f>
        <v>#NAME?</v>
      </c>
      <c r="X15" s="19" t="str">
        <f t="shared" si="0"/>
        <v>Rohit Singh</v>
      </c>
      <c r="Y15" s="28" t="str">
        <f t="shared" si="1"/>
        <v>Roh0014Mu</v>
      </c>
      <c r="Z15" s="28" t="str">
        <f t="shared" si="2"/>
        <v>rohit.singh@company.com</v>
      </c>
    </row>
    <row r="16" spans="1:26">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W16" s="24" t="e" cm="1">
        <f t="array" aca="1" ref="W16" ca="1">_xlfn.IFS(  OR(Q16&lt;=2, V16="Cancelled"), "BLACKLISTED", AND(P16&gt;=100000, Q16&gt;=4, O16&lt;=10, V16="Completed"), "PLATINUM", AND( P16&lt;=99999, P16&gt;=50000, Q16&gt;=3, V16= "Completed"), "GOLD", AND( P16&lt;50000, V16="Completed"), "SILVER", TRUE, "UNCLASSIFIED")</f>
        <v>#NAME?</v>
      </c>
      <c r="X16" s="19" t="str">
        <f t="shared" si="0"/>
        <v>Kavya Nair</v>
      </c>
      <c r="Y16" s="28" t="str">
        <f t="shared" si="1"/>
        <v>Kav0015Mu</v>
      </c>
      <c r="Z16" s="28" t="str">
        <f t="shared" si="2"/>
        <v>kavya.nair@company.com</v>
      </c>
    </row>
    <row r="17" spans="1:26">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W17" s="24" t="e" cm="1">
        <f t="array" aca="1" ref="W17" ca="1">_xlfn.IFS(  OR(Q17&lt;=2, V17="Cancelled"), "BLACKLISTED", AND(P17&gt;=100000, Q17&gt;=4, O17&lt;=10, V17="Completed"), "PLATINUM", AND( P17&lt;=99999, P17&gt;=50000, Q17&gt;=3, V17= "Completed"), "GOLD", AND( P17&lt;50000, V17="Completed"), "SILVER", TRUE, "UNCLASSIFIED")</f>
        <v>#NAME?</v>
      </c>
      <c r="X17" s="19" t="str">
        <f t="shared" si="0"/>
        <v>Pooja Shah</v>
      </c>
      <c r="Y17" s="28" t="str">
        <f t="shared" si="1"/>
        <v>Poo0016Hy</v>
      </c>
      <c r="Z17" s="28" t="str">
        <f t="shared" si="2"/>
        <v>Invalid Email</v>
      </c>
    </row>
    <row r="18" spans="1:26">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c r="W18" s="24" t="e" cm="1">
        <f t="array" aca="1" ref="W18" ca="1">_xlfn.IFS(  OR(Q18&lt;=2, V18="Cancelled"), "BLACKLISTED", AND(P18&gt;=100000, Q18&gt;=4, O18&lt;=10, V18="Completed"), "PLATINUM", AND( P18&lt;=99999, P18&gt;=50000, Q18&gt;=3, V18= "Completed"), "GOLD", AND( P18&lt;50000, V18="Completed"), "SILVER", TRUE, "UNCLASSIFIED")</f>
        <v>#NAME?</v>
      </c>
      <c r="X18" s="19" t="str">
        <f t="shared" si="0"/>
        <v>Amit Sharma</v>
      </c>
      <c r="Y18" s="28" t="str">
        <f t="shared" si="1"/>
        <v>Ami0017Pu</v>
      </c>
      <c r="Z18" s="28" t="str">
        <f t="shared" si="2"/>
        <v>anita.gupta@company.com</v>
      </c>
    </row>
    <row r="19" spans="1:26">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c r="W19" s="24" t="e" cm="1">
        <f t="array" aca="1" ref="W19" ca="1">_xlfn.IFS(  OR(Q19&lt;=2, V19="Cancelled"), "BLACKLISTED", AND(P19&gt;=100000, Q19&gt;=4, O19&lt;=10, V19="Completed"), "PLATINUM", AND( P19&lt;=99999, P19&gt;=50000, Q19&gt;=3, V19= "Completed"), "GOLD", AND( P19&lt;50000, V19="Completed"), "SILVER", TRUE, "UNCLASSIFIED")</f>
        <v>#NAME?</v>
      </c>
      <c r="X19" s="19" t="str">
        <f t="shared" si="0"/>
        <v>Arjun Rao</v>
      </c>
      <c r="Y19" s="28" t="str">
        <f t="shared" si="1"/>
        <v>Arj0018Ah</v>
      </c>
      <c r="Z19" s="28" t="str">
        <f t="shared" si="2"/>
        <v>arjun.rao@company.com</v>
      </c>
    </row>
    <row r="20" spans="1:26">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c r="W20" s="24" t="e" cm="1">
        <f t="array" aca="1" ref="W20" ca="1">_xlfn.IFS(  OR(Q20&lt;=2, V20="Cancelled"), "BLACKLISTED", AND(P20&gt;=100000, Q20&gt;=4, O20&lt;=10, V20="Completed"), "PLATINUM", AND( P20&lt;=99999, P20&gt;=50000, Q20&gt;=3, V20= "Completed"), "GOLD", AND( P20&lt;50000, V20="Completed"), "SILVER", TRUE, "UNCLASSIFIED")</f>
        <v>#NAME?</v>
      </c>
      <c r="X20" s="19" t="str">
        <f t="shared" si="0"/>
        <v>Arjun Rao</v>
      </c>
      <c r="Y20" s="28" t="str">
        <f t="shared" si="1"/>
        <v>Arj0019Mu</v>
      </c>
      <c r="Z20" s="28" t="str">
        <f t="shared" si="2"/>
        <v>arjun.rao@company.com</v>
      </c>
    </row>
    <row r="21" spans="1:26">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c r="W21" s="24" t="e" cm="1">
        <f t="array" aca="1" ref="W21" ca="1">_xlfn.IFS(  OR(Q21&lt;=2, V21="Cancelled"), "BLACKLISTED", AND(P21&gt;=100000, Q21&gt;=4, O21&lt;=10, V21="Completed"), "PLATINUM", AND( P21&lt;=99999, P21&gt;=50000, Q21&gt;=3, V21= "Completed"), "GOLD", AND( P21&lt;50000, V21="Completed"), "SILVER", TRUE, "UNCLASSIFIED")</f>
        <v>#NAME?</v>
      </c>
      <c r="X21" s="19" t="str">
        <f t="shared" si="0"/>
        <v>Kavya Nair</v>
      </c>
      <c r="Y21" s="28" t="str">
        <f t="shared" si="1"/>
        <v>Kav0020Ah</v>
      </c>
      <c r="Z21" s="28" t="str">
        <f t="shared" si="2"/>
        <v>kavya.nair@company.com</v>
      </c>
    </row>
    <row r="22" spans="1:26">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c r="W22" s="24" t="e" cm="1">
        <f t="array" aca="1" ref="W22" ca="1">_xlfn.IFS(  OR(Q22&lt;=2, V22="Cancelled"), "BLACKLISTED", AND(P22&gt;=100000, Q22&gt;=4, O22&lt;=10, V22="Completed"), "PLATINUM", AND( P22&lt;=99999, P22&gt;=50000, Q22&gt;=3, V22= "Completed"), "GOLD", AND( P22&lt;50000, V22="Completed"), "SILVER", TRUE, "UNCLASSIFIED")</f>
        <v>#NAME?</v>
      </c>
      <c r="X22" s="19" t="str">
        <f t="shared" si="0"/>
        <v>Rohit Singh</v>
      </c>
      <c r="Y22" s="28" t="str">
        <f t="shared" si="1"/>
        <v>Roh0021De</v>
      </c>
      <c r="Z22" s="28" t="str">
        <f t="shared" si="2"/>
        <v>rohit.singh@company.com</v>
      </c>
    </row>
    <row r="23" spans="1:26">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c r="W23" s="24" t="e" cm="1">
        <f t="array" aca="1" ref="W23" ca="1">_xlfn.IFS(  OR(Q23&lt;=2, V23="Cancelled"), "BLACKLISTED", AND(P23&gt;=100000, Q23&gt;=4, O23&lt;=10, V23="Completed"), "PLATINUM", AND( P23&lt;=99999, P23&gt;=50000, Q23&gt;=3, V23= "Completed"), "GOLD", AND( P23&lt;50000, V23="Completed"), "SILVER", TRUE, "UNCLASSIFIED")</f>
        <v>#NAME?</v>
      </c>
      <c r="X23" s="19" t="str">
        <f t="shared" si="0"/>
        <v>Kavya Nair</v>
      </c>
      <c r="Y23" s="28" t="str">
        <f t="shared" si="1"/>
        <v>Kav0022Be</v>
      </c>
      <c r="Z23" s="28" t="str">
        <f t="shared" si="2"/>
        <v>kavya.nair@company.com</v>
      </c>
    </row>
    <row r="24" spans="1:26">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c r="W24" s="24" t="e" cm="1">
        <f t="array" aca="1" ref="W24" ca="1">_xlfn.IFS(  OR(Q24&lt;=2, V24="Cancelled"), "BLACKLISTED", AND(P24&gt;=100000, Q24&gt;=4, O24&lt;=10, V24="Completed"), "PLATINUM", AND( P24&lt;=99999, P24&gt;=50000, Q24&gt;=3, V24= "Completed"), "GOLD", AND( P24&lt;50000, V24="Completed"), "SILVER", TRUE, "UNCLASSIFIED")</f>
        <v>#NAME?</v>
      </c>
      <c r="X24" s="19" t="str">
        <f t="shared" si="0"/>
        <v>Priya Patel</v>
      </c>
      <c r="Y24" s="28" t="str">
        <f t="shared" si="1"/>
        <v>Pri0023Ja</v>
      </c>
      <c r="Z24" s="28" t="str">
        <f t="shared" si="2"/>
        <v>priya.patel@company.com</v>
      </c>
    </row>
    <row r="25" spans="1:26">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c r="W25" s="24" t="e" cm="1">
        <f t="array" aca="1" ref="W25" ca="1">_xlfn.IFS(  OR(Q25&lt;=2, V25="Cancelled"), "BLACKLISTED", AND(P25&gt;=100000, Q25&gt;=4, O25&lt;=10, V25="Completed"), "PLATINUM", AND( P25&lt;=99999, P25&gt;=50000, Q25&gt;=3, V25= "Completed"), "GOLD", AND( P25&lt;50000, V25="Completed"), "SILVER", TRUE, "UNCLASSIFIED")</f>
        <v>#NAME?</v>
      </c>
      <c r="X25" s="19" t="str">
        <f t="shared" si="0"/>
        <v>Mohit Verma</v>
      </c>
      <c r="Y25" s="28" t="str">
        <f t="shared" si="1"/>
        <v>Moh0024Be</v>
      </c>
      <c r="Z25" s="28" t="str">
        <f t="shared" si="2"/>
        <v>mohit.verma@company.com</v>
      </c>
    </row>
    <row r="26" spans="1:26">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c r="W26" s="24" t="e" cm="1">
        <f t="array" aca="1" ref="W26" ca="1">_xlfn.IFS(  OR(Q26&lt;=2, V26="Cancelled"), "BLACKLISTED", AND(P26&gt;=100000, Q26&gt;=4, O26&lt;=10, V26="Completed"), "PLATINUM", AND( P26&lt;=99999, P26&gt;=50000, Q26&gt;=3, V26= "Completed"), "GOLD", AND( P26&lt;50000, V26="Completed"), "SILVER", TRUE, "UNCLASSIFIED")</f>
        <v>#NAME?</v>
      </c>
      <c r="X26" s="19" t="str">
        <f t="shared" si="0"/>
        <v>Vikas Mehta</v>
      </c>
      <c r="Y26" s="28" t="str">
        <f t="shared" si="1"/>
        <v>Vik0025Mu</v>
      </c>
      <c r="Z26" s="28" t="str">
        <f t="shared" si="2"/>
        <v>vikas.mehta@company.com</v>
      </c>
    </row>
    <row r="27" spans="1:26">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c r="W27" s="24" t="e" cm="1">
        <f t="array" aca="1" ref="W27" ca="1">_xlfn.IFS(  OR(Q27&lt;=2, V27="Cancelled"), "BLACKLISTED", AND(P27&gt;=100000, Q27&gt;=4, O27&lt;=10, V27="Completed"), "PLATINUM", AND( P27&lt;=99999, P27&gt;=50000, Q27&gt;=3, V27= "Completed"), "GOLD", AND( P27&lt;50000, V27="Completed"), "SILVER", TRUE, "UNCLASSIFIED")</f>
        <v>#NAME?</v>
      </c>
      <c r="X27" s="19" t="str">
        <f t="shared" si="0"/>
        <v>Arjun Rao</v>
      </c>
      <c r="Y27" s="28" t="str">
        <f t="shared" si="1"/>
        <v>Arj0026Mu</v>
      </c>
      <c r="Z27" s="28" t="str">
        <f t="shared" si="2"/>
        <v>arjun.rao@company.com</v>
      </c>
    </row>
    <row r="28" spans="1:26">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c r="W28" s="24" t="e" cm="1">
        <f t="array" aca="1" ref="W28" ca="1">_xlfn.IFS(  OR(Q28&lt;=2, V28="Cancelled"), "BLACKLISTED", AND(P28&gt;=100000, Q28&gt;=4, O28&lt;=10, V28="Completed"), "PLATINUM", AND( P28&lt;=99999, P28&gt;=50000, Q28&gt;=3, V28= "Completed"), "GOLD", AND( P28&lt;50000, V28="Completed"), "SILVER", TRUE, "UNCLASSIFIED")</f>
        <v>#NAME?</v>
      </c>
      <c r="X28" s="19" t="str">
        <f t="shared" si="0"/>
        <v>Mohit Verma</v>
      </c>
      <c r="Y28" s="28" t="str">
        <f t="shared" si="1"/>
        <v>Moh0027Ah</v>
      </c>
      <c r="Z28" s="28" t="str">
        <f t="shared" si="2"/>
        <v>mohit.verma@company.com</v>
      </c>
    </row>
    <row r="29" spans="1:26">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c r="W29" s="24" t="e" cm="1">
        <f t="array" aca="1" ref="W29" ca="1">_xlfn.IFS(  OR(Q29&lt;=2, V29="Cancelled"), "BLACKLISTED", AND(P29&gt;=100000, Q29&gt;=4, O29&lt;=10, V29="Completed"), "PLATINUM", AND( P29&lt;=99999, P29&gt;=50000, Q29&gt;=3, V29= "Completed"), "GOLD", AND( P29&lt;50000, V29="Completed"), "SILVER", TRUE, "UNCLASSIFIED")</f>
        <v>#NAME?</v>
      </c>
      <c r="X29" s="19" t="str">
        <f t="shared" si="0"/>
        <v>Kavya Nair</v>
      </c>
      <c r="Y29" s="28" t="str">
        <f t="shared" si="1"/>
        <v>Kav0028Ah</v>
      </c>
      <c r="Z29" s="28" t="str">
        <f t="shared" si="2"/>
        <v>kavya.nair@company.com</v>
      </c>
    </row>
    <row r="30" spans="1:26">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c r="W30" s="24" t="e" cm="1">
        <f t="array" aca="1" ref="W30" ca="1">_xlfn.IFS(  OR(Q30&lt;=2, V30="Cancelled"), "BLACKLISTED", AND(P30&gt;=100000, Q30&gt;=4, O30&lt;=10, V30="Completed"), "PLATINUM", AND( P30&lt;=99999, P30&gt;=50000, Q30&gt;=3, V30= "Completed"), "GOLD", AND( P30&lt;50000, V30="Completed"), "SILVER", TRUE, "UNCLASSIFIED")</f>
        <v>#NAME?</v>
      </c>
      <c r="X30" s="19" t="str">
        <f t="shared" si="0"/>
        <v>Rohit Singh</v>
      </c>
      <c r="Y30" s="28" t="str">
        <f t="shared" si="1"/>
        <v>Roh0029Pu</v>
      </c>
      <c r="Z30" s="28" t="str">
        <f t="shared" si="2"/>
        <v>rohit.singh@company.com</v>
      </c>
    </row>
    <row r="31" spans="1:26">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c r="W31" s="24" t="e" cm="1">
        <f t="array" aca="1" ref="W31" ca="1">_xlfn.IFS(  OR(Q31&lt;=2, V31="Cancelled"), "BLACKLISTED", AND(P31&gt;=100000, Q31&gt;=4, O31&lt;=10, V31="Completed"), "PLATINUM", AND( P31&lt;=99999, P31&gt;=50000, Q31&gt;=3, V31= "Completed"), "GOLD", AND( P31&lt;50000, V31="Completed"), "SILVER", TRUE, "UNCLASSIFIED")</f>
        <v>#NAME?</v>
      </c>
      <c r="X31" s="19" t="str">
        <f t="shared" si="0"/>
        <v>Sneha Joshi</v>
      </c>
      <c r="Y31" s="28" t="str">
        <f t="shared" si="1"/>
        <v>Sne0030Pu</v>
      </c>
      <c r="Z31" s="28" t="str">
        <f t="shared" si="2"/>
        <v>sneha.joshi@company.com</v>
      </c>
    </row>
    <row r="32" spans="1:26">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c r="W32" s="24" t="e" cm="1">
        <f t="array" aca="1" ref="W32" ca="1">_xlfn.IFS(  OR(Q32&lt;=2, V32="Cancelled"), "BLACKLISTED", AND(P32&gt;=100000, Q32&gt;=4, O32&lt;=10, V32="Completed"), "PLATINUM", AND( P32&lt;=99999, P32&gt;=50000, Q32&gt;=3, V32= "Completed"), "GOLD", AND( P32&lt;50000, V32="Completed"), "SILVER", TRUE, "UNCLASSIFIED")</f>
        <v>#NAME?</v>
      </c>
      <c r="X32" s="19" t="str">
        <f t="shared" si="0"/>
        <v>Kavya Nair</v>
      </c>
      <c r="Y32" s="28" t="str">
        <f t="shared" si="1"/>
        <v>Kav0031Be</v>
      </c>
      <c r="Z32" s="28" t="str">
        <f t="shared" si="2"/>
        <v>kavya.nair@company.com</v>
      </c>
    </row>
    <row r="33" spans="1:26">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c r="W33" s="24" t="e" cm="1">
        <f t="array" aca="1" ref="W33" ca="1">_xlfn.IFS(  OR(Q33&lt;=2, V33="Cancelled"), "BLACKLISTED", AND(P33&gt;=100000, Q33&gt;=4, O33&lt;=10, V33="Completed"), "PLATINUM", AND( P33&lt;=99999, P33&gt;=50000, Q33&gt;=3, V33= "Completed"), "GOLD", AND( P33&lt;50000, V33="Completed"), "SILVER", TRUE, "UNCLASSIFIED")</f>
        <v>#NAME?</v>
      </c>
      <c r="X33" s="19" t="str">
        <f t="shared" si="0"/>
        <v>Priya Patel</v>
      </c>
      <c r="Y33" s="28" t="str">
        <f t="shared" si="1"/>
        <v>Pri0032Ah</v>
      </c>
      <c r="Z33" s="28" t="str">
        <f t="shared" si="2"/>
        <v>priya.patel@company.com</v>
      </c>
    </row>
    <row r="34" spans="1:26">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c r="W34" s="24" t="e" cm="1">
        <f t="array" aca="1" ref="W34" ca="1">_xlfn.IFS(  OR(Q34&lt;=2, V34="Cancelled"), "BLACKLISTED", AND(P34&gt;=100000, Q34&gt;=4, O34&lt;=10, V34="Completed"), "PLATINUM", AND( P34&lt;=99999, P34&gt;=50000, Q34&gt;=3, V34= "Completed"), "GOLD", AND( P34&lt;50000, V34="Completed"), "SILVER", TRUE, "UNCLASSIFIED")</f>
        <v>#NAME?</v>
      </c>
      <c r="X34" s="19" t="str">
        <f t="shared" si="0"/>
        <v>Sneha Joshi</v>
      </c>
      <c r="Y34" s="28" t="str">
        <f t="shared" si="1"/>
        <v>Sne0033Be</v>
      </c>
      <c r="Z34" s="28" t="str">
        <f t="shared" si="2"/>
        <v>sneha.joshi@company.com</v>
      </c>
    </row>
    <row r="35" spans="1:26">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c r="W35" s="24" t="e" cm="1">
        <f t="array" aca="1" ref="W35" ca="1">_xlfn.IFS(  OR(Q35&lt;=2, V35="Cancelled"), "BLACKLISTED", AND(P35&gt;=100000, Q35&gt;=4, O35&lt;=10, V35="Completed"), "PLATINUM", AND( P35&lt;=99999, P35&gt;=50000, Q35&gt;=3, V35= "Completed"), "GOLD", AND( P35&lt;50000, V35="Completed"), "SILVER", TRUE, "UNCLASSIFIED")</f>
        <v>#NAME?</v>
      </c>
      <c r="X35" s="19" t="str">
        <f t="shared" si="0"/>
        <v>Arjun Rao</v>
      </c>
      <c r="Y35" s="28" t="str">
        <f t="shared" si="1"/>
        <v>Arj0034Ah</v>
      </c>
      <c r="Z35" s="28" t="str">
        <f t="shared" si="2"/>
        <v>Invalid Email</v>
      </c>
    </row>
    <row r="36" spans="1:26">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c r="W36" s="24" t="e" cm="1">
        <f t="array" aca="1" ref="W36" ca="1">_xlfn.IFS(  OR(Q36&lt;=2, V36="Cancelled"), "BLACKLISTED", AND(P36&gt;=100000, Q36&gt;=4, O36&lt;=10, V36="Completed"), "PLATINUM", AND( P36&lt;=99999, P36&gt;=50000, Q36&gt;=3, V36= "Completed"), "GOLD", AND( P36&lt;50000, V36="Completed"), "SILVER", TRUE, "UNCLASSIFIED")</f>
        <v>#NAME?</v>
      </c>
      <c r="X36" s="19" t="str">
        <f t="shared" si="0"/>
        <v>Rohit Singh</v>
      </c>
      <c r="Y36" s="28" t="str">
        <f t="shared" si="1"/>
        <v>Roh0035Pu</v>
      </c>
      <c r="Z36" s="28" t="str">
        <f t="shared" si="2"/>
        <v>rohit.singh@company.com</v>
      </c>
    </row>
    <row r="37" spans="1:26">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c r="W37" s="24" t="e" cm="1">
        <f t="array" aca="1" ref="W37" ca="1">_xlfn.IFS(  OR(Q37&lt;=2, V37="Cancelled"), "BLACKLISTED", AND(P37&gt;=100000, Q37&gt;=4, O37&lt;=10, V37="Completed"), "PLATINUM", AND( P37&lt;=99999, P37&gt;=50000, Q37&gt;=3, V37= "Completed"), "GOLD", AND( P37&lt;50000, V37="Completed"), "SILVER", TRUE, "UNCLASSIFIED")</f>
        <v>#NAME?</v>
      </c>
      <c r="X37" s="19" t="str">
        <f t="shared" si="0"/>
        <v>Rohit Singh</v>
      </c>
      <c r="Y37" s="28" t="str">
        <f t="shared" si="1"/>
        <v>Roh0036Be</v>
      </c>
      <c r="Z37" s="28" t="str">
        <f t="shared" si="2"/>
        <v>rohit.singh@company.com</v>
      </c>
    </row>
    <row r="38" spans="1:26">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c r="W38" s="24" t="e" cm="1">
        <f t="array" aca="1" ref="W38" ca="1">_xlfn.IFS(  OR(Q38&lt;=2, V38="Cancelled"), "BLACKLISTED", AND(P38&gt;=100000, Q38&gt;=4, O38&lt;=10, V38="Completed"), "PLATINUM", AND( P38&lt;=99999, P38&gt;=50000, Q38&gt;=3, V38= "Completed"), "GOLD", AND( P38&lt;50000, V38="Completed"), "SILVER", TRUE, "UNCLASSIFIED")</f>
        <v>#NAME?</v>
      </c>
      <c r="X38" s="19" t="str">
        <f t="shared" si="0"/>
        <v>Mohit Verma</v>
      </c>
      <c r="Y38" s="28" t="str">
        <f t="shared" si="1"/>
        <v>Moh0037Ko</v>
      </c>
      <c r="Z38" s="28" t="str">
        <f t="shared" si="2"/>
        <v>mohit.verma@company.com</v>
      </c>
    </row>
    <row r="39" spans="1:26">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c r="W39" s="24" t="e" cm="1">
        <f t="array" aca="1" ref="W39" ca="1">_xlfn.IFS(  OR(Q39&lt;=2, V39="Cancelled"), "BLACKLISTED", AND(P39&gt;=100000, Q39&gt;=4, O39&lt;=10, V39="Completed"), "PLATINUM", AND( P39&lt;=99999, P39&gt;=50000, Q39&gt;=3, V39= "Completed"), "GOLD", AND( P39&lt;50000, V39="Completed"), "SILVER", TRUE, "UNCLASSIFIED")</f>
        <v>#NAME?</v>
      </c>
      <c r="X39" s="19" t="str">
        <f t="shared" si="0"/>
        <v>Sneha Joshi</v>
      </c>
      <c r="Y39" s="28" t="str">
        <f t="shared" si="1"/>
        <v>Sne0038De</v>
      </c>
      <c r="Z39" s="28" t="str">
        <f t="shared" si="2"/>
        <v>sneha.joshi@company.com</v>
      </c>
    </row>
    <row r="40" spans="1:26">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c r="W40" s="24" t="e" cm="1">
        <f t="array" aca="1" ref="W40" ca="1">_xlfn.IFS(  OR(Q40&lt;=2, V40="Cancelled"), "BLACKLISTED", AND(P40&gt;=100000, Q40&gt;=4, O40&lt;=10, V40="Completed"), "PLATINUM", AND( P40&lt;=99999, P40&gt;=50000, Q40&gt;=3, V40= "Completed"), "GOLD", AND( P40&lt;50000, V40="Completed"), "SILVER", TRUE, "UNCLASSIFIED")</f>
        <v>#NAME?</v>
      </c>
      <c r="X40" s="19" t="str">
        <f t="shared" si="0"/>
        <v>Kavya Nair</v>
      </c>
      <c r="Y40" s="28" t="str">
        <f t="shared" si="1"/>
        <v>Kav0039Pu</v>
      </c>
      <c r="Z40" s="28" t="str">
        <f t="shared" si="2"/>
        <v>kavya.nair@company.com</v>
      </c>
    </row>
    <row r="41" spans="1:26">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c r="W41" s="24" t="e" cm="1">
        <f t="array" aca="1" ref="W41" ca="1">_xlfn.IFS(  OR(Q41&lt;=2, V41="Cancelled"), "BLACKLISTED", AND(P41&gt;=100000, Q41&gt;=4, O41&lt;=10, V41="Completed"), "PLATINUM", AND( P41&lt;=99999, P41&gt;=50000, Q41&gt;=3, V41= "Completed"), "GOLD", AND( P41&lt;50000, V41="Completed"), "SILVER", TRUE, "UNCLASSIFIED")</f>
        <v>#NAME?</v>
      </c>
      <c r="X41" s="19" t="str">
        <f t="shared" si="0"/>
        <v>Pooja Shah</v>
      </c>
      <c r="Y41" s="28" t="str">
        <f t="shared" si="1"/>
        <v>Poo0040Mu</v>
      </c>
      <c r="Z41" s="28" t="str">
        <f t="shared" si="2"/>
        <v>pooja.shah@company.com</v>
      </c>
    </row>
    <row r="42" spans="1:26">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c r="W42" s="24" t="e" cm="1">
        <f t="array" aca="1" ref="W42" ca="1">_xlfn.IFS(  OR(Q42&lt;=2, V42="Cancelled"), "BLACKLISTED", AND(P42&gt;=100000, Q42&gt;=4, O42&lt;=10, V42="Completed"), "PLATINUM", AND( P42&lt;=99999, P42&gt;=50000, Q42&gt;=3, V42= "Completed"), "GOLD", AND( P42&lt;50000, V42="Completed"), "SILVER", TRUE, "UNCLASSIFIED")</f>
        <v>#NAME?</v>
      </c>
      <c r="X42" s="19" t="str">
        <f t="shared" si="0"/>
        <v>Arjun Rao</v>
      </c>
      <c r="Y42" s="28" t="str">
        <f t="shared" si="1"/>
        <v>Arj0041Be</v>
      </c>
      <c r="Z42" s="28" t="str">
        <f t="shared" si="2"/>
        <v>arjun.rao@company.com</v>
      </c>
    </row>
    <row r="43" spans="1:26">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c r="W43" s="24" t="e" cm="1">
        <f t="array" aca="1" ref="W43" ca="1">_xlfn.IFS(  OR(Q43&lt;=2, V43="Cancelled"), "BLACKLISTED", AND(P43&gt;=100000, Q43&gt;=4, O43&lt;=10, V43="Completed"), "PLATINUM", AND( P43&lt;=99999, P43&gt;=50000, Q43&gt;=3, V43= "Completed"), "GOLD", AND( P43&lt;50000, V43="Completed"), "SILVER", TRUE, "UNCLASSIFIED")</f>
        <v>#NAME?</v>
      </c>
      <c r="X43" s="19" t="str">
        <f t="shared" si="0"/>
        <v>Pooja Shah</v>
      </c>
      <c r="Y43" s="28" t="str">
        <f t="shared" si="1"/>
        <v>Poo0042Pu</v>
      </c>
      <c r="Z43" s="28" t="str">
        <f t="shared" si="2"/>
        <v>pooja.shah@company.com</v>
      </c>
    </row>
    <row r="44" spans="1:26">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c r="W44" s="24" t="e" cm="1">
        <f t="array" aca="1" ref="W44" ca="1">_xlfn.IFS(  OR(Q44&lt;=2, V44="Cancelled"), "BLACKLISTED", AND(P44&gt;=100000, Q44&gt;=4, O44&lt;=10, V44="Completed"), "PLATINUM", AND( P44&lt;=99999, P44&gt;=50000, Q44&gt;=3, V44= "Completed"), "GOLD", AND( P44&lt;50000, V44="Completed"), "SILVER", TRUE, "UNCLASSIFIED")</f>
        <v>#NAME?</v>
      </c>
      <c r="X44" s="19" t="str">
        <f t="shared" si="0"/>
        <v>Mohit Verma</v>
      </c>
      <c r="Y44" s="28" t="str">
        <f t="shared" si="1"/>
        <v>Moh0043Ja</v>
      </c>
      <c r="Z44" s="28" t="str">
        <f t="shared" si="2"/>
        <v>mohit.verma@company.com</v>
      </c>
    </row>
    <row r="45" spans="1:26">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c r="W45" s="24" t="e" cm="1">
        <f t="array" aca="1" ref="W45" ca="1">_xlfn.IFS(  OR(Q45&lt;=2, V45="Cancelled"), "BLACKLISTED", AND(P45&gt;=100000, Q45&gt;=4, O45&lt;=10, V45="Completed"), "PLATINUM", AND( P45&lt;=99999, P45&gt;=50000, Q45&gt;=3, V45= "Completed"), "GOLD", AND( P45&lt;50000, V45="Completed"), "SILVER", TRUE, "UNCLASSIFIED")</f>
        <v>#NAME?</v>
      </c>
      <c r="X45" s="19" t="str">
        <f t="shared" si="0"/>
        <v>Amit Sharma</v>
      </c>
      <c r="Y45" s="28" t="str">
        <f t="shared" si="1"/>
        <v>Ami0044Pu</v>
      </c>
      <c r="Z45" s="28" t="str">
        <f t="shared" si="2"/>
        <v>amit.sharma@company.com</v>
      </c>
    </row>
    <row r="46" spans="1:26">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c r="W46" s="24" t="e" cm="1">
        <f t="array" aca="1" ref="W46" ca="1">_xlfn.IFS(  OR(Q46&lt;=2, V46="Cancelled"), "BLACKLISTED", AND(P46&gt;=100000, Q46&gt;=4, O46&lt;=10, V46="Completed"), "PLATINUM", AND( P46&lt;=99999, P46&gt;=50000, Q46&gt;=3, V46= "Completed"), "GOLD", AND( P46&lt;50000, V46="Completed"), "SILVER", TRUE, "UNCLASSIFIED")</f>
        <v>#NAME?</v>
      </c>
      <c r="X46" s="19" t="str">
        <f t="shared" si="0"/>
        <v>Sneha Joshi</v>
      </c>
      <c r="Y46" s="28" t="str">
        <f t="shared" si="1"/>
        <v>Sne0045Pu</v>
      </c>
      <c r="Z46" s="28" t="str">
        <f t="shared" si="2"/>
        <v>sneha.joshi@company.com</v>
      </c>
    </row>
    <row r="47" spans="1:26">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c r="W47" s="24" t="e" cm="1">
        <f t="array" aca="1" ref="W47" ca="1">_xlfn.IFS(  OR(Q47&lt;=2, V47="Cancelled"), "BLACKLISTED", AND(P47&gt;=100000, Q47&gt;=4, O47&lt;=10, V47="Completed"), "PLATINUM", AND( P47&lt;=99999, P47&gt;=50000, Q47&gt;=3, V47= "Completed"), "GOLD", AND( P47&lt;50000, V47="Completed"), "SILVER", TRUE, "UNCLASSIFIED")</f>
        <v>#NAME?</v>
      </c>
      <c r="X47" s="19" t="str">
        <f t="shared" si="0"/>
        <v>Mohit Verma</v>
      </c>
      <c r="Y47" s="28" t="str">
        <f t="shared" si="1"/>
        <v>Moh0046Be</v>
      </c>
      <c r="Z47" s="28" t="str">
        <f t="shared" si="2"/>
        <v>mohit.verma@company.com</v>
      </c>
    </row>
    <row r="48" spans="1:26">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c r="W48" s="24" t="e" cm="1">
        <f t="array" aca="1" ref="W48" ca="1">_xlfn.IFS(  OR(Q48&lt;=2, V48="Cancelled"), "BLACKLISTED", AND(P48&gt;=100000, Q48&gt;=4, O48&lt;=10, V48="Completed"), "PLATINUM", AND( P48&lt;=99999, P48&gt;=50000, Q48&gt;=3, V48= "Completed"), "GOLD", AND( P48&lt;50000, V48="Completed"), "SILVER", TRUE, "UNCLASSIFIED")</f>
        <v>#NAME?</v>
      </c>
      <c r="X48" s="19" t="str">
        <f t="shared" si="0"/>
        <v>Sneha Joshi</v>
      </c>
      <c r="Y48" s="28" t="str">
        <f t="shared" si="1"/>
        <v>Sne0047Pu</v>
      </c>
      <c r="Z48" s="28" t="str">
        <f t="shared" si="2"/>
        <v>Invalid Email</v>
      </c>
    </row>
    <row r="49" spans="1:26">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c r="W49" s="24" t="e" cm="1">
        <f t="array" aca="1" ref="W49" ca="1">_xlfn.IFS(  OR(Q49&lt;=2, V49="Cancelled"), "BLACKLISTED", AND(P49&gt;=100000, Q49&gt;=4, O49&lt;=10, V49="Completed"), "PLATINUM", AND( P49&lt;=99999, P49&gt;=50000, Q49&gt;=3, V49= "Completed"), "GOLD", AND( P49&lt;50000, V49="Completed"), "SILVER", TRUE, "UNCLASSIFIED")</f>
        <v>#NAME?</v>
      </c>
      <c r="X49" s="19" t="str">
        <f t="shared" si="0"/>
        <v>Sneha Joshi</v>
      </c>
      <c r="Y49" s="28" t="str">
        <f t="shared" si="1"/>
        <v>Sne0048Ja</v>
      </c>
      <c r="Z49" s="28" t="str">
        <f t="shared" si="2"/>
        <v>sneha.joshi@company.com</v>
      </c>
    </row>
    <row r="50" spans="1:26">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c r="W50" s="24" t="e" cm="1">
        <f t="array" aca="1" ref="W50" ca="1">_xlfn.IFS(  OR(Q50&lt;=2, V50="Cancelled"), "BLACKLISTED", AND(P50&gt;=100000, Q50&gt;=4, O50&lt;=10, V50="Completed"), "PLATINUM", AND( P50&lt;=99999, P50&gt;=50000, Q50&gt;=3, V50= "Completed"), "GOLD", AND( P50&lt;50000, V50="Completed"), "SILVER", TRUE, "UNCLASSIFIED")</f>
        <v>#NAME?</v>
      </c>
      <c r="X50" s="19" t="str">
        <f t="shared" si="0"/>
        <v>Mohit Verma</v>
      </c>
      <c r="Y50" s="28" t="str">
        <f t="shared" si="1"/>
        <v>Moh0049De</v>
      </c>
      <c r="Z50" s="28" t="str">
        <f t="shared" si="2"/>
        <v>mohit.verma@company.com</v>
      </c>
    </row>
    <row r="51" spans="1:26">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c r="W51" s="24" t="e" cm="1">
        <f t="array" aca="1" ref="W51" ca="1">_xlfn.IFS(  OR(Q51&lt;=2, V51="Cancelled"), "BLACKLISTED", AND(P51&gt;=100000, Q51&gt;=4, O51&lt;=10, V51="Completed"), "PLATINUM", AND( P51&lt;=99999, P51&gt;=50000, Q51&gt;=3, V51= "Completed"), "GOLD", AND( P51&lt;50000, V51="Completed"), "SILVER", TRUE, "UNCLASSIFIED")</f>
        <v>#NAME?</v>
      </c>
      <c r="X51" s="19" t="str">
        <f t="shared" si="0"/>
        <v>Anita Gupta</v>
      </c>
      <c r="Y51" s="28" t="str">
        <f t="shared" si="1"/>
        <v>Ani0050Pu</v>
      </c>
      <c r="Z51" s="28" t="str">
        <f t="shared" si="2"/>
        <v>anita.gupta@company.com</v>
      </c>
    </row>
    <row r="52" spans="1:26">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c r="W52" s="24" t="e" cm="1">
        <f t="array" aca="1" ref="W52" ca="1">_xlfn.IFS(  OR(Q52&lt;=2, V52="Cancelled"), "BLACKLISTED", AND(P52&gt;=100000, Q52&gt;=4, O52&lt;=10, V52="Completed"), "PLATINUM", AND( P52&lt;=99999, P52&gt;=50000, Q52&gt;=3, V52= "Completed"), "GOLD", AND( P52&lt;50000, V52="Completed"), "SILVER", TRUE, "UNCLASSIFIED")</f>
        <v>#NAME?</v>
      </c>
      <c r="X52" s="19" t="str">
        <f t="shared" si="0"/>
        <v>Pooja Shah</v>
      </c>
      <c r="Y52" s="28" t="str">
        <f t="shared" si="1"/>
        <v>Poo0051Be</v>
      </c>
      <c r="Z52" s="28" t="str">
        <f t="shared" si="2"/>
        <v>pooja.shah@company.com</v>
      </c>
    </row>
    <row r="53" spans="1:26">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c r="W53" s="24" t="e" cm="1">
        <f t="array" aca="1" ref="W53" ca="1">_xlfn.IFS(  OR(Q53&lt;=2, V53="Cancelled"), "BLACKLISTED", AND(P53&gt;=100000, Q53&gt;=4, O53&lt;=10, V53="Completed"), "PLATINUM", AND( P53&lt;=99999, P53&gt;=50000, Q53&gt;=3, V53= "Completed"), "GOLD", AND( P53&lt;50000, V53="Completed"), "SILVER", TRUE, "UNCLASSIFIED")</f>
        <v>#NAME?</v>
      </c>
      <c r="X53" s="19" t="str">
        <f t="shared" si="0"/>
        <v>Priya Patel</v>
      </c>
      <c r="Y53" s="28" t="str">
        <f t="shared" si="1"/>
        <v>Pri0052Ja</v>
      </c>
      <c r="Z53" s="28" t="str">
        <f t="shared" si="2"/>
        <v>priya.patel@company.com</v>
      </c>
    </row>
    <row r="54" spans="1:26">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c r="W54" s="24" t="e" cm="1">
        <f t="array" aca="1" ref="W54" ca="1">_xlfn.IFS(  OR(Q54&lt;=2, V54="Cancelled"), "BLACKLISTED", AND(P54&gt;=100000, Q54&gt;=4, O54&lt;=10, V54="Completed"), "PLATINUM", AND( P54&lt;=99999, P54&gt;=50000, Q54&gt;=3, V54= "Completed"), "GOLD", AND( P54&lt;50000, V54="Completed"), "SILVER", TRUE, "UNCLASSIFIED")</f>
        <v>#NAME?</v>
      </c>
      <c r="X54" s="19" t="str">
        <f t="shared" si="0"/>
        <v>Vikas Mehta</v>
      </c>
      <c r="Y54" s="28" t="str">
        <f t="shared" si="1"/>
        <v>Vik0053Ko</v>
      </c>
      <c r="Z54" s="28" t="str">
        <f t="shared" si="2"/>
        <v>vikas.mehta@company.com</v>
      </c>
    </row>
    <row r="55" spans="1:26">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c r="W55" s="24" t="e" cm="1">
        <f t="array" aca="1" ref="W55" ca="1">_xlfn.IFS(  OR(Q55&lt;=2, V55="Cancelled"), "BLACKLISTED", AND(P55&gt;=100000, Q55&gt;=4, O55&lt;=10, V55="Completed"), "PLATINUM", AND( P55&lt;=99999, P55&gt;=50000, Q55&gt;=3, V55= "Completed"), "GOLD", AND( P55&lt;50000, V55="Completed"), "SILVER", TRUE, "UNCLASSIFIED")</f>
        <v>#NAME?</v>
      </c>
      <c r="X55" s="19" t="str">
        <f t="shared" si="0"/>
        <v>Kavya Nair</v>
      </c>
      <c r="Y55" s="28" t="str">
        <f t="shared" si="1"/>
        <v>Kav0054Ja</v>
      </c>
      <c r="Z55" s="28" t="str">
        <f t="shared" si="2"/>
        <v>kavya.nair@company.com</v>
      </c>
    </row>
    <row r="56" spans="1:26">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c r="W56" s="24" t="e" cm="1">
        <f t="array" aca="1" ref="W56" ca="1">_xlfn.IFS(  OR(Q56&lt;=2, V56="Cancelled"), "BLACKLISTED", AND(P56&gt;=100000, Q56&gt;=4, O56&lt;=10, V56="Completed"), "PLATINUM", AND( P56&lt;=99999, P56&gt;=50000, Q56&gt;=3, V56= "Completed"), "GOLD", AND( P56&lt;50000, V56="Completed"), "SILVER", TRUE, "UNCLASSIFIED")</f>
        <v>#NAME?</v>
      </c>
      <c r="X56" s="19" t="str">
        <f t="shared" si="0"/>
        <v>Rohit Singh</v>
      </c>
      <c r="Y56" s="28" t="str">
        <f t="shared" si="1"/>
        <v>Roh0055Ah</v>
      </c>
      <c r="Z56" s="28" t="str">
        <f t="shared" si="2"/>
        <v>rohit.singh@company.com</v>
      </c>
    </row>
    <row r="57" spans="1:26">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c r="W57" s="24" t="e" cm="1">
        <f t="array" aca="1" ref="W57" ca="1">_xlfn.IFS(  OR(Q57&lt;=2, V57="Cancelled"), "BLACKLISTED", AND(P57&gt;=100000, Q57&gt;=4, O57&lt;=10, V57="Completed"), "PLATINUM", AND( P57&lt;=99999, P57&gt;=50000, Q57&gt;=3, V57= "Completed"), "GOLD", AND( P57&lt;50000, V57="Completed"), "SILVER", TRUE, "UNCLASSIFIED")</f>
        <v>#NAME?</v>
      </c>
      <c r="X57" s="19" t="str">
        <f t="shared" si="0"/>
        <v>Amit Sharma</v>
      </c>
      <c r="Y57" s="28" t="str">
        <f t="shared" si="1"/>
        <v>Ami0056Ja</v>
      </c>
      <c r="Z57" s="28" t="str">
        <f t="shared" si="2"/>
        <v>amit.sharma@company.com</v>
      </c>
    </row>
    <row r="58" spans="1:26">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c r="W58" s="24" t="e" cm="1">
        <f t="array" aca="1" ref="W58" ca="1">_xlfn.IFS(  OR(Q58&lt;=2, V58="Cancelled"), "BLACKLISTED", AND(P58&gt;=100000, Q58&gt;=4, O58&lt;=10, V58="Completed"), "PLATINUM", AND( P58&lt;=99999, P58&gt;=50000, Q58&gt;=3, V58= "Completed"), "GOLD", AND( P58&lt;50000, V58="Completed"), "SILVER", TRUE, "UNCLASSIFIED")</f>
        <v>#NAME?</v>
      </c>
      <c r="X58" s="19" t="str">
        <f t="shared" si="0"/>
        <v>Amit Sharma</v>
      </c>
      <c r="Y58" s="28" t="str">
        <f t="shared" si="1"/>
        <v>Ami0057Be</v>
      </c>
      <c r="Z58" s="28" t="str">
        <f t="shared" si="2"/>
        <v>Invalid Email</v>
      </c>
    </row>
    <row r="59" spans="1:26">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c r="W59" s="24" t="e" cm="1">
        <f t="array" aca="1" ref="W59" ca="1">_xlfn.IFS(  OR(Q59&lt;=2, V59="Cancelled"), "BLACKLISTED", AND(P59&gt;=100000, Q59&gt;=4, O59&lt;=10, V59="Completed"), "PLATINUM", AND( P59&lt;=99999, P59&gt;=50000, Q59&gt;=3, V59= "Completed"), "GOLD", AND( P59&lt;50000, V59="Completed"), "SILVER", TRUE, "UNCLASSIFIED")</f>
        <v>#NAME?</v>
      </c>
      <c r="X59" s="19" t="str">
        <f t="shared" si="0"/>
        <v>Rohit Singh</v>
      </c>
      <c r="Y59" s="28" t="str">
        <f t="shared" si="1"/>
        <v>Roh0058De</v>
      </c>
      <c r="Z59" s="28" t="str">
        <f t="shared" si="2"/>
        <v>rohit.singh@company.com</v>
      </c>
    </row>
    <row r="60" spans="1:26">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c r="W60" s="24" t="e" cm="1">
        <f t="array" aca="1" ref="W60" ca="1">_xlfn.IFS(  OR(Q60&lt;=2, V60="Cancelled"), "BLACKLISTED", AND(P60&gt;=100000, Q60&gt;=4, O60&lt;=10, V60="Completed"), "PLATINUM", AND( P60&lt;=99999, P60&gt;=50000, Q60&gt;=3, V60= "Completed"), "GOLD", AND( P60&lt;50000, V60="Completed"), "SILVER", TRUE, "UNCLASSIFIED")</f>
        <v>#NAME?</v>
      </c>
      <c r="X60" s="19" t="str">
        <f t="shared" si="0"/>
        <v>Arjun Rao</v>
      </c>
      <c r="Y60" s="28" t="str">
        <f t="shared" si="1"/>
        <v>Arj0059Ja</v>
      </c>
      <c r="Z60" s="28" t="str">
        <f t="shared" si="2"/>
        <v>arjun.rao@company.com</v>
      </c>
    </row>
    <row r="61" spans="1:26">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c r="W61" s="24" t="e" cm="1">
        <f t="array" aca="1" ref="W61" ca="1">_xlfn.IFS(  OR(Q61&lt;=2, V61="Cancelled"), "BLACKLISTED", AND(P61&gt;=100000, Q61&gt;=4, O61&lt;=10, V61="Completed"), "PLATINUM", AND( P61&lt;=99999, P61&gt;=50000, Q61&gt;=3, V61= "Completed"), "GOLD", AND( P61&lt;50000, V61="Completed"), "SILVER", TRUE, "UNCLASSIFIED")</f>
        <v>#NAME?</v>
      </c>
      <c r="X61" s="19" t="str">
        <f t="shared" si="0"/>
        <v>Vikas Mehta</v>
      </c>
      <c r="Y61" s="28" t="str">
        <f t="shared" si="1"/>
        <v>Vik0060Ja</v>
      </c>
      <c r="Z61" s="28" t="str">
        <f t="shared" si="2"/>
        <v>vikas.mehta@company.com</v>
      </c>
    </row>
    <row r="62" spans="1:26">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c r="W62" s="24" t="e" cm="1">
        <f t="array" aca="1" ref="W62" ca="1">_xlfn.IFS(  OR(Q62&lt;=2, V62="Cancelled"), "BLACKLISTED", AND(P62&gt;=100000, Q62&gt;=4, O62&lt;=10, V62="Completed"), "PLATINUM", AND( P62&lt;=99999, P62&gt;=50000, Q62&gt;=3, V62= "Completed"), "GOLD", AND( P62&lt;50000, V62="Completed"), "SILVER", TRUE, "UNCLASSIFIED")</f>
        <v>#NAME?</v>
      </c>
      <c r="X62" s="19" t="str">
        <f t="shared" si="0"/>
        <v>Kavya Nair</v>
      </c>
      <c r="Y62" s="28" t="str">
        <f t="shared" si="1"/>
        <v>Kav0061De</v>
      </c>
      <c r="Z62" s="28" t="str">
        <f t="shared" si="2"/>
        <v>kavya.nair@company.com</v>
      </c>
    </row>
    <row r="63" spans="1:26">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c r="W63" s="24" t="e" cm="1">
        <f t="array" aca="1" ref="W63" ca="1">_xlfn.IFS(  OR(Q63&lt;=2, V63="Cancelled"), "BLACKLISTED", AND(P63&gt;=100000, Q63&gt;=4, O63&lt;=10, V63="Completed"), "PLATINUM", AND( P63&lt;=99999, P63&gt;=50000, Q63&gt;=3, V63= "Completed"), "GOLD", AND( P63&lt;50000, V63="Completed"), "SILVER", TRUE, "UNCLASSIFIED")</f>
        <v>#NAME?</v>
      </c>
      <c r="X63" s="19" t="str">
        <f t="shared" si="0"/>
        <v>Priya Patel</v>
      </c>
      <c r="Y63" s="28" t="str">
        <f t="shared" si="1"/>
        <v>Pri0062Pu</v>
      </c>
      <c r="Z63" s="28" t="str">
        <f t="shared" si="2"/>
        <v>priya.patel@company.com</v>
      </c>
    </row>
    <row r="64" spans="1:26">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c r="W64" s="24" t="e" cm="1">
        <f t="array" aca="1" ref="W64" ca="1">_xlfn.IFS(  OR(Q64&lt;=2, V64="Cancelled"), "BLACKLISTED", AND(P64&gt;=100000, Q64&gt;=4, O64&lt;=10, V64="Completed"), "PLATINUM", AND( P64&lt;=99999, P64&gt;=50000, Q64&gt;=3, V64= "Completed"), "GOLD", AND( P64&lt;50000, V64="Completed"), "SILVER", TRUE, "UNCLASSIFIED")</f>
        <v>#NAME?</v>
      </c>
      <c r="X64" s="19" t="str">
        <f t="shared" si="0"/>
        <v>Pooja Shah</v>
      </c>
      <c r="Y64" s="28" t="str">
        <f t="shared" si="1"/>
        <v>Poo0063Mu</v>
      </c>
      <c r="Z64" s="28" t="str">
        <f t="shared" si="2"/>
        <v>pooja.shah@company.com</v>
      </c>
    </row>
    <row r="65" spans="1:26">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c r="W65" s="24" t="e" cm="1">
        <f t="array" aca="1" ref="W65" ca="1">_xlfn.IFS(  OR(Q65&lt;=2, V65="Cancelled"), "BLACKLISTED", AND(P65&gt;=100000, Q65&gt;=4, O65&lt;=10, V65="Completed"), "PLATINUM", AND( P65&lt;=99999, P65&gt;=50000, Q65&gt;=3, V65= "Completed"), "GOLD", AND( P65&lt;50000, V65="Completed"), "SILVER", TRUE, "UNCLASSIFIED")</f>
        <v>#NAME?</v>
      </c>
      <c r="X65" s="19" t="str">
        <f t="shared" si="0"/>
        <v>Sneha Joshi</v>
      </c>
      <c r="Y65" s="28" t="str">
        <f t="shared" si="1"/>
        <v>Sne0064Ah</v>
      </c>
      <c r="Z65" s="28" t="str">
        <f t="shared" si="2"/>
        <v>sneha.joshi@company.com</v>
      </c>
    </row>
    <row r="66" spans="1:26">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c r="W66" s="24" t="e" cm="1">
        <f t="array" aca="1" ref="W66" ca="1">_xlfn.IFS(  OR(Q66&lt;=2, V66="Cancelled"), "BLACKLISTED", AND(P66&gt;=100000, Q66&gt;=4, O66&lt;=10, V66="Completed"), "PLATINUM", AND( P66&lt;=99999, P66&gt;=50000, Q66&gt;=3, V66= "Completed"), "GOLD", AND( P66&lt;50000, V66="Completed"), "SILVER", TRUE, "UNCLASSIFIED")</f>
        <v>#NAME?</v>
      </c>
      <c r="X66" s="19" t="str">
        <f t="shared" si="0"/>
        <v>Pooja Shah</v>
      </c>
      <c r="Y66" s="28" t="str">
        <f t="shared" si="1"/>
        <v>Poo0065Ko</v>
      </c>
      <c r="Z66" s="28" t="str">
        <f t="shared" si="2"/>
        <v>pooja.shah@company.com</v>
      </c>
    </row>
    <row r="67" spans="1:26">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c r="W67" s="24" t="e" cm="1">
        <f t="array" aca="1" ref="W67" ca="1">_xlfn.IFS(  OR(Q67&lt;=2, V67="Cancelled"), "BLACKLISTED", AND(P67&gt;=100000, Q67&gt;=4, O67&lt;=10, V67="Completed"), "PLATINUM", AND( P67&lt;=99999, P67&gt;=50000, Q67&gt;=3, V67= "Completed"), "GOLD", AND( P67&lt;50000, V67="Completed"), "SILVER", TRUE, "UNCLASSIFIED")</f>
        <v>#NAME?</v>
      </c>
      <c r="X67" s="19" t="str">
        <f t="shared" ref="X67:X130" si="3">PROPER(TRIM(F67))</f>
        <v>Priya Patel</v>
      </c>
      <c r="Y67" s="28" t="str">
        <f t="shared" ref="Y67:Y130" si="4">LEFT(X67,3)&amp;RIGHT(A67,4)&amp;LEFT(I67,2)</f>
        <v>Pri0066Ko</v>
      </c>
      <c r="Z67" s="28" t="str">
        <f t="shared" ref="Z67:Z130" si="5">IF(IFERROR(FIND("@", T67), 0), TRIM(LOWER(T67)), "Invalid Email" )</f>
        <v>priya.patel@company.com</v>
      </c>
    </row>
    <row r="68" spans="1:26">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c r="W68" s="24" t="e" cm="1">
        <f t="array" aca="1" ref="W68" ca="1">_xlfn.IFS(  OR(Q68&lt;=2, V68="Cancelled"), "BLACKLISTED", AND(P68&gt;=100000, Q68&gt;=4, O68&lt;=10, V68="Completed"), "PLATINUM", AND( P68&lt;=99999, P68&gt;=50000, Q68&gt;=3, V68= "Completed"), "GOLD", AND( P68&lt;50000, V68="Completed"), "SILVER", TRUE, "UNCLASSIFIED")</f>
        <v>#NAME?</v>
      </c>
      <c r="X68" s="19" t="str">
        <f t="shared" si="3"/>
        <v>Kavya Nair</v>
      </c>
      <c r="Y68" s="28" t="str">
        <f t="shared" si="4"/>
        <v>Kav0067De</v>
      </c>
      <c r="Z68" s="28" t="str">
        <f t="shared" si="5"/>
        <v>kavya.nair@company.com</v>
      </c>
    </row>
    <row r="69" spans="1:26">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c r="W69" s="24" t="e" cm="1">
        <f t="array" aca="1" ref="W69" ca="1">_xlfn.IFS(  OR(Q69&lt;=2, V69="Cancelled"), "BLACKLISTED", AND(P69&gt;=100000, Q69&gt;=4, O69&lt;=10, V69="Completed"), "PLATINUM", AND( P69&lt;=99999, P69&gt;=50000, Q69&gt;=3, V69= "Completed"), "GOLD", AND( P69&lt;50000, V69="Completed"), "SILVER", TRUE, "UNCLASSIFIED")</f>
        <v>#NAME?</v>
      </c>
      <c r="X69" s="19" t="str">
        <f t="shared" si="3"/>
        <v>Sneha Joshi</v>
      </c>
      <c r="Y69" s="28" t="str">
        <f t="shared" si="4"/>
        <v>Sne0068Hy</v>
      </c>
      <c r="Z69" s="28" t="str">
        <f t="shared" si="5"/>
        <v>sneha.joshi@company.com</v>
      </c>
    </row>
    <row r="70" spans="1:26">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c r="W70" s="24" t="e" cm="1">
        <f t="array" aca="1" ref="W70" ca="1">_xlfn.IFS(  OR(Q70&lt;=2, V70="Cancelled"), "BLACKLISTED", AND(P70&gt;=100000, Q70&gt;=4, O70&lt;=10, V70="Completed"), "PLATINUM", AND( P70&lt;=99999, P70&gt;=50000, Q70&gt;=3, V70= "Completed"), "GOLD", AND( P70&lt;50000, V70="Completed"), "SILVER", TRUE, "UNCLASSIFIED")</f>
        <v>#NAME?</v>
      </c>
      <c r="X70" s="19" t="str">
        <f t="shared" si="3"/>
        <v>Pooja Shah</v>
      </c>
      <c r="Y70" s="28" t="str">
        <f t="shared" si="4"/>
        <v>Poo0069Ja</v>
      </c>
      <c r="Z70" s="28" t="str">
        <f t="shared" si="5"/>
        <v>pooja.shah@company.com</v>
      </c>
    </row>
    <row r="71" spans="1:26">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c r="W71" s="24" t="e" cm="1">
        <f t="array" aca="1" ref="W71" ca="1">_xlfn.IFS(  OR(Q71&lt;=2, V71="Cancelled"), "BLACKLISTED", AND(P71&gt;=100000, Q71&gt;=4, O71&lt;=10, V71="Completed"), "PLATINUM", AND( P71&lt;=99999, P71&gt;=50000, Q71&gt;=3, V71= "Completed"), "GOLD", AND( P71&lt;50000, V71="Completed"), "SILVER", TRUE, "UNCLASSIFIED")</f>
        <v>#NAME?</v>
      </c>
      <c r="X71" s="19" t="str">
        <f t="shared" si="3"/>
        <v>Kavya Nair</v>
      </c>
      <c r="Y71" s="28" t="str">
        <f t="shared" si="4"/>
        <v>Kav0070Be</v>
      </c>
      <c r="Z71" s="28" t="str">
        <f t="shared" si="5"/>
        <v>kavya.nair@company.com</v>
      </c>
    </row>
    <row r="72" spans="1:26">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c r="W72" s="24" t="e" cm="1">
        <f t="array" aca="1" ref="W72" ca="1">_xlfn.IFS(  OR(Q72&lt;=2, V72="Cancelled"), "BLACKLISTED", AND(P72&gt;=100000, Q72&gt;=4, O72&lt;=10, V72="Completed"), "PLATINUM", AND( P72&lt;=99999, P72&gt;=50000, Q72&gt;=3, V72= "Completed"), "GOLD", AND( P72&lt;50000, V72="Completed"), "SILVER", TRUE, "UNCLASSIFIED")</f>
        <v>#NAME?</v>
      </c>
      <c r="X72" s="19" t="str">
        <f t="shared" si="3"/>
        <v>Anita Gupta</v>
      </c>
      <c r="Y72" s="28" t="str">
        <f t="shared" si="4"/>
        <v>Ani0071Mu</v>
      </c>
      <c r="Z72" s="28" t="str">
        <f t="shared" si="5"/>
        <v>anita.gupta@company.com</v>
      </c>
    </row>
    <row r="73" spans="1:26">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c r="W73" s="24" t="e" cm="1">
        <f t="array" aca="1" ref="W73" ca="1">_xlfn.IFS(  OR(Q73&lt;=2, V73="Cancelled"), "BLACKLISTED", AND(P73&gt;=100000, Q73&gt;=4, O73&lt;=10, V73="Completed"), "PLATINUM", AND( P73&lt;=99999, P73&gt;=50000, Q73&gt;=3, V73= "Completed"), "GOLD", AND( P73&lt;50000, V73="Completed"), "SILVER", TRUE, "UNCLASSIFIED")</f>
        <v>#NAME?</v>
      </c>
      <c r="X73" s="19" t="str">
        <f t="shared" si="3"/>
        <v>Rohit Singh</v>
      </c>
      <c r="Y73" s="28" t="str">
        <f t="shared" si="4"/>
        <v>Roh0072Be</v>
      </c>
      <c r="Z73" s="28" t="str">
        <f t="shared" si="5"/>
        <v>rohit.singh@company.com</v>
      </c>
    </row>
    <row r="74" spans="1:26">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c r="W74" s="24" t="e" cm="1">
        <f t="array" aca="1" ref="W74" ca="1">_xlfn.IFS(  OR(Q74&lt;=2, V74="Cancelled"), "BLACKLISTED", AND(P74&gt;=100000, Q74&gt;=4, O74&lt;=10, V74="Completed"), "PLATINUM", AND( P74&lt;=99999, P74&gt;=50000, Q74&gt;=3, V74= "Completed"), "GOLD", AND( P74&lt;50000, V74="Completed"), "SILVER", TRUE, "UNCLASSIFIED")</f>
        <v>#NAME?</v>
      </c>
      <c r="X74" s="19" t="str">
        <f t="shared" si="3"/>
        <v>Kavya Nair</v>
      </c>
      <c r="Y74" s="28" t="str">
        <f t="shared" si="4"/>
        <v>Kav0073Ja</v>
      </c>
      <c r="Z74" s="28" t="str">
        <f t="shared" si="5"/>
        <v>kavya.nair@company.com</v>
      </c>
    </row>
    <row r="75" spans="1:26">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c r="W75" s="24" t="e" cm="1">
        <f t="array" aca="1" ref="W75" ca="1">_xlfn.IFS(  OR(Q75&lt;=2, V75="Cancelled"), "BLACKLISTED", AND(P75&gt;=100000, Q75&gt;=4, O75&lt;=10, V75="Completed"), "PLATINUM", AND( P75&lt;=99999, P75&gt;=50000, Q75&gt;=3, V75= "Completed"), "GOLD", AND( P75&lt;50000, V75="Completed"), "SILVER", TRUE, "UNCLASSIFIED")</f>
        <v>#NAME?</v>
      </c>
      <c r="X75" s="19" t="str">
        <f t="shared" si="3"/>
        <v>Pooja Shah</v>
      </c>
      <c r="Y75" s="28" t="str">
        <f t="shared" si="4"/>
        <v>Poo0074</v>
      </c>
      <c r="Z75" s="28" t="str">
        <f t="shared" si="5"/>
        <v>pooja.shah@company.com</v>
      </c>
    </row>
    <row r="76" spans="1:26">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c r="W76" s="24" t="e" cm="1">
        <f t="array" aca="1" ref="W76" ca="1">_xlfn.IFS(  OR(Q76&lt;=2, V76="Cancelled"), "BLACKLISTED", AND(P76&gt;=100000, Q76&gt;=4, O76&lt;=10, V76="Completed"), "PLATINUM", AND( P76&lt;=99999, P76&gt;=50000, Q76&gt;=3, V76= "Completed"), "GOLD", AND( P76&lt;50000, V76="Completed"), "SILVER", TRUE, "UNCLASSIFIED")</f>
        <v>#NAME?</v>
      </c>
      <c r="X76" s="19" t="str">
        <f t="shared" si="3"/>
        <v>Rohit Singh</v>
      </c>
      <c r="Y76" s="28" t="str">
        <f t="shared" si="4"/>
        <v>Roh0075Pu</v>
      </c>
      <c r="Z76" s="28" t="str">
        <f t="shared" si="5"/>
        <v>rohit.singh@company.com</v>
      </c>
    </row>
    <row r="77" spans="1:26">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c r="W77" s="24" t="e" cm="1">
        <f t="array" aca="1" ref="W77" ca="1">_xlfn.IFS(  OR(Q77&lt;=2, V77="Cancelled"), "BLACKLISTED", AND(P77&gt;=100000, Q77&gt;=4, O77&lt;=10, V77="Completed"), "PLATINUM", AND( P77&lt;=99999, P77&gt;=50000, Q77&gt;=3, V77= "Completed"), "GOLD", AND( P77&lt;50000, V77="Completed"), "SILVER", TRUE, "UNCLASSIFIED")</f>
        <v>#NAME?</v>
      </c>
      <c r="X77" s="19" t="str">
        <f t="shared" si="3"/>
        <v>Kavya Nair</v>
      </c>
      <c r="Y77" s="28" t="str">
        <f t="shared" si="4"/>
        <v>Kav0076Be</v>
      </c>
      <c r="Z77" s="28" t="str">
        <f t="shared" si="5"/>
        <v>kavya.nair@company.com</v>
      </c>
    </row>
    <row r="78" spans="1:26">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c r="W78" s="24" t="e" cm="1">
        <f t="array" aca="1" ref="W78" ca="1">_xlfn.IFS(  OR(Q78&lt;=2, V78="Cancelled"), "BLACKLISTED", AND(P78&gt;=100000, Q78&gt;=4, O78&lt;=10, V78="Completed"), "PLATINUM", AND( P78&lt;=99999, P78&gt;=50000, Q78&gt;=3, V78= "Completed"), "GOLD", AND( P78&lt;50000, V78="Completed"), "SILVER", TRUE, "UNCLASSIFIED")</f>
        <v>#NAME?</v>
      </c>
      <c r="X78" s="19" t="str">
        <f t="shared" si="3"/>
        <v>Arjun Rao</v>
      </c>
      <c r="Y78" s="28" t="str">
        <f t="shared" si="4"/>
        <v>Arj0077De</v>
      </c>
      <c r="Z78" s="28" t="str">
        <f t="shared" si="5"/>
        <v>arjun.rao@company.com</v>
      </c>
    </row>
    <row r="79" spans="1:26">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c r="W79" s="24" t="e" cm="1">
        <f t="array" aca="1" ref="W79" ca="1">_xlfn.IFS(  OR(Q79&lt;=2, V79="Cancelled"), "BLACKLISTED", AND(P79&gt;=100000, Q79&gt;=4, O79&lt;=10, V79="Completed"), "PLATINUM", AND( P79&lt;=99999, P79&gt;=50000, Q79&gt;=3, V79= "Completed"), "GOLD", AND( P79&lt;50000, V79="Completed"), "SILVER", TRUE, "UNCLASSIFIED")</f>
        <v>#NAME?</v>
      </c>
      <c r="X79" s="19" t="str">
        <f t="shared" si="3"/>
        <v>Vikas Mehta</v>
      </c>
      <c r="Y79" s="28" t="str">
        <f t="shared" si="4"/>
        <v>Vik0078Be</v>
      </c>
      <c r="Z79" s="28" t="str">
        <f t="shared" si="5"/>
        <v>vikas.mehta@company.com</v>
      </c>
    </row>
    <row r="80" spans="1:26">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c r="W80" s="24" t="e" cm="1">
        <f t="array" aca="1" ref="W80" ca="1">_xlfn.IFS(  OR(Q80&lt;=2, V80="Cancelled"), "BLACKLISTED", AND(P80&gt;=100000, Q80&gt;=4, O80&lt;=10, V80="Completed"), "PLATINUM", AND( P80&lt;=99999, P80&gt;=50000, Q80&gt;=3, V80= "Completed"), "GOLD", AND( P80&lt;50000, V80="Completed"), "SILVER", TRUE, "UNCLASSIFIED")</f>
        <v>#NAME?</v>
      </c>
      <c r="X80" s="19" t="str">
        <f t="shared" si="3"/>
        <v>Mohit Verma</v>
      </c>
      <c r="Y80" s="28" t="str">
        <f t="shared" si="4"/>
        <v>Moh0079Mu</v>
      </c>
      <c r="Z80" s="28" t="str">
        <f t="shared" si="5"/>
        <v>mohit.verma@company.com</v>
      </c>
    </row>
    <row r="81" spans="1:26">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c r="W81" s="24" t="e" cm="1">
        <f t="array" aca="1" ref="W81" ca="1">_xlfn.IFS(  OR(Q81&lt;=2, V81="Cancelled"), "BLACKLISTED", AND(P81&gt;=100000, Q81&gt;=4, O81&lt;=10, V81="Completed"), "PLATINUM", AND( P81&lt;=99999, P81&gt;=50000, Q81&gt;=3, V81= "Completed"), "GOLD", AND( P81&lt;50000, V81="Completed"), "SILVER", TRUE, "UNCLASSIFIED")</f>
        <v>#NAME?</v>
      </c>
      <c r="X81" s="19" t="str">
        <f t="shared" si="3"/>
        <v>Rohit Singh</v>
      </c>
      <c r="Y81" s="28" t="str">
        <f t="shared" si="4"/>
        <v>Roh0080Pu</v>
      </c>
      <c r="Z81" s="28" t="str">
        <f t="shared" si="5"/>
        <v>rohit.singh@company.com</v>
      </c>
    </row>
    <row r="82" spans="1:26">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c r="W82" s="24" t="e" cm="1">
        <f t="array" aca="1" ref="W82" ca="1">_xlfn.IFS(  OR(Q82&lt;=2, V82="Cancelled"), "BLACKLISTED", AND(P82&gt;=100000, Q82&gt;=4, O82&lt;=10, V82="Completed"), "PLATINUM", AND( P82&lt;=99999, P82&gt;=50000, Q82&gt;=3, V82= "Completed"), "GOLD", AND( P82&lt;50000, V82="Completed"), "SILVER", TRUE, "UNCLASSIFIED")</f>
        <v>#NAME?</v>
      </c>
      <c r="X82" s="19" t="str">
        <f t="shared" si="3"/>
        <v>Amit Sharma</v>
      </c>
      <c r="Y82" s="28" t="str">
        <f t="shared" si="4"/>
        <v>Ami0081Pu</v>
      </c>
      <c r="Z82" s="28" t="str">
        <f t="shared" si="5"/>
        <v>amit.sharma@company.com</v>
      </c>
    </row>
    <row r="83" spans="1:26">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c r="W83" s="24" t="e" cm="1">
        <f t="array" aca="1" ref="W83" ca="1">_xlfn.IFS(  OR(Q83&lt;=2, V83="Cancelled"), "BLACKLISTED", AND(P83&gt;=100000, Q83&gt;=4, O83&lt;=10, V83="Completed"), "PLATINUM", AND( P83&lt;=99999, P83&gt;=50000, Q83&gt;=3, V83= "Completed"), "GOLD", AND( P83&lt;50000, V83="Completed"), "SILVER", TRUE, "UNCLASSIFIED")</f>
        <v>#NAME?</v>
      </c>
      <c r="X83" s="19" t="str">
        <f t="shared" si="3"/>
        <v>Vikas Mehta</v>
      </c>
      <c r="Y83" s="28" t="str">
        <f t="shared" si="4"/>
        <v>Vik0082Ko</v>
      </c>
      <c r="Z83" s="28" t="str">
        <f t="shared" si="5"/>
        <v>vikas.mehta@company.com</v>
      </c>
    </row>
    <row r="84" spans="1:26">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c r="W84" s="24" t="e" cm="1">
        <f t="array" aca="1" ref="W84" ca="1">_xlfn.IFS(  OR(Q84&lt;=2, V84="Cancelled"), "BLACKLISTED", AND(P84&gt;=100000, Q84&gt;=4, O84&lt;=10, V84="Completed"), "PLATINUM", AND( P84&lt;=99999, P84&gt;=50000, Q84&gt;=3, V84= "Completed"), "GOLD", AND( P84&lt;50000, V84="Completed"), "SILVER", TRUE, "UNCLASSIFIED")</f>
        <v>#NAME?</v>
      </c>
      <c r="X84" s="19" t="str">
        <f t="shared" si="3"/>
        <v>Rohit Singh</v>
      </c>
      <c r="Y84" s="28" t="str">
        <f t="shared" si="4"/>
        <v>Roh0083Mu</v>
      </c>
      <c r="Z84" s="28" t="str">
        <f t="shared" si="5"/>
        <v>rohit.singh@company.com</v>
      </c>
    </row>
    <row r="85" spans="1:26">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c r="W85" s="24" t="e" cm="1">
        <f t="array" aca="1" ref="W85" ca="1">_xlfn.IFS(  OR(Q85&lt;=2, V85="Cancelled"), "BLACKLISTED", AND(P85&gt;=100000, Q85&gt;=4, O85&lt;=10, V85="Completed"), "PLATINUM", AND( P85&lt;=99999, P85&gt;=50000, Q85&gt;=3, V85= "Completed"), "GOLD", AND( P85&lt;50000, V85="Completed"), "SILVER", TRUE, "UNCLASSIFIED")</f>
        <v>#NAME?</v>
      </c>
      <c r="X85" s="19" t="str">
        <f t="shared" si="3"/>
        <v>Rohit Singh</v>
      </c>
      <c r="Y85" s="28" t="str">
        <f t="shared" si="4"/>
        <v>Roh0084Hy</v>
      </c>
      <c r="Z85" s="28" t="str">
        <f t="shared" si="5"/>
        <v>rohit.singh@company.com</v>
      </c>
    </row>
    <row r="86" spans="1:26">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c r="W86" s="24" t="e" cm="1">
        <f t="array" aca="1" ref="W86" ca="1">_xlfn.IFS(  OR(Q86&lt;=2, V86="Cancelled"), "BLACKLISTED", AND(P86&gt;=100000, Q86&gt;=4, O86&lt;=10, V86="Completed"), "PLATINUM", AND( P86&lt;=99999, P86&gt;=50000, Q86&gt;=3, V86= "Completed"), "GOLD", AND( P86&lt;50000, V86="Completed"), "SILVER", TRUE, "UNCLASSIFIED")</f>
        <v>#NAME?</v>
      </c>
      <c r="X86" s="19" t="str">
        <f t="shared" si="3"/>
        <v>Kavya Nair</v>
      </c>
      <c r="Y86" s="28" t="str">
        <f t="shared" si="4"/>
        <v>Kav0085Mu</v>
      </c>
      <c r="Z86" s="28" t="str">
        <f t="shared" si="5"/>
        <v>kavya.nair@company.com</v>
      </c>
    </row>
    <row r="87" spans="1:26">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c r="W87" s="24" t="e" cm="1">
        <f t="array" aca="1" ref="W87" ca="1">_xlfn.IFS(  OR(Q87&lt;=2, V87="Cancelled"), "BLACKLISTED", AND(P87&gt;=100000, Q87&gt;=4, O87&lt;=10, V87="Completed"), "PLATINUM", AND( P87&lt;=99999, P87&gt;=50000, Q87&gt;=3, V87= "Completed"), "GOLD", AND( P87&lt;50000, V87="Completed"), "SILVER", TRUE, "UNCLASSIFIED")</f>
        <v>#NAME?</v>
      </c>
      <c r="X87" s="19" t="str">
        <f t="shared" si="3"/>
        <v>Arjun Rao</v>
      </c>
      <c r="Y87" s="28" t="str">
        <f t="shared" si="4"/>
        <v>Arj0086Ah</v>
      </c>
      <c r="Z87" s="28" t="str">
        <f t="shared" si="5"/>
        <v>arjun.rao@company.com</v>
      </c>
    </row>
    <row r="88" spans="1:26">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c r="W88" s="24" t="e" cm="1">
        <f t="array" aca="1" ref="W88" ca="1">_xlfn.IFS(  OR(Q88&lt;=2, V88="Cancelled"), "BLACKLISTED", AND(P88&gt;=100000, Q88&gt;=4, O88&lt;=10, V88="Completed"), "PLATINUM", AND( P88&lt;=99999, P88&gt;=50000, Q88&gt;=3, V88= "Completed"), "GOLD", AND( P88&lt;50000, V88="Completed"), "SILVER", TRUE, "UNCLASSIFIED")</f>
        <v>#NAME?</v>
      </c>
      <c r="X88" s="19" t="str">
        <f t="shared" si="3"/>
        <v>Sneha Joshi</v>
      </c>
      <c r="Y88" s="28" t="str">
        <f t="shared" si="4"/>
        <v>Sne0087Pu</v>
      </c>
      <c r="Z88" s="28" t="str">
        <f t="shared" si="5"/>
        <v>sneha.joshi@company.com</v>
      </c>
    </row>
    <row r="89" spans="1:26">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c r="W89" s="24" t="e" cm="1">
        <f t="array" aca="1" ref="W89" ca="1">_xlfn.IFS(  OR(Q89&lt;=2, V89="Cancelled"), "BLACKLISTED", AND(P89&gt;=100000, Q89&gt;=4, O89&lt;=10, V89="Completed"), "PLATINUM", AND( P89&lt;=99999, P89&gt;=50000, Q89&gt;=3, V89= "Completed"), "GOLD", AND( P89&lt;50000, V89="Completed"), "SILVER", TRUE, "UNCLASSIFIED")</f>
        <v>#NAME?</v>
      </c>
      <c r="X89" s="19" t="str">
        <f t="shared" si="3"/>
        <v>Priya Patel</v>
      </c>
      <c r="Y89" s="28" t="str">
        <f t="shared" si="4"/>
        <v>Pri0088Ah</v>
      </c>
      <c r="Z89" s="28" t="str">
        <f t="shared" si="5"/>
        <v>priya.patel@company.com</v>
      </c>
    </row>
    <row r="90" spans="1:26">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c r="W90" s="24" t="e" cm="1">
        <f t="array" aca="1" ref="W90" ca="1">_xlfn.IFS(  OR(Q90&lt;=2, V90="Cancelled"), "BLACKLISTED", AND(P90&gt;=100000, Q90&gt;=4, O90&lt;=10, V90="Completed"), "PLATINUM", AND( P90&lt;=99999, P90&gt;=50000, Q90&gt;=3, V90= "Completed"), "GOLD", AND( P90&lt;50000, V90="Completed"), "SILVER", TRUE, "UNCLASSIFIED")</f>
        <v>#NAME?</v>
      </c>
      <c r="X90" s="19" t="str">
        <f t="shared" si="3"/>
        <v>Amit Sharma</v>
      </c>
      <c r="Y90" s="28" t="str">
        <f t="shared" si="4"/>
        <v>Ami0089Ah</v>
      </c>
      <c r="Z90" s="28" t="str">
        <f t="shared" si="5"/>
        <v>amit.sharma@company.com</v>
      </c>
    </row>
    <row r="91" spans="1:26">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c r="W91" s="24" t="e" cm="1">
        <f t="array" aca="1" ref="W91" ca="1">_xlfn.IFS(  OR(Q91&lt;=2, V91="Cancelled"), "BLACKLISTED", AND(P91&gt;=100000, Q91&gt;=4, O91&lt;=10, V91="Completed"), "PLATINUM", AND( P91&lt;=99999, P91&gt;=50000, Q91&gt;=3, V91= "Completed"), "GOLD", AND( P91&lt;50000, V91="Completed"), "SILVER", TRUE, "UNCLASSIFIED")</f>
        <v>#NAME?</v>
      </c>
      <c r="X91" s="19" t="str">
        <f t="shared" si="3"/>
        <v>Kavya Nair</v>
      </c>
      <c r="Y91" s="28" t="str">
        <f t="shared" si="4"/>
        <v>Kav0090Pu</v>
      </c>
      <c r="Z91" s="28" t="str">
        <f t="shared" si="5"/>
        <v>kavya.nair@company.com</v>
      </c>
    </row>
    <row r="92" spans="1:26">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c r="W92" s="24" t="e" cm="1">
        <f t="array" aca="1" ref="W92" ca="1">_xlfn.IFS(  OR(Q92&lt;=2, V92="Cancelled"), "BLACKLISTED", AND(P92&gt;=100000, Q92&gt;=4, O92&lt;=10, V92="Completed"), "PLATINUM", AND( P92&lt;=99999, P92&gt;=50000, Q92&gt;=3, V92= "Completed"), "GOLD", AND( P92&lt;50000, V92="Completed"), "SILVER", TRUE, "UNCLASSIFIED")</f>
        <v>#NAME?</v>
      </c>
      <c r="X92" s="19" t="str">
        <f t="shared" si="3"/>
        <v>Pooja Shah</v>
      </c>
      <c r="Y92" s="28" t="str">
        <f t="shared" si="4"/>
        <v>Poo0091Ja</v>
      </c>
      <c r="Z92" s="28" t="str">
        <f t="shared" si="5"/>
        <v>pooja.shah@company.com</v>
      </c>
    </row>
    <row r="93" spans="1:26">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c r="W93" s="24" t="e" cm="1">
        <f t="array" aca="1" ref="W93" ca="1">_xlfn.IFS(  OR(Q93&lt;=2, V93="Cancelled"), "BLACKLISTED", AND(P93&gt;=100000, Q93&gt;=4, O93&lt;=10, V93="Completed"), "PLATINUM", AND( P93&lt;=99999, P93&gt;=50000, Q93&gt;=3, V93= "Completed"), "GOLD", AND( P93&lt;50000, V93="Completed"), "SILVER", TRUE, "UNCLASSIFIED")</f>
        <v>#NAME?</v>
      </c>
      <c r="X93" s="19" t="str">
        <f t="shared" si="3"/>
        <v>Pooja Shah</v>
      </c>
      <c r="Y93" s="28" t="str">
        <f t="shared" si="4"/>
        <v>Poo0092Hy</v>
      </c>
      <c r="Z93" s="28" t="str">
        <f t="shared" si="5"/>
        <v>pooja.shah@company.com</v>
      </c>
    </row>
    <row r="94" spans="1:26">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c r="W94" s="24" t="e" cm="1">
        <f t="array" aca="1" ref="W94" ca="1">_xlfn.IFS(  OR(Q94&lt;=2, V94="Cancelled"), "BLACKLISTED", AND(P94&gt;=100000, Q94&gt;=4, O94&lt;=10, V94="Completed"), "PLATINUM", AND( P94&lt;=99999, P94&gt;=50000, Q94&gt;=3, V94= "Completed"), "GOLD", AND( P94&lt;50000, V94="Completed"), "SILVER", TRUE, "UNCLASSIFIED")</f>
        <v>#NAME?</v>
      </c>
      <c r="X94" s="19" t="str">
        <f t="shared" si="3"/>
        <v>Kavya Nair</v>
      </c>
      <c r="Y94" s="28" t="str">
        <f t="shared" si="4"/>
        <v>Kav0093Be</v>
      </c>
      <c r="Z94" s="28" t="str">
        <f t="shared" si="5"/>
        <v>kavya.nair@company.com</v>
      </c>
    </row>
    <row r="95" spans="1:26">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c r="W95" s="24" t="e" cm="1">
        <f t="array" aca="1" ref="W95" ca="1">_xlfn.IFS(  OR(Q95&lt;=2, V95="Cancelled"), "BLACKLISTED", AND(P95&gt;=100000, Q95&gt;=4, O95&lt;=10, V95="Completed"), "PLATINUM", AND( P95&lt;=99999, P95&gt;=50000, Q95&gt;=3, V95= "Completed"), "GOLD", AND( P95&lt;50000, V95="Completed"), "SILVER", TRUE, "UNCLASSIFIED")</f>
        <v>#NAME?</v>
      </c>
      <c r="X95" s="19" t="str">
        <f t="shared" si="3"/>
        <v>Anita Gupta</v>
      </c>
      <c r="Y95" s="28" t="str">
        <f t="shared" si="4"/>
        <v>Ani0094De</v>
      </c>
      <c r="Z95" s="28" t="str">
        <f t="shared" si="5"/>
        <v>anita.gupta@company.com</v>
      </c>
    </row>
    <row r="96" spans="1:26">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c r="W96" s="24" t="e" cm="1">
        <f t="array" aca="1" ref="W96" ca="1">_xlfn.IFS(  OR(Q96&lt;=2, V96="Cancelled"), "BLACKLISTED", AND(P96&gt;=100000, Q96&gt;=4, O96&lt;=10, V96="Completed"), "PLATINUM", AND( P96&lt;=99999, P96&gt;=50000, Q96&gt;=3, V96= "Completed"), "GOLD", AND( P96&lt;50000, V96="Completed"), "SILVER", TRUE, "UNCLASSIFIED")</f>
        <v>#NAME?</v>
      </c>
      <c r="X96" s="19" t="str">
        <f t="shared" si="3"/>
        <v>Amit Sharma</v>
      </c>
      <c r="Y96" s="28" t="str">
        <f t="shared" si="4"/>
        <v>Ami0095De</v>
      </c>
      <c r="Z96" s="28" t="str">
        <f t="shared" si="5"/>
        <v>amit.sharma@company.com</v>
      </c>
    </row>
    <row r="97" spans="1:26">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c r="W97" s="24" t="e" cm="1">
        <f t="array" aca="1" ref="W97" ca="1">_xlfn.IFS(  OR(Q97&lt;=2, V97="Cancelled"), "BLACKLISTED", AND(P97&gt;=100000, Q97&gt;=4, O97&lt;=10, V97="Completed"), "PLATINUM", AND( P97&lt;=99999, P97&gt;=50000, Q97&gt;=3, V97= "Completed"), "GOLD", AND( P97&lt;50000, V97="Completed"), "SILVER", TRUE, "UNCLASSIFIED")</f>
        <v>#NAME?</v>
      </c>
      <c r="X97" s="19" t="str">
        <f t="shared" si="3"/>
        <v>Priya Patel</v>
      </c>
      <c r="Y97" s="28" t="str">
        <f t="shared" si="4"/>
        <v>Pri0096Ko</v>
      </c>
      <c r="Z97" s="28" t="str">
        <f t="shared" si="5"/>
        <v>priya.patel@company.com</v>
      </c>
    </row>
    <row r="98" spans="1:26">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c r="W98" s="24" t="e" cm="1">
        <f t="array" aca="1" ref="W98" ca="1">_xlfn.IFS(  OR(Q98&lt;=2, V98="Cancelled"), "BLACKLISTED", AND(P98&gt;=100000, Q98&gt;=4, O98&lt;=10, V98="Completed"), "PLATINUM", AND( P98&lt;=99999, P98&gt;=50000, Q98&gt;=3, V98= "Completed"), "GOLD", AND( P98&lt;50000, V98="Completed"), "SILVER", TRUE, "UNCLASSIFIED")</f>
        <v>#NAME?</v>
      </c>
      <c r="X98" s="19" t="str">
        <f t="shared" si="3"/>
        <v>Sneha Joshi</v>
      </c>
      <c r="Y98" s="28" t="str">
        <f t="shared" si="4"/>
        <v>Sne0097Ah</v>
      </c>
      <c r="Z98" s="28" t="str">
        <f t="shared" si="5"/>
        <v>sneha.joshi@company.com</v>
      </c>
    </row>
    <row r="99" spans="1:26">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c r="W99" s="24" t="e" cm="1">
        <f t="array" aca="1" ref="W99" ca="1">_xlfn.IFS(  OR(Q99&lt;=2, V99="Cancelled"), "BLACKLISTED", AND(P99&gt;=100000, Q99&gt;=4, O99&lt;=10, V99="Completed"), "PLATINUM", AND( P99&lt;=99999, P99&gt;=50000, Q99&gt;=3, V99= "Completed"), "GOLD", AND( P99&lt;50000, V99="Completed"), "SILVER", TRUE, "UNCLASSIFIED")</f>
        <v>#NAME?</v>
      </c>
      <c r="X99" s="19" t="str">
        <f t="shared" si="3"/>
        <v>Amit Sharma</v>
      </c>
      <c r="Y99" s="28" t="str">
        <f t="shared" si="4"/>
        <v>Ami0098Pu</v>
      </c>
      <c r="Z99" s="28" t="str">
        <f t="shared" si="5"/>
        <v>amit.sharma@company.com</v>
      </c>
    </row>
    <row r="100" spans="1:26">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c r="W100" s="24" t="e" cm="1">
        <f t="array" aca="1" ref="W100" ca="1">_xlfn.IFS(  OR(Q100&lt;=2, V100="Cancelled"), "BLACKLISTED", AND(P100&gt;=100000, Q100&gt;=4, O100&lt;=10, V100="Completed"), "PLATINUM", AND( P100&lt;=99999, P100&gt;=50000, Q100&gt;=3, V100= "Completed"), "GOLD", AND( P100&lt;50000, V100="Completed"), "SILVER", TRUE, "UNCLASSIFIED")</f>
        <v>#NAME?</v>
      </c>
      <c r="X100" s="19" t="str">
        <f t="shared" si="3"/>
        <v>Anita Gupta</v>
      </c>
      <c r="Y100" s="28" t="str">
        <f t="shared" si="4"/>
        <v>Ani0099De</v>
      </c>
      <c r="Z100" s="28" t="str">
        <f t="shared" si="5"/>
        <v>anita.gupta@company.com</v>
      </c>
    </row>
    <row r="101" spans="1:26">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c r="W101" s="24" t="e" cm="1">
        <f t="array" aca="1" ref="W101" ca="1">_xlfn.IFS(  OR(Q101&lt;=2, V101="Cancelled"), "BLACKLISTED", AND(P101&gt;=100000, Q101&gt;=4, O101&lt;=10, V101="Completed"), "PLATINUM", AND( P101&lt;=99999, P101&gt;=50000, Q101&gt;=3, V101= "Completed"), "GOLD", AND( P101&lt;50000, V101="Completed"), "SILVER", TRUE, "UNCLASSIFIED")</f>
        <v>#NAME?</v>
      </c>
      <c r="X101" s="19" t="str">
        <f t="shared" si="3"/>
        <v>Arjun Rao</v>
      </c>
      <c r="Y101" s="28" t="str">
        <f t="shared" si="4"/>
        <v>Arj0100Be</v>
      </c>
      <c r="Z101" s="28" t="str">
        <f t="shared" si="5"/>
        <v>arjun.rao@company.com</v>
      </c>
    </row>
    <row r="102" spans="1:26">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c r="W102" s="24" t="e" cm="1">
        <f t="array" aca="1" ref="W102" ca="1">_xlfn.IFS(  OR(Q102&lt;=2, V102="Cancelled"), "BLACKLISTED", AND(P102&gt;=100000, Q102&gt;=4, O102&lt;=10, V102="Completed"), "PLATINUM", AND( P102&lt;=99999, P102&gt;=50000, Q102&gt;=3, V102= "Completed"), "GOLD", AND( P102&lt;50000, V102="Completed"), "SILVER", TRUE, "UNCLASSIFIED")</f>
        <v>#NAME?</v>
      </c>
      <c r="X102" s="19" t="str">
        <f t="shared" si="3"/>
        <v>Rohit Singh</v>
      </c>
      <c r="Y102" s="28" t="str">
        <f t="shared" si="4"/>
        <v>Roh0101Ko</v>
      </c>
      <c r="Z102" s="28" t="str">
        <f t="shared" si="5"/>
        <v>rohit.singh@company.com</v>
      </c>
    </row>
    <row r="103" spans="1:26">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c r="W103" s="24" t="e" cm="1">
        <f t="array" aca="1" ref="W103" ca="1">_xlfn.IFS(  OR(Q103&lt;=2, V103="Cancelled"), "BLACKLISTED", AND(P103&gt;=100000, Q103&gt;=4, O103&lt;=10, V103="Completed"), "PLATINUM", AND( P103&lt;=99999, P103&gt;=50000, Q103&gt;=3, V103= "Completed"), "GOLD", AND( P103&lt;50000, V103="Completed"), "SILVER", TRUE, "UNCLASSIFIED")</f>
        <v>#NAME?</v>
      </c>
      <c r="X103" s="19" t="str">
        <f t="shared" si="3"/>
        <v>Amit Sharma</v>
      </c>
      <c r="Y103" s="28" t="str">
        <f t="shared" si="4"/>
        <v>Ami0102Ah</v>
      </c>
      <c r="Z103" s="28" t="str">
        <f t="shared" si="5"/>
        <v>amit.sharma@company.com</v>
      </c>
    </row>
    <row r="104" spans="1:26">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c r="W104" s="24" t="e" cm="1">
        <f t="array" aca="1" ref="W104" ca="1">_xlfn.IFS(  OR(Q104&lt;=2, V104="Cancelled"), "BLACKLISTED", AND(P104&gt;=100000, Q104&gt;=4, O104&lt;=10, V104="Completed"), "PLATINUM", AND( P104&lt;=99999, P104&gt;=50000, Q104&gt;=3, V104= "Completed"), "GOLD", AND( P104&lt;50000, V104="Completed"), "SILVER", TRUE, "UNCLASSIFIED")</f>
        <v>#NAME?</v>
      </c>
      <c r="X104" s="19" t="str">
        <f t="shared" si="3"/>
        <v>Amit Sharma</v>
      </c>
      <c r="Y104" s="28" t="str">
        <f t="shared" si="4"/>
        <v>Ami0103Pu</v>
      </c>
      <c r="Z104" s="28" t="str">
        <f t="shared" si="5"/>
        <v>amit.sharma@company.com</v>
      </c>
    </row>
    <row r="105" spans="1:26">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c r="W105" s="24" t="e" cm="1">
        <f t="array" aca="1" ref="W105" ca="1">_xlfn.IFS(  OR(Q105&lt;=2, V105="Cancelled"), "BLACKLISTED", AND(P105&gt;=100000, Q105&gt;=4, O105&lt;=10, V105="Completed"), "PLATINUM", AND( P105&lt;=99999, P105&gt;=50000, Q105&gt;=3, V105= "Completed"), "GOLD", AND( P105&lt;50000, V105="Completed"), "SILVER", TRUE, "UNCLASSIFIED")</f>
        <v>#NAME?</v>
      </c>
      <c r="X105" s="19" t="str">
        <f t="shared" si="3"/>
        <v>Sneha Joshi</v>
      </c>
      <c r="Y105" s="28" t="str">
        <f t="shared" si="4"/>
        <v>Sne0104Be</v>
      </c>
      <c r="Z105" s="28" t="str">
        <f t="shared" si="5"/>
        <v>sneha.joshi@company.com</v>
      </c>
    </row>
    <row r="106" spans="1:26">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c r="W106" s="24" t="e" cm="1">
        <f t="array" aca="1" ref="W106" ca="1">_xlfn.IFS(  OR(Q106&lt;=2, V106="Cancelled"), "BLACKLISTED", AND(P106&gt;=100000, Q106&gt;=4, O106&lt;=10, V106="Completed"), "PLATINUM", AND( P106&lt;=99999, P106&gt;=50000, Q106&gt;=3, V106= "Completed"), "GOLD", AND( P106&lt;50000, V106="Completed"), "SILVER", TRUE, "UNCLASSIFIED")</f>
        <v>#NAME?</v>
      </c>
      <c r="X106" s="19" t="str">
        <f t="shared" si="3"/>
        <v>Arjun Rao</v>
      </c>
      <c r="Y106" s="28" t="str">
        <f t="shared" si="4"/>
        <v>Arj0105Mu</v>
      </c>
      <c r="Z106" s="28" t="str">
        <f t="shared" si="5"/>
        <v>arjun.rao@company.com</v>
      </c>
    </row>
    <row r="107" spans="1:26">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c r="W107" s="24" t="e" cm="1">
        <f t="array" aca="1" ref="W107" ca="1">_xlfn.IFS(  OR(Q107&lt;=2, V107="Cancelled"), "BLACKLISTED", AND(P107&gt;=100000, Q107&gt;=4, O107&lt;=10, V107="Completed"), "PLATINUM", AND( P107&lt;=99999, P107&gt;=50000, Q107&gt;=3, V107= "Completed"), "GOLD", AND( P107&lt;50000, V107="Completed"), "SILVER", TRUE, "UNCLASSIFIED")</f>
        <v>#NAME?</v>
      </c>
      <c r="X107" s="19" t="str">
        <f t="shared" si="3"/>
        <v>Pooja Shah</v>
      </c>
      <c r="Y107" s="28" t="str">
        <f t="shared" si="4"/>
        <v>Poo0106De</v>
      </c>
      <c r="Z107" s="28" t="str">
        <f t="shared" si="5"/>
        <v>pooja.shah@company.com</v>
      </c>
    </row>
    <row r="108" spans="1:26">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c r="W108" s="24" t="e" cm="1">
        <f t="array" aca="1" ref="W108" ca="1">_xlfn.IFS(  OR(Q108&lt;=2, V108="Cancelled"), "BLACKLISTED", AND(P108&gt;=100000, Q108&gt;=4, O108&lt;=10, V108="Completed"), "PLATINUM", AND( P108&lt;=99999, P108&gt;=50000, Q108&gt;=3, V108= "Completed"), "GOLD", AND( P108&lt;50000, V108="Completed"), "SILVER", TRUE, "UNCLASSIFIED")</f>
        <v>#NAME?</v>
      </c>
      <c r="X108" s="19" t="str">
        <f t="shared" si="3"/>
        <v>Priya Patel</v>
      </c>
      <c r="Y108" s="28" t="str">
        <f t="shared" si="4"/>
        <v>Pri0107De</v>
      </c>
      <c r="Z108" s="28" t="str">
        <f t="shared" si="5"/>
        <v>priya.patel@company.com</v>
      </c>
    </row>
    <row r="109" spans="1:26">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c r="W109" s="24" t="e" cm="1">
        <f t="array" aca="1" ref="W109" ca="1">_xlfn.IFS(  OR(Q109&lt;=2, V109="Cancelled"), "BLACKLISTED", AND(P109&gt;=100000, Q109&gt;=4, O109&lt;=10, V109="Completed"), "PLATINUM", AND( P109&lt;=99999, P109&gt;=50000, Q109&gt;=3, V109= "Completed"), "GOLD", AND( P109&lt;50000, V109="Completed"), "SILVER", TRUE, "UNCLASSIFIED")</f>
        <v>#NAME?</v>
      </c>
      <c r="X109" s="19" t="str">
        <f t="shared" si="3"/>
        <v>Vikas Mehta</v>
      </c>
      <c r="Y109" s="28" t="str">
        <f t="shared" si="4"/>
        <v>Vik0108Mu</v>
      </c>
      <c r="Z109" s="28" t="str">
        <f t="shared" si="5"/>
        <v>vikas.mehta@company.com</v>
      </c>
    </row>
    <row r="110" spans="1:26">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c r="W110" s="24" t="e" cm="1">
        <f t="array" aca="1" ref="W110" ca="1">_xlfn.IFS(  OR(Q110&lt;=2, V110="Cancelled"), "BLACKLISTED", AND(P110&gt;=100000, Q110&gt;=4, O110&lt;=10, V110="Completed"), "PLATINUM", AND( P110&lt;=99999, P110&gt;=50000, Q110&gt;=3, V110= "Completed"), "GOLD", AND( P110&lt;50000, V110="Completed"), "SILVER", TRUE, "UNCLASSIFIED")</f>
        <v>#NAME?</v>
      </c>
      <c r="X110" s="19" t="str">
        <f t="shared" si="3"/>
        <v>Arjun Rao</v>
      </c>
      <c r="Y110" s="28" t="str">
        <f t="shared" si="4"/>
        <v>Arj0109Ja</v>
      </c>
      <c r="Z110" s="28" t="str">
        <f t="shared" si="5"/>
        <v>arjun.rao@company.com</v>
      </c>
    </row>
    <row r="111" spans="1:26">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c r="W111" s="24" t="e" cm="1">
        <f t="array" aca="1" ref="W111" ca="1">_xlfn.IFS(  OR(Q111&lt;=2, V111="Cancelled"), "BLACKLISTED", AND(P111&gt;=100000, Q111&gt;=4, O111&lt;=10, V111="Completed"), "PLATINUM", AND( P111&lt;=99999, P111&gt;=50000, Q111&gt;=3, V111= "Completed"), "GOLD", AND( P111&lt;50000, V111="Completed"), "SILVER", TRUE, "UNCLASSIFIED")</f>
        <v>#NAME?</v>
      </c>
      <c r="X111" s="19" t="str">
        <f t="shared" si="3"/>
        <v>Vikas Mehta</v>
      </c>
      <c r="Y111" s="28" t="str">
        <f t="shared" si="4"/>
        <v>Vik0110Be</v>
      </c>
      <c r="Z111" s="28" t="str">
        <f t="shared" si="5"/>
        <v>vikas.mehta@company.com</v>
      </c>
    </row>
    <row r="112" spans="1:26">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c r="W112" s="24" t="e" cm="1">
        <f t="array" aca="1" ref="W112" ca="1">_xlfn.IFS(  OR(Q112&lt;=2, V112="Cancelled"), "BLACKLISTED", AND(P112&gt;=100000, Q112&gt;=4, O112&lt;=10, V112="Completed"), "PLATINUM", AND( P112&lt;=99999, P112&gt;=50000, Q112&gt;=3, V112= "Completed"), "GOLD", AND( P112&lt;50000, V112="Completed"), "SILVER", TRUE, "UNCLASSIFIED")</f>
        <v>#NAME?</v>
      </c>
      <c r="X112" s="19" t="str">
        <f t="shared" si="3"/>
        <v>Rohit Singh</v>
      </c>
      <c r="Y112" s="28" t="str">
        <f t="shared" si="4"/>
        <v>Roh0111Hy</v>
      </c>
      <c r="Z112" s="28" t="str">
        <f t="shared" si="5"/>
        <v>rohit.singh@company.com</v>
      </c>
    </row>
    <row r="113" spans="1:26">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c r="W113" s="24" t="e" cm="1">
        <f t="array" aca="1" ref="W113" ca="1">_xlfn.IFS(  OR(Q113&lt;=2, V113="Cancelled"), "BLACKLISTED", AND(P113&gt;=100000, Q113&gt;=4, O113&lt;=10, V113="Completed"), "PLATINUM", AND( P113&lt;=99999, P113&gt;=50000, Q113&gt;=3, V113= "Completed"), "GOLD", AND( P113&lt;50000, V113="Completed"), "SILVER", TRUE, "UNCLASSIFIED")</f>
        <v>#NAME?</v>
      </c>
      <c r="X113" s="19" t="str">
        <f t="shared" si="3"/>
        <v>Rohit Singh</v>
      </c>
      <c r="Y113" s="28" t="str">
        <f t="shared" si="4"/>
        <v>Roh0112Ko</v>
      </c>
      <c r="Z113" s="28" t="str">
        <f t="shared" si="5"/>
        <v>rohit.singh@company.com</v>
      </c>
    </row>
    <row r="114" spans="1:26">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c r="W114" s="24" t="e" cm="1">
        <f t="array" aca="1" ref="W114" ca="1">_xlfn.IFS(  OR(Q114&lt;=2, V114="Cancelled"), "BLACKLISTED", AND(P114&gt;=100000, Q114&gt;=4, O114&lt;=10, V114="Completed"), "PLATINUM", AND( P114&lt;=99999, P114&gt;=50000, Q114&gt;=3, V114= "Completed"), "GOLD", AND( P114&lt;50000, V114="Completed"), "SILVER", TRUE, "UNCLASSIFIED")</f>
        <v>#NAME?</v>
      </c>
      <c r="X114" s="19" t="str">
        <f t="shared" si="3"/>
        <v>Pooja Shah</v>
      </c>
      <c r="Y114" s="28" t="str">
        <f t="shared" si="4"/>
        <v>Poo0113Hy</v>
      </c>
      <c r="Z114" s="28" t="str">
        <f t="shared" si="5"/>
        <v>pooja.shah@company.com</v>
      </c>
    </row>
    <row r="115" spans="1:26">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c r="W115" s="24" t="e" cm="1">
        <f t="array" aca="1" ref="W115" ca="1">_xlfn.IFS(  OR(Q115&lt;=2, V115="Cancelled"), "BLACKLISTED", AND(P115&gt;=100000, Q115&gt;=4, O115&lt;=10, V115="Completed"), "PLATINUM", AND( P115&lt;=99999, P115&gt;=50000, Q115&gt;=3, V115= "Completed"), "GOLD", AND( P115&lt;50000, V115="Completed"), "SILVER", TRUE, "UNCLASSIFIED")</f>
        <v>#NAME?</v>
      </c>
      <c r="X115" s="19" t="str">
        <f t="shared" si="3"/>
        <v>Vikas Mehta</v>
      </c>
      <c r="Y115" s="28" t="str">
        <f t="shared" si="4"/>
        <v>Vik0114Pu</v>
      </c>
      <c r="Z115" s="28" t="str">
        <f t="shared" si="5"/>
        <v>vikas.mehta@company.com</v>
      </c>
    </row>
    <row r="116" spans="1:26">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c r="W116" s="24" t="e" cm="1">
        <f t="array" aca="1" ref="W116" ca="1">_xlfn.IFS(  OR(Q116&lt;=2, V116="Cancelled"), "BLACKLISTED", AND(P116&gt;=100000, Q116&gt;=4, O116&lt;=10, V116="Completed"), "PLATINUM", AND( P116&lt;=99999, P116&gt;=50000, Q116&gt;=3, V116= "Completed"), "GOLD", AND( P116&lt;50000, V116="Completed"), "SILVER", TRUE, "UNCLASSIFIED")</f>
        <v>#NAME?</v>
      </c>
      <c r="X116" s="19" t="str">
        <f t="shared" si="3"/>
        <v>Pooja Shah</v>
      </c>
      <c r="Y116" s="28" t="str">
        <f t="shared" si="4"/>
        <v>Poo0115Ko</v>
      </c>
      <c r="Z116" s="28" t="str">
        <f t="shared" si="5"/>
        <v>pooja.shah@company.com</v>
      </c>
    </row>
    <row r="117" spans="1:26">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c r="W117" s="24" t="e" cm="1">
        <f t="array" aca="1" ref="W117" ca="1">_xlfn.IFS(  OR(Q117&lt;=2, V117="Cancelled"), "BLACKLISTED", AND(P117&gt;=100000, Q117&gt;=4, O117&lt;=10, V117="Completed"), "PLATINUM", AND( P117&lt;=99999, P117&gt;=50000, Q117&gt;=3, V117= "Completed"), "GOLD", AND( P117&lt;50000, V117="Completed"), "SILVER", TRUE, "UNCLASSIFIED")</f>
        <v>#NAME?</v>
      </c>
      <c r="X117" s="19" t="str">
        <f t="shared" si="3"/>
        <v>Anita Gupta</v>
      </c>
      <c r="Y117" s="28" t="str">
        <f t="shared" si="4"/>
        <v>Ani0116De</v>
      </c>
      <c r="Z117" s="28" t="str">
        <f t="shared" si="5"/>
        <v>anita.gupta@company.com</v>
      </c>
    </row>
    <row r="118" spans="1:26">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c r="W118" s="24" t="e" cm="1">
        <f t="array" aca="1" ref="W118" ca="1">_xlfn.IFS(  OR(Q118&lt;=2, V118="Cancelled"), "BLACKLISTED", AND(P118&gt;=100000, Q118&gt;=4, O118&lt;=10, V118="Completed"), "PLATINUM", AND( P118&lt;=99999, P118&gt;=50000, Q118&gt;=3, V118= "Completed"), "GOLD", AND( P118&lt;50000, V118="Completed"), "SILVER", TRUE, "UNCLASSIFIED")</f>
        <v>#NAME?</v>
      </c>
      <c r="X118" s="19" t="str">
        <f t="shared" si="3"/>
        <v>Priya Patel</v>
      </c>
      <c r="Y118" s="28" t="str">
        <f t="shared" si="4"/>
        <v>Pri0117Be</v>
      </c>
      <c r="Z118" s="28" t="str">
        <f t="shared" si="5"/>
        <v>priya.patel@company.com</v>
      </c>
    </row>
    <row r="119" spans="1:26">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c r="W119" s="24" t="e" cm="1">
        <f t="array" aca="1" ref="W119" ca="1">_xlfn.IFS(  OR(Q119&lt;=2, V119="Cancelled"), "BLACKLISTED", AND(P119&gt;=100000, Q119&gt;=4, O119&lt;=10, V119="Completed"), "PLATINUM", AND( P119&lt;=99999, P119&gt;=50000, Q119&gt;=3, V119= "Completed"), "GOLD", AND( P119&lt;50000, V119="Completed"), "SILVER", TRUE, "UNCLASSIFIED")</f>
        <v>#NAME?</v>
      </c>
      <c r="X119" s="19" t="str">
        <f t="shared" si="3"/>
        <v>Amit Sharma</v>
      </c>
      <c r="Y119" s="28" t="str">
        <f t="shared" si="4"/>
        <v>Ami0118Pu</v>
      </c>
      <c r="Z119" s="28" t="str">
        <f t="shared" si="5"/>
        <v>amit.sharma@company.com</v>
      </c>
    </row>
    <row r="120" spans="1:26">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c r="W120" s="24" t="e" cm="1">
        <f t="array" aca="1" ref="W120" ca="1">_xlfn.IFS(  OR(Q120&lt;=2, V120="Cancelled"), "BLACKLISTED", AND(P120&gt;=100000, Q120&gt;=4, O120&lt;=10, V120="Completed"), "PLATINUM", AND( P120&lt;=99999, P120&gt;=50000, Q120&gt;=3, V120= "Completed"), "GOLD", AND( P120&lt;50000, V120="Completed"), "SILVER", TRUE, "UNCLASSIFIED")</f>
        <v>#NAME?</v>
      </c>
      <c r="X120" s="19" t="str">
        <f t="shared" si="3"/>
        <v>Mohit Verma</v>
      </c>
      <c r="Y120" s="28" t="str">
        <f t="shared" si="4"/>
        <v>Moh0119Ah</v>
      </c>
      <c r="Z120" s="28" t="str">
        <f t="shared" si="5"/>
        <v>mohit.verma@company.com</v>
      </c>
    </row>
    <row r="121" spans="1:26">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c r="W121" s="24" t="e" cm="1">
        <f t="array" aca="1" ref="W121" ca="1">_xlfn.IFS(  OR(Q121&lt;=2, V121="Cancelled"), "BLACKLISTED", AND(P121&gt;=100000, Q121&gt;=4, O121&lt;=10, V121="Completed"), "PLATINUM", AND( P121&lt;=99999, P121&gt;=50000, Q121&gt;=3, V121= "Completed"), "GOLD", AND( P121&lt;50000, V121="Completed"), "SILVER", TRUE, "UNCLASSIFIED")</f>
        <v>#NAME?</v>
      </c>
      <c r="X121" s="19" t="str">
        <f t="shared" si="3"/>
        <v>Priya Patel</v>
      </c>
      <c r="Y121" s="28" t="str">
        <f t="shared" si="4"/>
        <v>Pri0120Ja</v>
      </c>
      <c r="Z121" s="28" t="str">
        <f t="shared" si="5"/>
        <v>priya.patel@company.com</v>
      </c>
    </row>
    <row r="122" spans="1:26">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c r="W122" s="24" t="e" cm="1">
        <f t="array" aca="1" ref="W122" ca="1">_xlfn.IFS(  OR(Q122&lt;=2, V122="Cancelled"), "BLACKLISTED", AND(P122&gt;=100000, Q122&gt;=4, O122&lt;=10, V122="Completed"), "PLATINUM", AND( P122&lt;=99999, P122&gt;=50000, Q122&gt;=3, V122= "Completed"), "GOLD", AND( P122&lt;50000, V122="Completed"), "SILVER", TRUE, "UNCLASSIFIED")</f>
        <v>#NAME?</v>
      </c>
      <c r="X122" s="19" t="str">
        <f t="shared" si="3"/>
        <v>Rohit Singh</v>
      </c>
      <c r="Y122" s="28" t="str">
        <f t="shared" si="4"/>
        <v>Roh0121Pu</v>
      </c>
      <c r="Z122" s="28" t="str">
        <f t="shared" si="5"/>
        <v>rohit.singh@company.com</v>
      </c>
    </row>
    <row r="123" spans="1:26">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c r="W123" s="24" t="e" cm="1">
        <f t="array" aca="1" ref="W123" ca="1">_xlfn.IFS(  OR(Q123&lt;=2, V123="Cancelled"), "BLACKLISTED", AND(P123&gt;=100000, Q123&gt;=4, O123&lt;=10, V123="Completed"), "PLATINUM", AND( P123&lt;=99999, P123&gt;=50000, Q123&gt;=3, V123= "Completed"), "GOLD", AND( P123&lt;50000, V123="Completed"), "SILVER", TRUE, "UNCLASSIFIED")</f>
        <v>#NAME?</v>
      </c>
      <c r="X123" s="19" t="str">
        <f t="shared" si="3"/>
        <v>Arjun Rao</v>
      </c>
      <c r="Y123" s="28" t="str">
        <f t="shared" si="4"/>
        <v>Arj0122Be</v>
      </c>
      <c r="Z123" s="28" t="str">
        <f t="shared" si="5"/>
        <v>arjun.rao@company.com</v>
      </c>
    </row>
    <row r="124" spans="1:26">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c r="W124" s="24" t="e" cm="1">
        <f t="array" aca="1" ref="W124" ca="1">_xlfn.IFS(  OR(Q124&lt;=2, V124="Cancelled"), "BLACKLISTED", AND(P124&gt;=100000, Q124&gt;=4, O124&lt;=10, V124="Completed"), "PLATINUM", AND( P124&lt;=99999, P124&gt;=50000, Q124&gt;=3, V124= "Completed"), "GOLD", AND( P124&lt;50000, V124="Completed"), "SILVER", TRUE, "UNCLASSIFIED")</f>
        <v>#NAME?</v>
      </c>
      <c r="X124" s="19" t="str">
        <f t="shared" si="3"/>
        <v>Amit Sharma</v>
      </c>
      <c r="Y124" s="28" t="str">
        <f t="shared" si="4"/>
        <v>Ami0123Ja</v>
      </c>
      <c r="Z124" s="28" t="str">
        <f t="shared" si="5"/>
        <v>amit.sharma@company.com</v>
      </c>
    </row>
    <row r="125" spans="1:26">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c r="W125" s="24" t="e" cm="1">
        <f t="array" aca="1" ref="W125" ca="1">_xlfn.IFS(  OR(Q125&lt;=2, V125="Cancelled"), "BLACKLISTED", AND(P125&gt;=100000, Q125&gt;=4, O125&lt;=10, V125="Completed"), "PLATINUM", AND( P125&lt;=99999, P125&gt;=50000, Q125&gt;=3, V125= "Completed"), "GOLD", AND( P125&lt;50000, V125="Completed"), "SILVER", TRUE, "UNCLASSIFIED")</f>
        <v>#NAME?</v>
      </c>
      <c r="X125" s="19" t="str">
        <f t="shared" si="3"/>
        <v>Anita Gupta</v>
      </c>
      <c r="Y125" s="28" t="str">
        <f t="shared" si="4"/>
        <v>Ani0124Mu</v>
      </c>
      <c r="Z125" s="28" t="str">
        <f t="shared" si="5"/>
        <v>anita.gupta@company.com</v>
      </c>
    </row>
    <row r="126" spans="1:26">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c r="W126" s="24" t="e" cm="1">
        <f t="array" aca="1" ref="W126" ca="1">_xlfn.IFS(  OR(Q126&lt;=2, V126="Cancelled"), "BLACKLISTED", AND(P126&gt;=100000, Q126&gt;=4, O126&lt;=10, V126="Completed"), "PLATINUM", AND( P126&lt;=99999, P126&gt;=50000, Q126&gt;=3, V126= "Completed"), "GOLD", AND( P126&lt;50000, V126="Completed"), "SILVER", TRUE, "UNCLASSIFIED")</f>
        <v>#NAME?</v>
      </c>
      <c r="X126" s="19" t="str">
        <f t="shared" si="3"/>
        <v>Priya Patel</v>
      </c>
      <c r="Y126" s="28" t="str">
        <f t="shared" si="4"/>
        <v>Pri0125De</v>
      </c>
      <c r="Z126" s="28" t="str">
        <f t="shared" si="5"/>
        <v>priya.patel@company.com</v>
      </c>
    </row>
    <row r="127" spans="1:26">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c r="W127" s="24" t="e" cm="1">
        <f t="array" aca="1" ref="W127" ca="1">_xlfn.IFS(  OR(Q127&lt;=2, V127="Cancelled"), "BLACKLISTED", AND(P127&gt;=100000, Q127&gt;=4, O127&lt;=10, V127="Completed"), "PLATINUM", AND( P127&lt;=99999, P127&gt;=50000, Q127&gt;=3, V127= "Completed"), "GOLD", AND( P127&lt;50000, V127="Completed"), "SILVER", TRUE, "UNCLASSIFIED")</f>
        <v>#NAME?</v>
      </c>
      <c r="X127" s="19" t="str">
        <f t="shared" si="3"/>
        <v>Anita Gupta</v>
      </c>
      <c r="Y127" s="28" t="str">
        <f t="shared" si="4"/>
        <v>Ani0126Be</v>
      </c>
      <c r="Z127" s="28" t="str">
        <f t="shared" si="5"/>
        <v>anita.gupta@company.com</v>
      </c>
    </row>
    <row r="128" spans="1:26">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c r="W128" s="24" t="e" cm="1">
        <f t="array" aca="1" ref="W128" ca="1">_xlfn.IFS(  OR(Q128&lt;=2, V128="Cancelled"), "BLACKLISTED", AND(P128&gt;=100000, Q128&gt;=4, O128&lt;=10, V128="Completed"), "PLATINUM", AND( P128&lt;=99999, P128&gt;=50000, Q128&gt;=3, V128= "Completed"), "GOLD", AND( P128&lt;50000, V128="Completed"), "SILVER", TRUE, "UNCLASSIFIED")</f>
        <v>#NAME?</v>
      </c>
      <c r="X128" s="19" t="str">
        <f t="shared" si="3"/>
        <v>Rohit Singh</v>
      </c>
      <c r="Y128" s="28" t="str">
        <f t="shared" si="4"/>
        <v>Roh0127Be</v>
      </c>
      <c r="Z128" s="28" t="str">
        <f t="shared" si="5"/>
        <v>rohit.singh@company.com</v>
      </c>
    </row>
    <row r="129" spans="1:26">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c r="W129" s="24" t="e" cm="1">
        <f t="array" aca="1" ref="W129" ca="1">_xlfn.IFS(  OR(Q129&lt;=2, V129="Cancelled"), "BLACKLISTED", AND(P129&gt;=100000, Q129&gt;=4, O129&lt;=10, V129="Completed"), "PLATINUM", AND( P129&lt;=99999, P129&gt;=50000, Q129&gt;=3, V129= "Completed"), "GOLD", AND( P129&lt;50000, V129="Completed"), "SILVER", TRUE, "UNCLASSIFIED")</f>
        <v>#NAME?</v>
      </c>
      <c r="X129" s="19" t="str">
        <f t="shared" si="3"/>
        <v>Sneha Joshi</v>
      </c>
      <c r="Y129" s="28" t="str">
        <f t="shared" si="4"/>
        <v>Sne0128Ja</v>
      </c>
      <c r="Z129" s="28" t="str">
        <f t="shared" si="5"/>
        <v>sneha.joshi@company.com</v>
      </c>
    </row>
    <row r="130" spans="1:26">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c r="W130" s="24" t="e" cm="1">
        <f t="array" aca="1" ref="W130" ca="1">_xlfn.IFS(  OR(Q130&lt;=2, V130="Cancelled"), "BLACKLISTED", AND(P130&gt;=100000, Q130&gt;=4, O130&lt;=10, V130="Completed"), "PLATINUM", AND( P130&lt;=99999, P130&gt;=50000, Q130&gt;=3, V130= "Completed"), "GOLD", AND( P130&lt;50000, V130="Completed"), "SILVER", TRUE, "UNCLASSIFIED")</f>
        <v>#NAME?</v>
      </c>
      <c r="X130" s="19" t="str">
        <f t="shared" si="3"/>
        <v>Priya Patel</v>
      </c>
      <c r="Y130" s="28" t="str">
        <f t="shared" si="4"/>
        <v>Pri0129Be</v>
      </c>
      <c r="Z130" s="28" t="str">
        <f t="shared" si="5"/>
        <v>priya.patel@company.com</v>
      </c>
    </row>
    <row r="131" spans="1:26">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c r="W131" s="24" t="e" cm="1">
        <f t="array" aca="1" ref="W131" ca="1">_xlfn.IFS(  OR(Q131&lt;=2, V131="Cancelled"), "BLACKLISTED", AND(P131&gt;=100000, Q131&gt;=4, O131&lt;=10, V131="Completed"), "PLATINUM", AND( P131&lt;=99999, P131&gt;=50000, Q131&gt;=3, V131= "Completed"), "GOLD", AND( P131&lt;50000, V131="Completed"), "SILVER", TRUE, "UNCLASSIFIED")</f>
        <v>#NAME?</v>
      </c>
      <c r="X131" s="19" t="str">
        <f t="shared" ref="X131:X194" si="6">PROPER(TRIM(F131))</f>
        <v>Sneha Joshi</v>
      </c>
      <c r="Y131" s="28" t="str">
        <f t="shared" ref="Y131:Y194" si="7">LEFT(X131,3)&amp;RIGHT(A131,4)&amp;LEFT(I131,2)</f>
        <v>Sne0130Pu</v>
      </c>
      <c r="Z131" s="28" t="str">
        <f t="shared" ref="Z131:Z194" si="8">IF(IFERROR(FIND("@", T131), 0), TRIM(LOWER(T131)), "Invalid Email" )</f>
        <v>sneha.joshi@company.com</v>
      </c>
    </row>
    <row r="132" spans="1:26">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c r="W132" s="24" t="e" cm="1">
        <f t="array" aca="1" ref="W132" ca="1">_xlfn.IFS(  OR(Q132&lt;=2, V132="Cancelled"), "BLACKLISTED", AND(P132&gt;=100000, Q132&gt;=4, O132&lt;=10, V132="Completed"), "PLATINUM", AND( P132&lt;=99999, P132&gt;=50000, Q132&gt;=3, V132= "Completed"), "GOLD", AND( P132&lt;50000, V132="Completed"), "SILVER", TRUE, "UNCLASSIFIED")</f>
        <v>#NAME?</v>
      </c>
      <c r="X132" s="19" t="str">
        <f t="shared" si="6"/>
        <v>Anita Gupta</v>
      </c>
      <c r="Y132" s="28" t="str">
        <f t="shared" si="7"/>
        <v>Ani0131Be</v>
      </c>
      <c r="Z132" s="28" t="str">
        <f t="shared" si="8"/>
        <v>anita.gupta@company.com</v>
      </c>
    </row>
    <row r="133" spans="1:26">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c r="W133" s="24" t="e" cm="1">
        <f t="array" aca="1" ref="W133" ca="1">_xlfn.IFS(  OR(Q133&lt;=2, V133="Cancelled"), "BLACKLISTED", AND(P133&gt;=100000, Q133&gt;=4, O133&lt;=10, V133="Completed"), "PLATINUM", AND( P133&lt;=99999, P133&gt;=50000, Q133&gt;=3, V133= "Completed"), "GOLD", AND( P133&lt;50000, V133="Completed"), "SILVER", TRUE, "UNCLASSIFIED")</f>
        <v>#NAME?</v>
      </c>
      <c r="X133" s="19" t="str">
        <f t="shared" si="6"/>
        <v>Priya Patel</v>
      </c>
      <c r="Y133" s="28" t="str">
        <f t="shared" si="7"/>
        <v>Pri0132De</v>
      </c>
      <c r="Z133" s="28" t="str">
        <f t="shared" si="8"/>
        <v>priya.patel@company.com</v>
      </c>
    </row>
    <row r="134" spans="1:26">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c r="W134" s="24" t="e" cm="1">
        <f t="array" aca="1" ref="W134" ca="1">_xlfn.IFS(  OR(Q134&lt;=2, V134="Cancelled"), "BLACKLISTED", AND(P134&gt;=100000, Q134&gt;=4, O134&lt;=10, V134="Completed"), "PLATINUM", AND( P134&lt;=99999, P134&gt;=50000, Q134&gt;=3, V134= "Completed"), "GOLD", AND( P134&lt;50000, V134="Completed"), "SILVER", TRUE, "UNCLASSIFIED")</f>
        <v>#NAME?</v>
      </c>
      <c r="X134" s="19" t="str">
        <f t="shared" si="6"/>
        <v>Mohit Verma</v>
      </c>
      <c r="Y134" s="28" t="str">
        <f t="shared" si="7"/>
        <v>Moh0133Pu</v>
      </c>
      <c r="Z134" s="28" t="str">
        <f t="shared" si="8"/>
        <v>mohit.verma@company.com</v>
      </c>
    </row>
    <row r="135" spans="1:26">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c r="W135" s="24" t="e" cm="1">
        <f t="array" aca="1" ref="W135" ca="1">_xlfn.IFS(  OR(Q135&lt;=2, V135="Cancelled"), "BLACKLISTED", AND(P135&gt;=100000, Q135&gt;=4, O135&lt;=10, V135="Completed"), "PLATINUM", AND( P135&lt;=99999, P135&gt;=50000, Q135&gt;=3, V135= "Completed"), "GOLD", AND( P135&lt;50000, V135="Completed"), "SILVER", TRUE, "UNCLASSIFIED")</f>
        <v>#NAME?</v>
      </c>
      <c r="X135" s="19" t="str">
        <f t="shared" si="6"/>
        <v>Mohit Verma</v>
      </c>
      <c r="Y135" s="28" t="str">
        <f t="shared" si="7"/>
        <v>Moh0134Hy</v>
      </c>
      <c r="Z135" s="28" t="str">
        <f t="shared" si="8"/>
        <v>mohit.verma@company.com</v>
      </c>
    </row>
    <row r="136" spans="1:26">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c r="W136" s="24" t="e" cm="1">
        <f t="array" aca="1" ref="W136" ca="1">_xlfn.IFS(  OR(Q136&lt;=2, V136="Cancelled"), "BLACKLISTED", AND(P136&gt;=100000, Q136&gt;=4, O136&lt;=10, V136="Completed"), "PLATINUM", AND( P136&lt;=99999, P136&gt;=50000, Q136&gt;=3, V136= "Completed"), "GOLD", AND( P136&lt;50000, V136="Completed"), "SILVER", TRUE, "UNCLASSIFIED")</f>
        <v>#NAME?</v>
      </c>
      <c r="X136" s="19" t="str">
        <f t="shared" si="6"/>
        <v>Pooja Shah</v>
      </c>
      <c r="Y136" s="28" t="str">
        <f t="shared" si="7"/>
        <v>Poo0135De</v>
      </c>
      <c r="Z136" s="28" t="str">
        <f t="shared" si="8"/>
        <v>pooja.shah@company.com</v>
      </c>
    </row>
    <row r="137" spans="1:26">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c r="W137" s="24" t="e" cm="1">
        <f t="array" aca="1" ref="W137" ca="1">_xlfn.IFS(  OR(Q137&lt;=2, V137="Cancelled"), "BLACKLISTED", AND(P137&gt;=100000, Q137&gt;=4, O137&lt;=10, V137="Completed"), "PLATINUM", AND( P137&lt;=99999, P137&gt;=50000, Q137&gt;=3, V137= "Completed"), "GOLD", AND( P137&lt;50000, V137="Completed"), "SILVER", TRUE, "UNCLASSIFIED")</f>
        <v>#NAME?</v>
      </c>
      <c r="X137" s="19" t="str">
        <f t="shared" si="6"/>
        <v>Mohit Verma</v>
      </c>
      <c r="Y137" s="28" t="str">
        <f t="shared" si="7"/>
        <v>Moh0136Hy</v>
      </c>
      <c r="Z137" s="28" t="str">
        <f t="shared" si="8"/>
        <v>mohit.verma@company.com</v>
      </c>
    </row>
    <row r="138" spans="1:26">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c r="W138" s="24" t="e" cm="1">
        <f t="array" aca="1" ref="W138" ca="1">_xlfn.IFS(  OR(Q138&lt;=2, V138="Cancelled"), "BLACKLISTED", AND(P138&gt;=100000, Q138&gt;=4, O138&lt;=10, V138="Completed"), "PLATINUM", AND( P138&lt;=99999, P138&gt;=50000, Q138&gt;=3, V138= "Completed"), "GOLD", AND( P138&lt;50000, V138="Completed"), "SILVER", TRUE, "UNCLASSIFIED")</f>
        <v>#NAME?</v>
      </c>
      <c r="X138" s="19" t="str">
        <f t="shared" si="6"/>
        <v>Kavya Nair</v>
      </c>
      <c r="Y138" s="28" t="str">
        <f t="shared" si="7"/>
        <v>Kav0137Be</v>
      </c>
      <c r="Z138" s="28" t="str">
        <f t="shared" si="8"/>
        <v>kavya.nair@company.com</v>
      </c>
    </row>
    <row r="139" spans="1:26">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c r="W139" s="24" t="e" cm="1">
        <f t="array" aca="1" ref="W139" ca="1">_xlfn.IFS(  OR(Q139&lt;=2, V139="Cancelled"), "BLACKLISTED", AND(P139&gt;=100000, Q139&gt;=4, O139&lt;=10, V139="Completed"), "PLATINUM", AND( P139&lt;=99999, P139&gt;=50000, Q139&gt;=3, V139= "Completed"), "GOLD", AND( P139&lt;50000, V139="Completed"), "SILVER", TRUE, "UNCLASSIFIED")</f>
        <v>#NAME?</v>
      </c>
      <c r="X139" s="19" t="str">
        <f t="shared" si="6"/>
        <v>Amit Sharma</v>
      </c>
      <c r="Y139" s="28" t="str">
        <f t="shared" si="7"/>
        <v>Ami0138Ah</v>
      </c>
      <c r="Z139" s="28" t="str">
        <f t="shared" si="8"/>
        <v>amit.sharma@company.com</v>
      </c>
    </row>
    <row r="140" spans="1:26">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c r="W140" s="24" t="e" cm="1">
        <f t="array" aca="1" ref="W140" ca="1">_xlfn.IFS(  OR(Q140&lt;=2, V140="Cancelled"), "BLACKLISTED", AND(P140&gt;=100000, Q140&gt;=4, O140&lt;=10, V140="Completed"), "PLATINUM", AND( P140&lt;=99999, P140&gt;=50000, Q140&gt;=3, V140= "Completed"), "GOLD", AND( P140&lt;50000, V140="Completed"), "SILVER", TRUE, "UNCLASSIFIED")</f>
        <v>#NAME?</v>
      </c>
      <c r="X140" s="19" t="str">
        <f t="shared" si="6"/>
        <v>Vikas Mehta</v>
      </c>
      <c r="Y140" s="28" t="str">
        <f t="shared" si="7"/>
        <v>Vik0139De</v>
      </c>
      <c r="Z140" s="28" t="str">
        <f t="shared" si="8"/>
        <v>vikas.mehta@company.com</v>
      </c>
    </row>
    <row r="141" spans="1:26">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c r="W141" s="24" t="e" cm="1">
        <f t="array" aca="1" ref="W141" ca="1">_xlfn.IFS(  OR(Q141&lt;=2, V141="Cancelled"), "BLACKLISTED", AND(P141&gt;=100000, Q141&gt;=4, O141&lt;=10, V141="Completed"), "PLATINUM", AND( P141&lt;=99999, P141&gt;=50000, Q141&gt;=3, V141= "Completed"), "GOLD", AND( P141&lt;50000, V141="Completed"), "SILVER", TRUE, "UNCLASSIFIED")</f>
        <v>#NAME?</v>
      </c>
      <c r="X141" s="19" t="str">
        <f t="shared" si="6"/>
        <v>Arjun Rao</v>
      </c>
      <c r="Y141" s="28" t="str">
        <f t="shared" si="7"/>
        <v>Arj0140Ah</v>
      </c>
      <c r="Z141" s="28" t="str">
        <f t="shared" si="8"/>
        <v>arjun.rao@company.com</v>
      </c>
    </row>
    <row r="142" spans="1:26">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c r="W142" s="24" t="e" cm="1">
        <f t="array" aca="1" ref="W142" ca="1">_xlfn.IFS(  OR(Q142&lt;=2, V142="Cancelled"), "BLACKLISTED", AND(P142&gt;=100000, Q142&gt;=4, O142&lt;=10, V142="Completed"), "PLATINUM", AND( P142&lt;=99999, P142&gt;=50000, Q142&gt;=3, V142= "Completed"), "GOLD", AND( P142&lt;50000, V142="Completed"), "SILVER", TRUE, "UNCLASSIFIED")</f>
        <v>#NAME?</v>
      </c>
      <c r="X142" s="19" t="str">
        <f t="shared" si="6"/>
        <v>Pooja Shah</v>
      </c>
      <c r="Y142" s="28" t="str">
        <f t="shared" si="7"/>
        <v>Poo0141Pu</v>
      </c>
      <c r="Z142" s="28" t="str">
        <f t="shared" si="8"/>
        <v>pooja.shah@company.com</v>
      </c>
    </row>
    <row r="143" spans="1:26">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c r="W143" s="24" t="e" cm="1">
        <f t="array" aca="1" ref="W143" ca="1">_xlfn.IFS(  OR(Q143&lt;=2, V143="Cancelled"), "BLACKLISTED", AND(P143&gt;=100000, Q143&gt;=4, O143&lt;=10, V143="Completed"), "PLATINUM", AND( P143&lt;=99999, P143&gt;=50000, Q143&gt;=3, V143= "Completed"), "GOLD", AND( P143&lt;50000, V143="Completed"), "SILVER", TRUE, "UNCLASSIFIED")</f>
        <v>#NAME?</v>
      </c>
      <c r="X143" s="19" t="str">
        <f t="shared" si="6"/>
        <v>Arjun Rao</v>
      </c>
      <c r="Y143" s="28" t="str">
        <f t="shared" si="7"/>
        <v>Arj0142Pu</v>
      </c>
      <c r="Z143" s="28" t="str">
        <f t="shared" si="8"/>
        <v>arjun.rao@company.com</v>
      </c>
    </row>
    <row r="144" spans="1:26">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c r="W144" s="24" t="e" cm="1">
        <f t="array" aca="1" ref="W144" ca="1">_xlfn.IFS(  OR(Q144&lt;=2, V144="Cancelled"), "BLACKLISTED", AND(P144&gt;=100000, Q144&gt;=4, O144&lt;=10, V144="Completed"), "PLATINUM", AND( P144&lt;=99999, P144&gt;=50000, Q144&gt;=3, V144= "Completed"), "GOLD", AND( P144&lt;50000, V144="Completed"), "SILVER", TRUE, "UNCLASSIFIED")</f>
        <v>#NAME?</v>
      </c>
      <c r="X144" s="19" t="str">
        <f t="shared" si="6"/>
        <v>Arjun Rao</v>
      </c>
      <c r="Y144" s="28" t="str">
        <f t="shared" si="7"/>
        <v>Arj0143Pu</v>
      </c>
      <c r="Z144" s="28" t="str">
        <f t="shared" si="8"/>
        <v>arjun.rao@company.com</v>
      </c>
    </row>
    <row r="145" spans="1:26">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c r="W145" s="24" t="e" cm="1">
        <f t="array" aca="1" ref="W145" ca="1">_xlfn.IFS(  OR(Q145&lt;=2, V145="Cancelled"), "BLACKLISTED", AND(P145&gt;=100000, Q145&gt;=4, O145&lt;=10, V145="Completed"), "PLATINUM", AND( P145&lt;=99999, P145&gt;=50000, Q145&gt;=3, V145= "Completed"), "GOLD", AND( P145&lt;50000, V145="Completed"), "SILVER", TRUE, "UNCLASSIFIED")</f>
        <v>#NAME?</v>
      </c>
      <c r="X145" s="19" t="str">
        <f t="shared" si="6"/>
        <v>Vikas Mehta</v>
      </c>
      <c r="Y145" s="28" t="str">
        <f t="shared" si="7"/>
        <v>Vik0144Hy</v>
      </c>
      <c r="Z145" s="28" t="str">
        <f t="shared" si="8"/>
        <v>vikas.mehta@company.com</v>
      </c>
    </row>
    <row r="146" spans="1:26">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c r="W146" s="24" t="e" cm="1">
        <f t="array" aca="1" ref="W146" ca="1">_xlfn.IFS(  OR(Q146&lt;=2, V146="Cancelled"), "BLACKLISTED", AND(P146&gt;=100000, Q146&gt;=4, O146&lt;=10, V146="Completed"), "PLATINUM", AND( P146&lt;=99999, P146&gt;=50000, Q146&gt;=3, V146= "Completed"), "GOLD", AND( P146&lt;50000, V146="Completed"), "SILVER", TRUE, "UNCLASSIFIED")</f>
        <v>#NAME?</v>
      </c>
      <c r="X146" s="19" t="str">
        <f t="shared" si="6"/>
        <v>Pooja Shah</v>
      </c>
      <c r="Y146" s="28" t="str">
        <f t="shared" si="7"/>
        <v>Poo0145Mu</v>
      </c>
      <c r="Z146" s="28" t="str">
        <f t="shared" si="8"/>
        <v>pooja.shah@company.com</v>
      </c>
    </row>
    <row r="147" spans="1:26">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c r="W147" s="24" t="e" cm="1">
        <f t="array" aca="1" ref="W147" ca="1">_xlfn.IFS(  OR(Q147&lt;=2, V147="Cancelled"), "BLACKLISTED", AND(P147&gt;=100000, Q147&gt;=4, O147&lt;=10, V147="Completed"), "PLATINUM", AND( P147&lt;=99999, P147&gt;=50000, Q147&gt;=3, V147= "Completed"), "GOLD", AND( P147&lt;50000, V147="Completed"), "SILVER", TRUE, "UNCLASSIFIED")</f>
        <v>#NAME?</v>
      </c>
      <c r="X147" s="19" t="str">
        <f t="shared" si="6"/>
        <v>Mohit Verma</v>
      </c>
      <c r="Y147" s="28" t="str">
        <f t="shared" si="7"/>
        <v>Moh0146De</v>
      </c>
      <c r="Z147" s="28" t="str">
        <f t="shared" si="8"/>
        <v>mohit.verma@company.com</v>
      </c>
    </row>
    <row r="148" spans="1:26">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c r="W148" s="24" t="e" cm="1">
        <f t="array" aca="1" ref="W148" ca="1">_xlfn.IFS(  OR(Q148&lt;=2, V148="Cancelled"), "BLACKLISTED", AND(P148&gt;=100000, Q148&gt;=4, O148&lt;=10, V148="Completed"), "PLATINUM", AND( P148&lt;=99999, P148&gt;=50000, Q148&gt;=3, V148= "Completed"), "GOLD", AND( P148&lt;50000, V148="Completed"), "SILVER", TRUE, "UNCLASSIFIED")</f>
        <v>#NAME?</v>
      </c>
      <c r="X148" s="19" t="str">
        <f t="shared" si="6"/>
        <v>Rohit Singh</v>
      </c>
      <c r="Y148" s="28" t="str">
        <f t="shared" si="7"/>
        <v>Roh0147Pu</v>
      </c>
      <c r="Z148" s="28" t="str">
        <f t="shared" si="8"/>
        <v>rohit.singh@company.com</v>
      </c>
    </row>
    <row r="149" spans="1:26">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c r="W149" s="24" t="e" cm="1">
        <f t="array" aca="1" ref="W149" ca="1">_xlfn.IFS(  OR(Q149&lt;=2, V149="Cancelled"), "BLACKLISTED", AND(P149&gt;=100000, Q149&gt;=4, O149&lt;=10, V149="Completed"), "PLATINUM", AND( P149&lt;=99999, P149&gt;=50000, Q149&gt;=3, V149= "Completed"), "GOLD", AND( P149&lt;50000, V149="Completed"), "SILVER", TRUE, "UNCLASSIFIED")</f>
        <v>#NAME?</v>
      </c>
      <c r="X149" s="19" t="str">
        <f t="shared" si="6"/>
        <v>Sneha Joshi</v>
      </c>
      <c r="Y149" s="28" t="str">
        <f t="shared" si="7"/>
        <v>Sne0148Ko</v>
      </c>
      <c r="Z149" s="28" t="str">
        <f t="shared" si="8"/>
        <v>sneha.joshi@company.com</v>
      </c>
    </row>
    <row r="150" spans="1:26">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c r="W150" s="24" t="e" cm="1">
        <f t="array" aca="1" ref="W150" ca="1">_xlfn.IFS(  OR(Q150&lt;=2, V150="Cancelled"), "BLACKLISTED", AND(P150&gt;=100000, Q150&gt;=4, O150&lt;=10, V150="Completed"), "PLATINUM", AND( P150&lt;=99999, P150&gt;=50000, Q150&gt;=3, V150= "Completed"), "GOLD", AND( P150&lt;50000, V150="Completed"), "SILVER", TRUE, "UNCLASSIFIED")</f>
        <v>#NAME?</v>
      </c>
      <c r="X150" s="19" t="str">
        <f t="shared" si="6"/>
        <v>Priya Patel</v>
      </c>
      <c r="Y150" s="28" t="str">
        <f t="shared" si="7"/>
        <v>Pri0020Ja</v>
      </c>
      <c r="Z150" s="28" t="str">
        <f t="shared" si="8"/>
        <v>priya.patel@company.com</v>
      </c>
    </row>
    <row r="151" spans="1:26">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c r="W151" s="24" t="e" cm="1">
        <f t="array" aca="1" ref="W151" ca="1">_xlfn.IFS(  OR(Q151&lt;=2, V151="Cancelled"), "BLACKLISTED", AND(P151&gt;=100000, Q151&gt;=4, O151&lt;=10, V151="Completed"), "PLATINUM", AND( P151&lt;=99999, P151&gt;=50000, Q151&gt;=3, V151= "Completed"), "GOLD", AND( P151&lt;50000, V151="Completed"), "SILVER", TRUE, "UNCLASSIFIED")</f>
        <v>#NAME?</v>
      </c>
      <c r="X151" s="19" t="str">
        <f t="shared" si="6"/>
        <v>Rohit Singh</v>
      </c>
      <c r="Y151" s="28" t="str">
        <f t="shared" si="7"/>
        <v>Roh0150Pu</v>
      </c>
      <c r="Z151" s="28" t="str">
        <f t="shared" si="8"/>
        <v>rohit.singh@company.com</v>
      </c>
    </row>
    <row r="152" spans="1:26">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c r="W152" s="24" t="e" cm="1">
        <f t="array" aca="1" ref="W152" ca="1">_xlfn.IFS(  OR(Q152&lt;=2, V152="Cancelled"), "BLACKLISTED", AND(P152&gt;=100000, Q152&gt;=4, O152&lt;=10, V152="Completed"), "PLATINUM", AND( P152&lt;=99999, P152&gt;=50000, Q152&gt;=3, V152= "Completed"), "GOLD", AND( P152&lt;50000, V152="Completed"), "SILVER", TRUE, "UNCLASSIFIED")</f>
        <v>#NAME?</v>
      </c>
      <c r="X152" s="19" t="str">
        <f t="shared" si="6"/>
        <v>Pooja Shah</v>
      </c>
      <c r="Y152" s="28" t="str">
        <f t="shared" si="7"/>
        <v>Poo0151De</v>
      </c>
      <c r="Z152" s="28" t="str">
        <f t="shared" si="8"/>
        <v>pooja.shah@company.com</v>
      </c>
    </row>
    <row r="153" spans="1:26">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c r="W153" s="24" t="e" cm="1">
        <f t="array" aca="1" ref="W153" ca="1">_xlfn.IFS(  OR(Q153&lt;=2, V153="Cancelled"), "BLACKLISTED", AND(P153&gt;=100000, Q153&gt;=4, O153&lt;=10, V153="Completed"), "PLATINUM", AND( P153&lt;=99999, P153&gt;=50000, Q153&gt;=3, V153= "Completed"), "GOLD", AND( P153&lt;50000, V153="Completed"), "SILVER", TRUE, "UNCLASSIFIED")</f>
        <v>#NAME?</v>
      </c>
      <c r="X153" s="19" t="str">
        <f t="shared" si="6"/>
        <v>Kavya Nair</v>
      </c>
      <c r="Y153" s="28" t="str">
        <f t="shared" si="7"/>
        <v>Kav0152Be</v>
      </c>
      <c r="Z153" s="28" t="str">
        <f t="shared" si="8"/>
        <v>kavya.nair@company.com</v>
      </c>
    </row>
    <row r="154" spans="1:26">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c r="W154" s="24" t="e" cm="1">
        <f t="array" aca="1" ref="W154" ca="1">_xlfn.IFS(  OR(Q154&lt;=2, V154="Cancelled"), "BLACKLISTED", AND(P154&gt;=100000, Q154&gt;=4, O154&lt;=10, V154="Completed"), "PLATINUM", AND( P154&lt;=99999, P154&gt;=50000, Q154&gt;=3, V154= "Completed"), "GOLD", AND( P154&lt;50000, V154="Completed"), "SILVER", TRUE, "UNCLASSIFIED")</f>
        <v>#NAME?</v>
      </c>
      <c r="X154" s="19" t="str">
        <f t="shared" si="6"/>
        <v>Priya Patel</v>
      </c>
      <c r="Y154" s="28" t="str">
        <f t="shared" si="7"/>
        <v>Pri0153Pu</v>
      </c>
      <c r="Z154" s="28" t="str">
        <f t="shared" si="8"/>
        <v>priya.patel@company.com</v>
      </c>
    </row>
    <row r="155" spans="1:26">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c r="W155" s="24" t="e" cm="1">
        <f t="array" aca="1" ref="W155" ca="1">_xlfn.IFS(  OR(Q155&lt;=2, V155="Cancelled"), "BLACKLISTED", AND(P155&gt;=100000, Q155&gt;=4, O155&lt;=10, V155="Completed"), "PLATINUM", AND( P155&lt;=99999, P155&gt;=50000, Q155&gt;=3, V155= "Completed"), "GOLD", AND( P155&lt;50000, V155="Completed"), "SILVER", TRUE, "UNCLASSIFIED")</f>
        <v>#NAME?</v>
      </c>
      <c r="X155" s="19" t="str">
        <f t="shared" si="6"/>
        <v>Vikas Mehta</v>
      </c>
      <c r="Y155" s="28" t="str">
        <f t="shared" si="7"/>
        <v>Vik0154Pu</v>
      </c>
      <c r="Z155" s="28" t="str">
        <f t="shared" si="8"/>
        <v>vikas.mehta@company.com</v>
      </c>
    </row>
    <row r="156" spans="1:26">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c r="W156" s="24" t="e" cm="1">
        <f t="array" aca="1" ref="W156" ca="1">_xlfn.IFS(  OR(Q156&lt;=2, V156="Cancelled"), "BLACKLISTED", AND(P156&gt;=100000, Q156&gt;=4, O156&lt;=10, V156="Completed"), "PLATINUM", AND( P156&lt;=99999, P156&gt;=50000, Q156&gt;=3, V156= "Completed"), "GOLD", AND( P156&lt;50000, V156="Completed"), "SILVER", TRUE, "UNCLASSIFIED")</f>
        <v>#NAME?</v>
      </c>
      <c r="X156" s="19" t="str">
        <f t="shared" si="6"/>
        <v>Kavya Nair</v>
      </c>
      <c r="Y156" s="28" t="str">
        <f t="shared" si="7"/>
        <v>Kav0155De</v>
      </c>
      <c r="Z156" s="28" t="str">
        <f t="shared" si="8"/>
        <v>kavya.nair@company.com</v>
      </c>
    </row>
    <row r="157" spans="1:26">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c r="W157" s="24" t="e" cm="1">
        <f t="array" aca="1" ref="W157" ca="1">_xlfn.IFS(  OR(Q157&lt;=2, V157="Cancelled"), "BLACKLISTED", AND(P157&gt;=100000, Q157&gt;=4, O157&lt;=10, V157="Completed"), "PLATINUM", AND( P157&lt;=99999, P157&gt;=50000, Q157&gt;=3, V157= "Completed"), "GOLD", AND( P157&lt;50000, V157="Completed"), "SILVER", TRUE, "UNCLASSIFIED")</f>
        <v>#NAME?</v>
      </c>
      <c r="X157" s="19" t="str">
        <f t="shared" si="6"/>
        <v>Pooja Shah</v>
      </c>
      <c r="Y157" s="28" t="str">
        <f t="shared" si="7"/>
        <v>Poo0156Hy</v>
      </c>
      <c r="Z157" s="28" t="str">
        <f t="shared" si="8"/>
        <v>pooja.shah@company.com</v>
      </c>
    </row>
    <row r="158" spans="1:26">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c r="W158" s="24" t="e" cm="1">
        <f t="array" aca="1" ref="W158" ca="1">_xlfn.IFS(  OR(Q158&lt;=2, V158="Cancelled"), "BLACKLISTED", AND(P158&gt;=100000, Q158&gt;=4, O158&lt;=10, V158="Completed"), "PLATINUM", AND( P158&lt;=99999, P158&gt;=50000, Q158&gt;=3, V158= "Completed"), "GOLD", AND( P158&lt;50000, V158="Completed"), "SILVER", TRUE, "UNCLASSIFIED")</f>
        <v>#NAME?</v>
      </c>
      <c r="X158" s="19" t="str">
        <f t="shared" si="6"/>
        <v>Vikas Mehta</v>
      </c>
      <c r="Y158" s="28" t="str">
        <f t="shared" si="7"/>
        <v>Vik0157Ko</v>
      </c>
      <c r="Z158" s="28" t="str">
        <f t="shared" si="8"/>
        <v>vikas.mehta@company.com</v>
      </c>
    </row>
    <row r="159" spans="1:26">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c r="W159" s="24" t="e" cm="1">
        <f t="array" aca="1" ref="W159" ca="1">_xlfn.IFS(  OR(Q159&lt;=2, V159="Cancelled"), "BLACKLISTED", AND(P159&gt;=100000, Q159&gt;=4, O159&lt;=10, V159="Completed"), "PLATINUM", AND( P159&lt;=99999, P159&gt;=50000, Q159&gt;=3, V159= "Completed"), "GOLD", AND( P159&lt;50000, V159="Completed"), "SILVER", TRUE, "UNCLASSIFIED")</f>
        <v>#NAME?</v>
      </c>
      <c r="X159" s="19" t="str">
        <f t="shared" si="6"/>
        <v>Amit Sharma</v>
      </c>
      <c r="Y159" s="28" t="str">
        <f t="shared" si="7"/>
        <v>Ami0158Hy</v>
      </c>
      <c r="Z159" s="28" t="str">
        <f t="shared" si="8"/>
        <v>amit.sharma@company.com</v>
      </c>
    </row>
    <row r="160" spans="1:26">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c r="W160" s="24" t="e" cm="1">
        <f t="array" aca="1" ref="W160" ca="1">_xlfn.IFS(  OR(Q160&lt;=2, V160="Cancelled"), "BLACKLISTED", AND(P160&gt;=100000, Q160&gt;=4, O160&lt;=10, V160="Completed"), "PLATINUM", AND( P160&lt;=99999, P160&gt;=50000, Q160&gt;=3, V160= "Completed"), "GOLD", AND( P160&lt;50000, V160="Completed"), "SILVER", TRUE, "UNCLASSIFIED")</f>
        <v>#NAME?</v>
      </c>
      <c r="X160" s="19" t="str">
        <f t="shared" si="6"/>
        <v>Mohit Verma</v>
      </c>
      <c r="Y160" s="28" t="str">
        <f t="shared" si="7"/>
        <v>Moh0159De</v>
      </c>
      <c r="Z160" s="28" t="str">
        <f t="shared" si="8"/>
        <v>mohit.verma@company.com</v>
      </c>
    </row>
    <row r="161" spans="1:26">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c r="W161" s="24" t="e" cm="1">
        <f t="array" aca="1" ref="W161" ca="1">_xlfn.IFS(  OR(Q161&lt;=2, V161="Cancelled"), "BLACKLISTED", AND(P161&gt;=100000, Q161&gt;=4, O161&lt;=10, V161="Completed"), "PLATINUM", AND( P161&lt;=99999, P161&gt;=50000, Q161&gt;=3, V161= "Completed"), "GOLD", AND( P161&lt;50000, V161="Completed"), "SILVER", TRUE, "UNCLASSIFIED")</f>
        <v>#NAME?</v>
      </c>
      <c r="X161" s="19" t="str">
        <f t="shared" si="6"/>
        <v>Vikas Mehta</v>
      </c>
      <c r="Y161" s="28" t="str">
        <f t="shared" si="7"/>
        <v>Vik0160Ja</v>
      </c>
      <c r="Z161" s="28" t="str">
        <f t="shared" si="8"/>
        <v>vikas.mehta@company.com</v>
      </c>
    </row>
    <row r="162" spans="1:26">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c r="W162" s="24" t="e" cm="1">
        <f t="array" aca="1" ref="W162" ca="1">_xlfn.IFS(  OR(Q162&lt;=2, V162="Cancelled"), "BLACKLISTED", AND(P162&gt;=100000, Q162&gt;=4, O162&lt;=10, V162="Completed"), "PLATINUM", AND( P162&lt;=99999, P162&gt;=50000, Q162&gt;=3, V162= "Completed"), "GOLD", AND( P162&lt;50000, V162="Completed"), "SILVER", TRUE, "UNCLASSIFIED")</f>
        <v>#NAME?</v>
      </c>
      <c r="X162" s="19" t="str">
        <f t="shared" si="6"/>
        <v>Amit Sharma</v>
      </c>
      <c r="Y162" s="28" t="str">
        <f t="shared" si="7"/>
        <v>Ami0161De</v>
      </c>
      <c r="Z162" s="28" t="str">
        <f t="shared" si="8"/>
        <v>amit.sharma@company.com</v>
      </c>
    </row>
    <row r="163" spans="1:26">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c r="W163" s="24" t="e" cm="1">
        <f t="array" aca="1" ref="W163" ca="1">_xlfn.IFS(  OR(Q163&lt;=2, V163="Cancelled"), "BLACKLISTED", AND(P163&gt;=100000, Q163&gt;=4, O163&lt;=10, V163="Completed"), "PLATINUM", AND( P163&lt;=99999, P163&gt;=50000, Q163&gt;=3, V163= "Completed"), "GOLD", AND( P163&lt;50000, V163="Completed"), "SILVER", TRUE, "UNCLASSIFIED")</f>
        <v>#NAME?</v>
      </c>
      <c r="X163" s="19" t="str">
        <f t="shared" si="6"/>
        <v>Anita Gupta</v>
      </c>
      <c r="Y163" s="28" t="str">
        <f t="shared" si="7"/>
        <v>Ani0162Ko</v>
      </c>
      <c r="Z163" s="28" t="str">
        <f t="shared" si="8"/>
        <v>anita.gupta@company.com</v>
      </c>
    </row>
    <row r="164" spans="1:26">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c r="W164" s="24" t="e" cm="1">
        <f t="array" aca="1" ref="W164" ca="1">_xlfn.IFS(  OR(Q164&lt;=2, V164="Cancelled"), "BLACKLISTED", AND(P164&gt;=100000, Q164&gt;=4, O164&lt;=10, V164="Completed"), "PLATINUM", AND( P164&lt;=99999, P164&gt;=50000, Q164&gt;=3, V164= "Completed"), "GOLD", AND( P164&lt;50000, V164="Completed"), "SILVER", TRUE, "UNCLASSIFIED")</f>
        <v>#NAME?</v>
      </c>
      <c r="X164" s="19" t="str">
        <f t="shared" si="6"/>
        <v>Anita Gupta</v>
      </c>
      <c r="Y164" s="28" t="str">
        <f t="shared" si="7"/>
        <v>Ani0163Pu</v>
      </c>
      <c r="Z164" s="28" t="str">
        <f t="shared" si="8"/>
        <v>anita.gupta@company.com</v>
      </c>
    </row>
    <row r="165" spans="1:26">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c r="W165" s="24" t="e" cm="1">
        <f t="array" aca="1" ref="W165" ca="1">_xlfn.IFS(  OR(Q165&lt;=2, V165="Cancelled"), "BLACKLISTED", AND(P165&gt;=100000, Q165&gt;=4, O165&lt;=10, V165="Completed"), "PLATINUM", AND( P165&lt;=99999, P165&gt;=50000, Q165&gt;=3, V165= "Completed"), "GOLD", AND( P165&lt;50000, V165="Completed"), "SILVER", TRUE, "UNCLASSIFIED")</f>
        <v>#NAME?</v>
      </c>
      <c r="X165" s="19" t="str">
        <f t="shared" si="6"/>
        <v>Amit Sharma</v>
      </c>
      <c r="Y165" s="28" t="str">
        <f t="shared" si="7"/>
        <v>Ami0164Ja</v>
      </c>
      <c r="Z165" s="28" t="str">
        <f t="shared" si="8"/>
        <v>amit.sharma@company.com</v>
      </c>
    </row>
    <row r="166" spans="1:26">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c r="W166" s="24" t="e" cm="1">
        <f t="array" aca="1" ref="W166" ca="1">_xlfn.IFS(  OR(Q166&lt;=2, V166="Cancelled"), "BLACKLISTED", AND(P166&gt;=100000, Q166&gt;=4, O166&lt;=10, V166="Completed"), "PLATINUM", AND( P166&lt;=99999, P166&gt;=50000, Q166&gt;=3, V166= "Completed"), "GOLD", AND( P166&lt;50000, V166="Completed"), "SILVER", TRUE, "UNCLASSIFIED")</f>
        <v>#NAME?</v>
      </c>
      <c r="X166" s="19" t="str">
        <f t="shared" si="6"/>
        <v>Anita Gupta</v>
      </c>
      <c r="Y166" s="28" t="str">
        <f t="shared" si="7"/>
        <v>Ani0165Pu</v>
      </c>
      <c r="Z166" s="28" t="str">
        <f t="shared" si="8"/>
        <v>anita.gupta@company.com</v>
      </c>
    </row>
    <row r="167" spans="1:26">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c r="W167" s="24" t="e" cm="1">
        <f t="array" aca="1" ref="W167" ca="1">_xlfn.IFS(  OR(Q167&lt;=2, V167="Cancelled"), "BLACKLISTED", AND(P167&gt;=100000, Q167&gt;=4, O167&lt;=10, V167="Completed"), "PLATINUM", AND( P167&lt;=99999, P167&gt;=50000, Q167&gt;=3, V167= "Completed"), "GOLD", AND( P167&lt;50000, V167="Completed"), "SILVER", TRUE, "UNCLASSIFIED")</f>
        <v>#NAME?</v>
      </c>
      <c r="X167" s="19" t="str">
        <f t="shared" si="6"/>
        <v>Anita Gupta</v>
      </c>
      <c r="Y167" s="28" t="str">
        <f t="shared" si="7"/>
        <v>Ani0166Ah</v>
      </c>
      <c r="Z167" s="28" t="str">
        <f t="shared" si="8"/>
        <v>anita.gupta@company.com</v>
      </c>
    </row>
    <row r="168" spans="1:26">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c r="W168" s="24" t="e" cm="1">
        <f t="array" aca="1" ref="W168" ca="1">_xlfn.IFS(  OR(Q168&lt;=2, V168="Cancelled"), "BLACKLISTED", AND(P168&gt;=100000, Q168&gt;=4, O168&lt;=10, V168="Completed"), "PLATINUM", AND( P168&lt;=99999, P168&gt;=50000, Q168&gt;=3, V168= "Completed"), "GOLD", AND( P168&lt;50000, V168="Completed"), "SILVER", TRUE, "UNCLASSIFIED")</f>
        <v>#NAME?</v>
      </c>
      <c r="X168" s="19" t="str">
        <f t="shared" si="6"/>
        <v>Rohit Singh</v>
      </c>
      <c r="Y168" s="28" t="str">
        <f t="shared" si="7"/>
        <v>Roh0167Ko</v>
      </c>
      <c r="Z168" s="28" t="str">
        <f t="shared" si="8"/>
        <v>rohit.singh@company.com</v>
      </c>
    </row>
    <row r="169" spans="1:26">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c r="W169" s="24" t="e" cm="1">
        <f t="array" aca="1" ref="W169" ca="1">_xlfn.IFS(  OR(Q169&lt;=2, V169="Cancelled"), "BLACKLISTED", AND(P169&gt;=100000, Q169&gt;=4, O169&lt;=10, V169="Completed"), "PLATINUM", AND( P169&lt;=99999, P169&gt;=50000, Q169&gt;=3, V169= "Completed"), "GOLD", AND( P169&lt;50000, V169="Completed"), "SILVER", TRUE, "UNCLASSIFIED")</f>
        <v>#NAME?</v>
      </c>
      <c r="X169" s="19" t="str">
        <f t="shared" si="6"/>
        <v>Amit Sharma</v>
      </c>
      <c r="Y169" s="28" t="str">
        <f t="shared" si="7"/>
        <v>Ami0168Be</v>
      </c>
      <c r="Z169" s="28" t="str">
        <f t="shared" si="8"/>
        <v>amit.sharma@company.com</v>
      </c>
    </row>
    <row r="170" spans="1:26">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c r="W170" s="24" t="e" cm="1">
        <f t="array" aca="1" ref="W170" ca="1">_xlfn.IFS(  OR(Q170&lt;=2, V170="Cancelled"), "BLACKLISTED", AND(P170&gt;=100000, Q170&gt;=4, O170&lt;=10, V170="Completed"), "PLATINUM", AND( P170&lt;=99999, P170&gt;=50000, Q170&gt;=3, V170= "Completed"), "GOLD", AND( P170&lt;50000, V170="Completed"), "SILVER", TRUE, "UNCLASSIFIED")</f>
        <v>#NAME?</v>
      </c>
      <c r="X170" s="19" t="str">
        <f t="shared" si="6"/>
        <v>Pooja Shah</v>
      </c>
      <c r="Y170" s="28" t="str">
        <f t="shared" si="7"/>
        <v>Poo0169Mu</v>
      </c>
      <c r="Z170" s="28" t="str">
        <f t="shared" si="8"/>
        <v>pooja.shah@company.com</v>
      </c>
    </row>
    <row r="171" spans="1:26">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c r="W171" s="24" t="e" cm="1">
        <f t="array" aca="1" ref="W171" ca="1">_xlfn.IFS(  OR(Q171&lt;=2, V171="Cancelled"), "BLACKLISTED", AND(P171&gt;=100000, Q171&gt;=4, O171&lt;=10, V171="Completed"), "PLATINUM", AND( P171&lt;=99999, P171&gt;=50000, Q171&gt;=3, V171= "Completed"), "GOLD", AND( P171&lt;50000, V171="Completed"), "SILVER", TRUE, "UNCLASSIFIED")</f>
        <v>#NAME?</v>
      </c>
      <c r="X171" s="19" t="str">
        <f t="shared" si="6"/>
        <v>Sneha Joshi</v>
      </c>
      <c r="Y171" s="28" t="str">
        <f t="shared" si="7"/>
        <v>Sne0170Hy</v>
      </c>
      <c r="Z171" s="28" t="str">
        <f t="shared" si="8"/>
        <v>sneha.joshi@company.com</v>
      </c>
    </row>
    <row r="172" spans="1:26">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c r="W172" s="24" t="e" cm="1">
        <f t="array" aca="1" ref="W172" ca="1">_xlfn.IFS(  OR(Q172&lt;=2, V172="Cancelled"), "BLACKLISTED", AND(P172&gt;=100000, Q172&gt;=4, O172&lt;=10, V172="Completed"), "PLATINUM", AND( P172&lt;=99999, P172&gt;=50000, Q172&gt;=3, V172= "Completed"), "GOLD", AND( P172&lt;50000, V172="Completed"), "SILVER", TRUE, "UNCLASSIFIED")</f>
        <v>#NAME?</v>
      </c>
      <c r="X172" s="19" t="str">
        <f t="shared" si="6"/>
        <v>Rohit Singh</v>
      </c>
      <c r="Y172" s="28" t="str">
        <f t="shared" si="7"/>
        <v>Roh0171Ah</v>
      </c>
      <c r="Z172" s="28" t="str">
        <f t="shared" si="8"/>
        <v>rohit.singh@company.com</v>
      </c>
    </row>
    <row r="173" spans="1:26">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c r="W173" s="24" t="e" cm="1">
        <f t="array" aca="1" ref="W173" ca="1">_xlfn.IFS(  OR(Q173&lt;=2, V173="Cancelled"), "BLACKLISTED", AND(P173&gt;=100000, Q173&gt;=4, O173&lt;=10, V173="Completed"), "PLATINUM", AND( P173&lt;=99999, P173&gt;=50000, Q173&gt;=3, V173= "Completed"), "GOLD", AND( P173&lt;50000, V173="Completed"), "SILVER", TRUE, "UNCLASSIFIED")</f>
        <v>#NAME?</v>
      </c>
      <c r="X173" s="19" t="str">
        <f t="shared" si="6"/>
        <v>Vikas Mehta</v>
      </c>
      <c r="Y173" s="28" t="str">
        <f t="shared" si="7"/>
        <v>Vik0172Ah</v>
      </c>
      <c r="Z173" s="28" t="str">
        <f t="shared" si="8"/>
        <v>vikas.mehta@company.com</v>
      </c>
    </row>
    <row r="174" spans="1:26">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c r="W174" s="24" t="e" cm="1">
        <f t="array" aca="1" ref="W174" ca="1">_xlfn.IFS(  OR(Q174&lt;=2, V174="Cancelled"), "BLACKLISTED", AND(P174&gt;=100000, Q174&gt;=4, O174&lt;=10, V174="Completed"), "PLATINUM", AND( P174&lt;=99999, P174&gt;=50000, Q174&gt;=3, V174= "Completed"), "GOLD", AND( P174&lt;50000, V174="Completed"), "SILVER", TRUE, "UNCLASSIFIED")</f>
        <v>#NAME?</v>
      </c>
      <c r="X174" s="19" t="str">
        <f t="shared" si="6"/>
        <v>Kavya Nair</v>
      </c>
      <c r="Y174" s="28" t="str">
        <f t="shared" si="7"/>
        <v>Kav0173Ja</v>
      </c>
      <c r="Z174" s="28" t="str">
        <f t="shared" si="8"/>
        <v>kavya.nair@company.com</v>
      </c>
    </row>
    <row r="175" spans="1:26">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c r="W175" s="24" t="e" cm="1">
        <f t="array" aca="1" ref="W175" ca="1">_xlfn.IFS(  OR(Q175&lt;=2, V175="Cancelled"), "BLACKLISTED", AND(P175&gt;=100000, Q175&gt;=4, O175&lt;=10, V175="Completed"), "PLATINUM", AND( P175&lt;=99999, P175&gt;=50000, Q175&gt;=3, V175= "Completed"), "GOLD", AND( P175&lt;50000, V175="Completed"), "SILVER", TRUE, "UNCLASSIFIED")</f>
        <v>#NAME?</v>
      </c>
      <c r="X175" s="19" t="str">
        <f t="shared" si="6"/>
        <v>Vikas Mehta</v>
      </c>
      <c r="Y175" s="28" t="str">
        <f t="shared" si="7"/>
        <v>Vik0174Ja</v>
      </c>
      <c r="Z175" s="28" t="str">
        <f t="shared" si="8"/>
        <v>Invalid Email</v>
      </c>
    </row>
    <row r="176" spans="1:26">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c r="W176" s="24" t="e" cm="1">
        <f t="array" aca="1" ref="W176" ca="1">_xlfn.IFS(  OR(Q176&lt;=2, V176="Cancelled"), "BLACKLISTED", AND(P176&gt;=100000, Q176&gt;=4, O176&lt;=10, V176="Completed"), "PLATINUM", AND( P176&lt;=99999, P176&gt;=50000, Q176&gt;=3, V176= "Completed"), "GOLD", AND( P176&lt;50000, V176="Completed"), "SILVER", TRUE, "UNCLASSIFIED")</f>
        <v>#NAME?</v>
      </c>
      <c r="X176" s="19" t="str">
        <f t="shared" si="6"/>
        <v>Sneha Joshi</v>
      </c>
      <c r="Y176" s="28" t="str">
        <f t="shared" si="7"/>
        <v>Sne0175Pu</v>
      </c>
      <c r="Z176" s="28" t="str">
        <f t="shared" si="8"/>
        <v>sneha.joshi@company.com</v>
      </c>
    </row>
    <row r="177" spans="1:26">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c r="W177" s="24" t="e" cm="1">
        <f t="array" aca="1" ref="W177" ca="1">_xlfn.IFS(  OR(Q177&lt;=2, V177="Cancelled"), "BLACKLISTED", AND(P177&gt;=100000, Q177&gt;=4, O177&lt;=10, V177="Completed"), "PLATINUM", AND( P177&lt;=99999, P177&gt;=50000, Q177&gt;=3, V177= "Completed"), "GOLD", AND( P177&lt;50000, V177="Completed"), "SILVER", TRUE, "UNCLASSIFIED")</f>
        <v>#NAME?</v>
      </c>
      <c r="X177" s="19" t="str">
        <f t="shared" si="6"/>
        <v>Kavya Nair</v>
      </c>
      <c r="Y177" s="28" t="str">
        <f t="shared" si="7"/>
        <v>Kav0176Pu</v>
      </c>
      <c r="Z177" s="28" t="str">
        <f t="shared" si="8"/>
        <v>kavya.nair@company.com</v>
      </c>
    </row>
    <row r="178" spans="1:26">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c r="W178" s="24" t="e" cm="1">
        <f t="array" aca="1" ref="W178" ca="1">_xlfn.IFS(  OR(Q178&lt;=2, V178="Cancelled"), "BLACKLISTED", AND(P178&gt;=100000, Q178&gt;=4, O178&lt;=10, V178="Completed"), "PLATINUM", AND( P178&lt;=99999, P178&gt;=50000, Q178&gt;=3, V178= "Completed"), "GOLD", AND( P178&lt;50000, V178="Completed"), "SILVER", TRUE, "UNCLASSIFIED")</f>
        <v>#NAME?</v>
      </c>
      <c r="X178" s="19" t="str">
        <f t="shared" si="6"/>
        <v>Sneha Joshi</v>
      </c>
      <c r="Y178" s="28" t="str">
        <f t="shared" si="7"/>
        <v>Sne0177Ah</v>
      </c>
      <c r="Z178" s="28" t="str">
        <f t="shared" si="8"/>
        <v>sneha.joshi@company.com</v>
      </c>
    </row>
    <row r="179" spans="1:26">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c r="W179" s="24" t="e" cm="1">
        <f t="array" aca="1" ref="W179" ca="1">_xlfn.IFS(  OR(Q179&lt;=2, V179="Cancelled"), "BLACKLISTED", AND(P179&gt;=100000, Q179&gt;=4, O179&lt;=10, V179="Completed"), "PLATINUM", AND( P179&lt;=99999, P179&gt;=50000, Q179&gt;=3, V179= "Completed"), "GOLD", AND( P179&lt;50000, V179="Completed"), "SILVER", TRUE, "UNCLASSIFIED")</f>
        <v>#NAME?</v>
      </c>
      <c r="X179" s="19" t="str">
        <f t="shared" si="6"/>
        <v>Anita Gupta</v>
      </c>
      <c r="Y179" s="28" t="str">
        <f t="shared" si="7"/>
        <v>Ani0178De</v>
      </c>
      <c r="Z179" s="28" t="str">
        <f t="shared" si="8"/>
        <v>anita.gupta@company.com</v>
      </c>
    </row>
    <row r="180" spans="1:26">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c r="W180" s="24" t="e" cm="1">
        <f t="array" aca="1" ref="W180" ca="1">_xlfn.IFS(  OR(Q180&lt;=2, V180="Cancelled"), "BLACKLISTED", AND(P180&gt;=100000, Q180&gt;=4, O180&lt;=10, V180="Completed"), "PLATINUM", AND( P180&lt;=99999, P180&gt;=50000, Q180&gt;=3, V180= "Completed"), "GOLD", AND( P180&lt;50000, V180="Completed"), "SILVER", TRUE, "UNCLASSIFIED")</f>
        <v>#NAME?</v>
      </c>
      <c r="X180" s="19" t="str">
        <f t="shared" si="6"/>
        <v>Priya Patel</v>
      </c>
      <c r="Y180" s="28" t="str">
        <f t="shared" si="7"/>
        <v>Pri0179Ko</v>
      </c>
      <c r="Z180" s="28" t="str">
        <f t="shared" si="8"/>
        <v>vikas.mehta@company.com</v>
      </c>
    </row>
    <row r="181" spans="1:26">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c r="W181" s="24" t="e" cm="1">
        <f t="array" aca="1" ref="W181" ca="1">_xlfn.IFS(  OR(Q181&lt;=2, V181="Cancelled"), "BLACKLISTED", AND(P181&gt;=100000, Q181&gt;=4, O181&lt;=10, V181="Completed"), "PLATINUM", AND( P181&lt;=99999, P181&gt;=50000, Q181&gt;=3, V181= "Completed"), "GOLD", AND( P181&lt;50000, V181="Completed"), "SILVER", TRUE, "UNCLASSIFIED")</f>
        <v>#NAME?</v>
      </c>
      <c r="X181" s="19" t="str">
        <f t="shared" si="6"/>
        <v>Kavya Nair</v>
      </c>
      <c r="Y181" s="28" t="str">
        <f t="shared" si="7"/>
        <v>Kav0180Hy</v>
      </c>
      <c r="Z181" s="28" t="str">
        <f t="shared" si="8"/>
        <v>kavya.nair@company.com</v>
      </c>
    </row>
    <row r="182" spans="1:26">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c r="W182" s="24" t="e" cm="1">
        <f t="array" aca="1" ref="W182" ca="1">_xlfn.IFS(  OR(Q182&lt;=2, V182="Cancelled"), "BLACKLISTED", AND(P182&gt;=100000, Q182&gt;=4, O182&lt;=10, V182="Completed"), "PLATINUM", AND( P182&lt;=99999, P182&gt;=50000, Q182&gt;=3, V182= "Completed"), "GOLD", AND( P182&lt;50000, V182="Completed"), "SILVER", TRUE, "UNCLASSIFIED")</f>
        <v>#NAME?</v>
      </c>
      <c r="X182" s="19" t="str">
        <f t="shared" si="6"/>
        <v>Priya Patel</v>
      </c>
      <c r="Y182" s="28" t="str">
        <f t="shared" si="7"/>
        <v>Pri0181Ah</v>
      </c>
      <c r="Z182" s="28" t="str">
        <f t="shared" si="8"/>
        <v>priya.patel@company.com</v>
      </c>
    </row>
    <row r="183" spans="1:26">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c r="W183" s="24" t="e" cm="1">
        <f t="array" aca="1" ref="W183" ca="1">_xlfn.IFS(  OR(Q183&lt;=2, V183="Cancelled"), "BLACKLISTED", AND(P183&gt;=100000, Q183&gt;=4, O183&lt;=10, V183="Completed"), "PLATINUM", AND( P183&lt;=99999, P183&gt;=50000, Q183&gt;=3, V183= "Completed"), "GOLD", AND( P183&lt;50000, V183="Completed"), "SILVER", TRUE, "UNCLASSIFIED")</f>
        <v>#NAME?</v>
      </c>
      <c r="X183" s="19" t="str">
        <f t="shared" si="6"/>
        <v>Sneha Joshi</v>
      </c>
      <c r="Y183" s="28" t="str">
        <f t="shared" si="7"/>
        <v>Sne0182Ja</v>
      </c>
      <c r="Z183" s="28" t="str">
        <f t="shared" si="8"/>
        <v>sneha.joshi@company.com</v>
      </c>
    </row>
    <row r="184" spans="1:26">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c r="W184" s="24" t="e" cm="1">
        <f t="array" aca="1" ref="W184" ca="1">_xlfn.IFS(  OR(Q184&lt;=2, V184="Cancelled"), "BLACKLISTED", AND(P184&gt;=100000, Q184&gt;=4, O184&lt;=10, V184="Completed"), "PLATINUM", AND( P184&lt;=99999, P184&gt;=50000, Q184&gt;=3, V184= "Completed"), "GOLD", AND( P184&lt;50000, V184="Completed"), "SILVER", TRUE, "UNCLASSIFIED")</f>
        <v>#NAME?</v>
      </c>
      <c r="X184" s="19" t="str">
        <f t="shared" si="6"/>
        <v>Priya Patel</v>
      </c>
      <c r="Y184" s="28" t="str">
        <f t="shared" si="7"/>
        <v>Pri0183Be</v>
      </c>
      <c r="Z184" s="28" t="str">
        <f t="shared" si="8"/>
        <v>priya.patel@company.com</v>
      </c>
    </row>
    <row r="185" spans="1:26">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c r="W185" s="24" t="e" cm="1">
        <f t="array" aca="1" ref="W185" ca="1">_xlfn.IFS(  OR(Q185&lt;=2, V185="Cancelled"), "BLACKLISTED", AND(P185&gt;=100000, Q185&gt;=4, O185&lt;=10, V185="Completed"), "PLATINUM", AND( P185&lt;=99999, P185&gt;=50000, Q185&gt;=3, V185= "Completed"), "GOLD", AND( P185&lt;50000, V185="Completed"), "SILVER", TRUE, "UNCLASSIFIED")</f>
        <v>#NAME?</v>
      </c>
      <c r="X185" s="19" t="str">
        <f t="shared" si="6"/>
        <v>Mohit Verma</v>
      </c>
      <c r="Y185" s="28" t="str">
        <f t="shared" si="7"/>
        <v>Moh0184De</v>
      </c>
      <c r="Z185" s="28" t="str">
        <f t="shared" si="8"/>
        <v>mohit.verma@company.com</v>
      </c>
    </row>
    <row r="186" spans="1:26">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c r="W186" s="24" t="e" cm="1">
        <f t="array" aca="1" ref="W186" ca="1">_xlfn.IFS(  OR(Q186&lt;=2, V186="Cancelled"), "BLACKLISTED", AND(P186&gt;=100000, Q186&gt;=4, O186&lt;=10, V186="Completed"), "PLATINUM", AND( P186&lt;=99999, P186&gt;=50000, Q186&gt;=3, V186= "Completed"), "GOLD", AND( P186&lt;50000, V186="Completed"), "SILVER", TRUE, "UNCLASSIFIED")</f>
        <v>#NAME?</v>
      </c>
      <c r="X186" s="19" t="str">
        <f t="shared" si="6"/>
        <v>Priya Patel</v>
      </c>
      <c r="Y186" s="28" t="str">
        <f t="shared" si="7"/>
        <v>Pri0185Ko</v>
      </c>
      <c r="Z186" s="28" t="str">
        <f t="shared" si="8"/>
        <v>priya.patel@company.com</v>
      </c>
    </row>
    <row r="187" spans="1:26">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c r="W187" s="24" t="e" cm="1">
        <f t="array" aca="1" ref="W187" ca="1">_xlfn.IFS(  OR(Q187&lt;=2, V187="Cancelled"), "BLACKLISTED", AND(P187&gt;=100000, Q187&gt;=4, O187&lt;=10, V187="Completed"), "PLATINUM", AND( P187&lt;=99999, P187&gt;=50000, Q187&gt;=3, V187= "Completed"), "GOLD", AND( P187&lt;50000, V187="Completed"), "SILVER", TRUE, "UNCLASSIFIED")</f>
        <v>#NAME?</v>
      </c>
      <c r="X187" s="19" t="str">
        <f t="shared" si="6"/>
        <v>Sneha Joshi</v>
      </c>
      <c r="Y187" s="28" t="str">
        <f t="shared" si="7"/>
        <v>Sne0186Hy</v>
      </c>
      <c r="Z187" s="28" t="str">
        <f t="shared" si="8"/>
        <v>sneha.joshi@company.com</v>
      </c>
    </row>
    <row r="188" spans="1:26">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c r="W188" s="24" t="e" cm="1">
        <f t="array" aca="1" ref="W188" ca="1">_xlfn.IFS(  OR(Q188&lt;=2, V188="Cancelled"), "BLACKLISTED", AND(P188&gt;=100000, Q188&gt;=4, O188&lt;=10, V188="Completed"), "PLATINUM", AND( P188&lt;=99999, P188&gt;=50000, Q188&gt;=3, V188= "Completed"), "GOLD", AND( P188&lt;50000, V188="Completed"), "SILVER", TRUE, "UNCLASSIFIED")</f>
        <v>#NAME?</v>
      </c>
      <c r="X188" s="19" t="str">
        <f t="shared" si="6"/>
        <v>Rohit Singh</v>
      </c>
      <c r="Y188" s="28" t="str">
        <f t="shared" si="7"/>
        <v>Roh0187Pu</v>
      </c>
      <c r="Z188" s="28" t="str">
        <f t="shared" si="8"/>
        <v>rohit.singh@company.com</v>
      </c>
    </row>
    <row r="189" spans="1:26">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c r="W189" s="24" t="e" cm="1">
        <f t="array" aca="1" ref="W189" ca="1">_xlfn.IFS(  OR(Q189&lt;=2, V189="Cancelled"), "BLACKLISTED", AND(P189&gt;=100000, Q189&gt;=4, O189&lt;=10, V189="Completed"), "PLATINUM", AND( P189&lt;=99999, P189&gt;=50000, Q189&gt;=3, V189= "Completed"), "GOLD", AND( P189&lt;50000, V189="Completed"), "SILVER", TRUE, "UNCLASSIFIED")</f>
        <v>#NAME?</v>
      </c>
      <c r="X189" s="19" t="str">
        <f t="shared" si="6"/>
        <v>Vikas Mehta</v>
      </c>
      <c r="Y189" s="28" t="str">
        <f t="shared" si="7"/>
        <v>Vik0188Hy</v>
      </c>
      <c r="Z189" s="28" t="str">
        <f t="shared" si="8"/>
        <v>vikas.mehta@company.com</v>
      </c>
    </row>
    <row r="190" spans="1:26">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c r="W190" s="24" t="e" cm="1">
        <f t="array" aca="1" ref="W190" ca="1">_xlfn.IFS(  OR(Q190&lt;=2, V190="Cancelled"), "BLACKLISTED", AND(P190&gt;=100000, Q190&gt;=4, O190&lt;=10, V190="Completed"), "PLATINUM", AND( P190&lt;=99999, P190&gt;=50000, Q190&gt;=3, V190= "Completed"), "GOLD", AND( P190&lt;50000, V190="Completed"), "SILVER", TRUE, "UNCLASSIFIED")</f>
        <v>#NAME?</v>
      </c>
      <c r="X190" s="19" t="str">
        <f t="shared" si="6"/>
        <v>Amit Sharma</v>
      </c>
      <c r="Y190" s="28" t="str">
        <f t="shared" si="7"/>
        <v>Ami0189Pu</v>
      </c>
      <c r="Z190" s="28" t="str">
        <f t="shared" si="8"/>
        <v>amit.sharma@company.com</v>
      </c>
    </row>
    <row r="191" spans="1:26">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c r="W191" s="24" t="e" cm="1">
        <f t="array" aca="1" ref="W191" ca="1">_xlfn.IFS(  OR(Q191&lt;=2, V191="Cancelled"), "BLACKLISTED", AND(P191&gt;=100000, Q191&gt;=4, O191&lt;=10, V191="Completed"), "PLATINUM", AND( P191&lt;=99999, P191&gt;=50000, Q191&gt;=3, V191= "Completed"), "GOLD", AND( P191&lt;50000, V191="Completed"), "SILVER", TRUE, "UNCLASSIFIED")</f>
        <v>#NAME?</v>
      </c>
      <c r="X191" s="19" t="str">
        <f t="shared" si="6"/>
        <v>Amit Sharma</v>
      </c>
      <c r="Y191" s="28" t="str">
        <f t="shared" si="7"/>
        <v>Ami0190Be</v>
      </c>
      <c r="Z191" s="28" t="str">
        <f t="shared" si="8"/>
        <v>amit.sharma@company.com</v>
      </c>
    </row>
    <row r="192" spans="1:26">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c r="W192" s="24" t="e" cm="1">
        <f t="array" aca="1" ref="W192" ca="1">_xlfn.IFS(  OR(Q192&lt;=2, V192="Cancelled"), "BLACKLISTED", AND(P192&gt;=100000, Q192&gt;=4, O192&lt;=10, V192="Completed"), "PLATINUM", AND( P192&lt;=99999, P192&gt;=50000, Q192&gt;=3, V192= "Completed"), "GOLD", AND( P192&lt;50000, V192="Completed"), "SILVER", TRUE, "UNCLASSIFIED")</f>
        <v>#NAME?</v>
      </c>
      <c r="X192" s="19" t="str">
        <f t="shared" si="6"/>
        <v>Vikas Mehta</v>
      </c>
      <c r="Y192" s="28" t="str">
        <f t="shared" si="7"/>
        <v>Vik0191Pu</v>
      </c>
      <c r="Z192" s="28" t="str">
        <f t="shared" si="8"/>
        <v>vikas.mehta@company.com</v>
      </c>
    </row>
    <row r="193" spans="1:26">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c r="W193" s="24" t="e" cm="1">
        <f t="array" aca="1" ref="W193" ca="1">_xlfn.IFS(  OR(Q193&lt;=2, V193="Cancelled"), "BLACKLISTED", AND(P193&gt;=100000, Q193&gt;=4, O193&lt;=10, V193="Completed"), "PLATINUM", AND( P193&lt;=99999, P193&gt;=50000, Q193&gt;=3, V193= "Completed"), "GOLD", AND( P193&lt;50000, V193="Completed"), "SILVER", TRUE, "UNCLASSIFIED")</f>
        <v>#NAME?</v>
      </c>
      <c r="X193" s="19" t="str">
        <f t="shared" si="6"/>
        <v>Amit Sharma</v>
      </c>
      <c r="Y193" s="28" t="str">
        <f t="shared" si="7"/>
        <v>Ami0192Ja</v>
      </c>
      <c r="Z193" s="28" t="str">
        <f t="shared" si="8"/>
        <v>amit.sharma@company.com</v>
      </c>
    </row>
    <row r="194" spans="1:26">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c r="W194" s="24" t="e" cm="1">
        <f t="array" aca="1" ref="W194" ca="1">_xlfn.IFS(  OR(Q194&lt;=2, V194="Cancelled"), "BLACKLISTED", AND(P194&gt;=100000, Q194&gt;=4, O194&lt;=10, V194="Completed"), "PLATINUM", AND( P194&lt;=99999, P194&gt;=50000, Q194&gt;=3, V194= "Completed"), "GOLD", AND( P194&lt;50000, V194="Completed"), "SILVER", TRUE, "UNCLASSIFIED")</f>
        <v>#NAME?</v>
      </c>
      <c r="X194" s="19" t="str">
        <f t="shared" si="6"/>
        <v>Anita Gupta</v>
      </c>
      <c r="Y194" s="28" t="str">
        <f t="shared" si="7"/>
        <v>Ani0193Ja</v>
      </c>
      <c r="Z194" s="28" t="str">
        <f t="shared" si="8"/>
        <v>anita.gupta@company.com</v>
      </c>
    </row>
    <row r="195" spans="1:26">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c r="W195" s="24" t="e" cm="1">
        <f t="array" aca="1" ref="W195" ca="1">_xlfn.IFS(  OR(Q195&lt;=2, V195="Cancelled"), "BLACKLISTED", AND(P195&gt;=100000, Q195&gt;=4, O195&lt;=10, V195="Completed"), "PLATINUM", AND( P195&lt;=99999, P195&gt;=50000, Q195&gt;=3, V195= "Completed"), "GOLD", AND( P195&lt;50000, V195="Completed"), "SILVER", TRUE, "UNCLASSIFIED")</f>
        <v>#NAME?</v>
      </c>
      <c r="X195" s="19" t="str">
        <f t="shared" ref="X195:X258" si="9">PROPER(TRIM(F195))</f>
        <v>Sneha Joshi</v>
      </c>
      <c r="Y195" s="28" t="str">
        <f t="shared" ref="Y195:Y258" si="10">LEFT(X195,3)&amp;RIGHT(A195,4)&amp;LEFT(I195,2)</f>
        <v>Sne0194De</v>
      </c>
      <c r="Z195" s="28" t="str">
        <f t="shared" ref="Z195:Z258" si="11">IF(IFERROR(FIND("@", T195), 0), TRIM(LOWER(T195)), "Invalid Email" )</f>
        <v>sneha.joshi@company.com</v>
      </c>
    </row>
    <row r="196" spans="1:26">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c r="W196" s="24" t="e" cm="1">
        <f t="array" aca="1" ref="W196" ca="1">_xlfn.IFS(  OR(Q196&lt;=2, V196="Cancelled"), "BLACKLISTED", AND(P196&gt;=100000, Q196&gt;=4, O196&lt;=10, V196="Completed"), "PLATINUM", AND( P196&lt;=99999, P196&gt;=50000, Q196&gt;=3, V196= "Completed"), "GOLD", AND( P196&lt;50000, V196="Completed"), "SILVER", TRUE, "UNCLASSIFIED")</f>
        <v>#NAME?</v>
      </c>
      <c r="X196" s="19" t="str">
        <f t="shared" si="9"/>
        <v>Sneha Joshi</v>
      </c>
      <c r="Y196" s="28" t="str">
        <f t="shared" si="10"/>
        <v>Sne0195Ah</v>
      </c>
      <c r="Z196" s="28" t="str">
        <f t="shared" si="11"/>
        <v>sneha.joshi@company.com</v>
      </c>
    </row>
    <row r="197" spans="1:26">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c r="W197" s="24" t="e" cm="1">
        <f t="array" aca="1" ref="W197" ca="1">_xlfn.IFS(  OR(Q197&lt;=2, V197="Cancelled"), "BLACKLISTED", AND(P197&gt;=100000, Q197&gt;=4, O197&lt;=10, V197="Completed"), "PLATINUM", AND( P197&lt;=99999, P197&gt;=50000, Q197&gt;=3, V197= "Completed"), "GOLD", AND( P197&lt;50000, V197="Completed"), "SILVER", TRUE, "UNCLASSIFIED")</f>
        <v>#NAME?</v>
      </c>
      <c r="X197" s="19" t="str">
        <f t="shared" si="9"/>
        <v>Arjun Rao</v>
      </c>
      <c r="Y197" s="28" t="str">
        <f t="shared" si="10"/>
        <v>Arj0196De</v>
      </c>
      <c r="Z197" s="28" t="str">
        <f t="shared" si="11"/>
        <v>arjun.rao@company.com</v>
      </c>
    </row>
    <row r="198" spans="1:26">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c r="W198" s="24" t="e" cm="1">
        <f t="array" aca="1" ref="W198" ca="1">_xlfn.IFS(  OR(Q198&lt;=2, V198="Cancelled"), "BLACKLISTED", AND(P198&gt;=100000, Q198&gt;=4, O198&lt;=10, V198="Completed"), "PLATINUM", AND( P198&lt;=99999, P198&gt;=50000, Q198&gt;=3, V198= "Completed"), "GOLD", AND( P198&lt;50000, V198="Completed"), "SILVER", TRUE, "UNCLASSIFIED")</f>
        <v>#NAME?</v>
      </c>
      <c r="X198" s="19" t="str">
        <f t="shared" si="9"/>
        <v>Vikas Mehta</v>
      </c>
      <c r="Y198" s="28" t="str">
        <f t="shared" si="10"/>
        <v>Vik0197Hy</v>
      </c>
      <c r="Z198" s="28" t="str">
        <f t="shared" si="11"/>
        <v>vikas.mehta@company.com</v>
      </c>
    </row>
    <row r="199" spans="1:26">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c r="W199" s="24" t="e" cm="1">
        <f t="array" aca="1" ref="W199" ca="1">_xlfn.IFS(  OR(Q199&lt;=2, V199="Cancelled"), "BLACKLISTED", AND(P199&gt;=100000, Q199&gt;=4, O199&lt;=10, V199="Completed"), "PLATINUM", AND( P199&lt;=99999, P199&gt;=50000, Q199&gt;=3, V199= "Completed"), "GOLD", AND( P199&lt;50000, V199="Completed"), "SILVER", TRUE, "UNCLASSIFIED")</f>
        <v>#NAME?</v>
      </c>
      <c r="X199" s="19" t="str">
        <f t="shared" si="9"/>
        <v>Priya Patel</v>
      </c>
      <c r="Y199" s="28" t="str">
        <f t="shared" si="10"/>
        <v>Pri0198Pu</v>
      </c>
      <c r="Z199" s="28" t="str">
        <f t="shared" si="11"/>
        <v>priya.patel@company.com</v>
      </c>
    </row>
    <row r="200" spans="1:26">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c r="W200" s="24" t="e" cm="1">
        <f t="array" aca="1" ref="W200" ca="1">_xlfn.IFS(  OR(Q200&lt;=2, V200="Cancelled"), "BLACKLISTED", AND(P200&gt;=100000, Q200&gt;=4, O200&lt;=10, V200="Completed"), "PLATINUM", AND( P200&lt;=99999, P200&gt;=50000, Q200&gt;=3, V200= "Completed"), "GOLD", AND( P200&lt;50000, V200="Completed"), "SILVER", TRUE, "UNCLASSIFIED")</f>
        <v>#NAME?</v>
      </c>
      <c r="X200" s="19" t="str">
        <f t="shared" si="9"/>
        <v>Vikas Mehta</v>
      </c>
      <c r="Y200" s="28" t="str">
        <f t="shared" si="10"/>
        <v>Vik0199Be</v>
      </c>
      <c r="Z200" s="28" t="str">
        <f t="shared" si="11"/>
        <v>vikas.mehta@company.com</v>
      </c>
    </row>
    <row r="201" spans="1:26">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c r="W201" s="24" t="e" cm="1">
        <f t="array" aca="1" ref="W201" ca="1">_xlfn.IFS(  OR(Q201&lt;=2, V201="Cancelled"), "BLACKLISTED", AND(P201&gt;=100000, Q201&gt;=4, O201&lt;=10, V201="Completed"), "PLATINUM", AND( P201&lt;=99999, P201&gt;=50000, Q201&gt;=3, V201= "Completed"), "GOLD", AND( P201&lt;50000, V201="Completed"), "SILVER", TRUE, "UNCLASSIFIED")</f>
        <v>#NAME?</v>
      </c>
      <c r="X201" s="19" t="str">
        <f t="shared" si="9"/>
        <v>Priya Patel</v>
      </c>
      <c r="Y201" s="28" t="str">
        <f t="shared" si="10"/>
        <v>Pri0200Ja</v>
      </c>
      <c r="Z201" s="28" t="str">
        <f t="shared" si="11"/>
        <v>priya.patel@company.com</v>
      </c>
    </row>
    <row r="202" spans="1:26">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c r="W202" s="24" t="e" cm="1">
        <f t="array" aca="1" ref="W202" ca="1">_xlfn.IFS(  OR(Q202&lt;=2, V202="Cancelled"), "BLACKLISTED", AND(P202&gt;=100000, Q202&gt;=4, O202&lt;=10, V202="Completed"), "PLATINUM", AND( P202&lt;=99999, P202&gt;=50000, Q202&gt;=3, V202= "Completed"), "GOLD", AND( P202&lt;50000, V202="Completed"), "SILVER", TRUE, "UNCLASSIFIED")</f>
        <v>#NAME?</v>
      </c>
      <c r="X202" s="19" t="str">
        <f t="shared" si="9"/>
        <v>Vikas Mehta</v>
      </c>
      <c r="Y202" s="28" t="str">
        <f t="shared" si="10"/>
        <v>Vik0201Ah</v>
      </c>
      <c r="Z202" s="28" t="str">
        <f t="shared" si="11"/>
        <v>vikas.mehta@company.com</v>
      </c>
    </row>
    <row r="203" spans="1:26">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c r="W203" s="24" t="e" cm="1">
        <f t="array" aca="1" ref="W203" ca="1">_xlfn.IFS(  OR(Q203&lt;=2, V203="Cancelled"), "BLACKLISTED", AND(P203&gt;=100000, Q203&gt;=4, O203&lt;=10, V203="Completed"), "PLATINUM", AND( P203&lt;=99999, P203&gt;=50000, Q203&gt;=3, V203= "Completed"), "GOLD", AND( P203&lt;50000, V203="Completed"), "SILVER", TRUE, "UNCLASSIFIED")</f>
        <v>#NAME?</v>
      </c>
      <c r="X203" s="19" t="str">
        <f t="shared" si="9"/>
        <v>Mohit Verma</v>
      </c>
      <c r="Y203" s="28" t="str">
        <f t="shared" si="10"/>
        <v>Moh0202Hy</v>
      </c>
      <c r="Z203" s="28" t="str">
        <f t="shared" si="11"/>
        <v>mohit.verma@company.com</v>
      </c>
    </row>
    <row r="204" spans="1:26">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c r="W204" s="24" t="e" cm="1">
        <f t="array" aca="1" ref="W204" ca="1">_xlfn.IFS(  OR(Q204&lt;=2, V204="Cancelled"), "BLACKLISTED", AND(P204&gt;=100000, Q204&gt;=4, O204&lt;=10, V204="Completed"), "PLATINUM", AND( P204&lt;=99999, P204&gt;=50000, Q204&gt;=3, V204= "Completed"), "GOLD", AND( P204&lt;50000, V204="Completed"), "SILVER", TRUE, "UNCLASSIFIED")</f>
        <v>#NAME?</v>
      </c>
      <c r="X204" s="19" t="str">
        <f t="shared" si="9"/>
        <v>Pooja Shah</v>
      </c>
      <c r="Y204" s="28" t="str">
        <f t="shared" si="10"/>
        <v>Poo0203Be</v>
      </c>
      <c r="Z204" s="28" t="str">
        <f t="shared" si="11"/>
        <v>pooja.shah@company.com</v>
      </c>
    </row>
    <row r="205" spans="1:26">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c r="W205" s="24" t="e" cm="1">
        <f t="array" aca="1" ref="W205" ca="1">_xlfn.IFS(  OR(Q205&lt;=2, V205="Cancelled"), "BLACKLISTED", AND(P205&gt;=100000, Q205&gt;=4, O205&lt;=10, V205="Completed"), "PLATINUM", AND( P205&lt;=99999, P205&gt;=50000, Q205&gt;=3, V205= "Completed"), "GOLD", AND( P205&lt;50000, V205="Completed"), "SILVER", TRUE, "UNCLASSIFIED")</f>
        <v>#NAME?</v>
      </c>
      <c r="X205" s="19" t="str">
        <f t="shared" si="9"/>
        <v>Rohit Singh</v>
      </c>
      <c r="Y205" s="28" t="str">
        <f t="shared" si="10"/>
        <v>Roh0204Ja</v>
      </c>
      <c r="Z205" s="28" t="str">
        <f t="shared" si="11"/>
        <v>rohit.singh@company.com</v>
      </c>
    </row>
    <row r="206" spans="1:26">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c r="W206" s="24" t="e" cm="1">
        <f t="array" aca="1" ref="W206" ca="1">_xlfn.IFS(  OR(Q206&lt;=2, V206="Cancelled"), "BLACKLISTED", AND(P206&gt;=100000, Q206&gt;=4, O206&lt;=10, V206="Completed"), "PLATINUM", AND( P206&lt;=99999, P206&gt;=50000, Q206&gt;=3, V206= "Completed"), "GOLD", AND( P206&lt;50000, V206="Completed"), "SILVER", TRUE, "UNCLASSIFIED")</f>
        <v>#NAME?</v>
      </c>
      <c r="X206" s="19" t="str">
        <f t="shared" si="9"/>
        <v>Anita Gupta</v>
      </c>
      <c r="Y206" s="28" t="str">
        <f t="shared" si="10"/>
        <v>Ani0205Pu</v>
      </c>
      <c r="Z206" s="28" t="str">
        <f t="shared" si="11"/>
        <v>anita.gupta@company.com</v>
      </c>
    </row>
    <row r="207" spans="1:26">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c r="W207" s="24" t="e" cm="1">
        <f t="array" aca="1" ref="W207" ca="1">_xlfn.IFS(  OR(Q207&lt;=2, V207="Cancelled"), "BLACKLISTED", AND(P207&gt;=100000, Q207&gt;=4, O207&lt;=10, V207="Completed"), "PLATINUM", AND( P207&lt;=99999, P207&gt;=50000, Q207&gt;=3, V207= "Completed"), "GOLD", AND( P207&lt;50000, V207="Completed"), "SILVER", TRUE, "UNCLASSIFIED")</f>
        <v>#NAME?</v>
      </c>
      <c r="X207" s="19" t="str">
        <f t="shared" si="9"/>
        <v>Amit Sharma</v>
      </c>
      <c r="Y207" s="28" t="str">
        <f t="shared" si="10"/>
        <v>Ami0206Mu</v>
      </c>
      <c r="Z207" s="28" t="str">
        <f t="shared" si="11"/>
        <v>amit.sharma@company.com</v>
      </c>
    </row>
    <row r="208" spans="1:26">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c r="W208" s="24" t="e" cm="1">
        <f t="array" aca="1" ref="W208" ca="1">_xlfn.IFS(  OR(Q208&lt;=2, V208="Cancelled"), "BLACKLISTED", AND(P208&gt;=100000, Q208&gt;=4, O208&lt;=10, V208="Completed"), "PLATINUM", AND( P208&lt;=99999, P208&gt;=50000, Q208&gt;=3, V208= "Completed"), "GOLD", AND( P208&lt;50000, V208="Completed"), "SILVER", TRUE, "UNCLASSIFIED")</f>
        <v>#NAME?</v>
      </c>
      <c r="X208" s="19" t="str">
        <f t="shared" si="9"/>
        <v>Vikas Mehta</v>
      </c>
      <c r="Y208" s="28" t="str">
        <f t="shared" si="10"/>
        <v>Vik0207Hy</v>
      </c>
      <c r="Z208" s="28" t="str">
        <f t="shared" si="11"/>
        <v>vikas.mehta@company.com</v>
      </c>
    </row>
    <row r="209" spans="1:26">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c r="W209" s="24" t="e" cm="1">
        <f t="array" aca="1" ref="W209" ca="1">_xlfn.IFS(  OR(Q209&lt;=2, V209="Cancelled"), "BLACKLISTED", AND(P209&gt;=100000, Q209&gt;=4, O209&lt;=10, V209="Completed"), "PLATINUM", AND( P209&lt;=99999, P209&gt;=50000, Q209&gt;=3, V209= "Completed"), "GOLD", AND( P209&lt;50000, V209="Completed"), "SILVER", TRUE, "UNCLASSIFIED")</f>
        <v>#NAME?</v>
      </c>
      <c r="X209" s="19" t="str">
        <f t="shared" si="9"/>
        <v>Amit Sharma</v>
      </c>
      <c r="Y209" s="28" t="str">
        <f t="shared" si="10"/>
        <v>Ami0208Pu</v>
      </c>
      <c r="Z209" s="28" t="str">
        <f t="shared" si="11"/>
        <v>amit.sharma@company.com</v>
      </c>
    </row>
    <row r="210" spans="1:26">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c r="W210" s="24" t="e" cm="1">
        <f t="array" aca="1" ref="W210" ca="1">_xlfn.IFS(  OR(Q210&lt;=2, V210="Cancelled"), "BLACKLISTED", AND(P210&gt;=100000, Q210&gt;=4, O210&lt;=10, V210="Completed"), "PLATINUM", AND( P210&lt;=99999, P210&gt;=50000, Q210&gt;=3, V210= "Completed"), "GOLD", AND( P210&lt;50000, V210="Completed"), "SILVER", TRUE, "UNCLASSIFIED")</f>
        <v>#NAME?</v>
      </c>
      <c r="X210" s="19" t="str">
        <f t="shared" si="9"/>
        <v>Kavya Nair</v>
      </c>
      <c r="Y210" s="28" t="str">
        <f t="shared" si="10"/>
        <v>Kav0209Mu</v>
      </c>
      <c r="Z210" s="28" t="str">
        <f t="shared" si="11"/>
        <v>kavya.nair@company.com</v>
      </c>
    </row>
    <row r="211" spans="1:26">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c r="W211" s="24" t="e" cm="1">
        <f t="array" aca="1" ref="W211" ca="1">_xlfn.IFS(  OR(Q211&lt;=2, V211="Cancelled"), "BLACKLISTED", AND(P211&gt;=100000, Q211&gt;=4, O211&lt;=10, V211="Completed"), "PLATINUM", AND( P211&lt;=99999, P211&gt;=50000, Q211&gt;=3, V211= "Completed"), "GOLD", AND( P211&lt;50000, V211="Completed"), "SILVER", TRUE, "UNCLASSIFIED")</f>
        <v>#NAME?</v>
      </c>
      <c r="X211" s="19" t="str">
        <f t="shared" si="9"/>
        <v>Sneha Joshi</v>
      </c>
      <c r="Y211" s="28" t="str">
        <f t="shared" si="10"/>
        <v>Sne0210Mu</v>
      </c>
      <c r="Z211" s="28" t="str">
        <f t="shared" si="11"/>
        <v>sneha.joshi@company.com</v>
      </c>
    </row>
    <row r="212" spans="1:26">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c r="W212" s="24" t="e" cm="1">
        <f t="array" aca="1" ref="W212" ca="1">_xlfn.IFS(  OR(Q212&lt;=2, V212="Cancelled"), "BLACKLISTED", AND(P212&gt;=100000, Q212&gt;=4, O212&lt;=10, V212="Completed"), "PLATINUM", AND( P212&lt;=99999, P212&gt;=50000, Q212&gt;=3, V212= "Completed"), "GOLD", AND( P212&lt;50000, V212="Completed"), "SILVER", TRUE, "UNCLASSIFIED")</f>
        <v>#NAME?</v>
      </c>
      <c r="X212" s="19" t="str">
        <f t="shared" si="9"/>
        <v>Amit Sharma</v>
      </c>
      <c r="Y212" s="28" t="str">
        <f t="shared" si="10"/>
        <v>Ami0211Mu</v>
      </c>
      <c r="Z212" s="28" t="str">
        <f t="shared" si="11"/>
        <v>amit.sharma@company.com</v>
      </c>
    </row>
    <row r="213" spans="1:26">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c r="W213" s="24" t="e" cm="1">
        <f t="array" aca="1" ref="W213" ca="1">_xlfn.IFS(  OR(Q213&lt;=2, V213="Cancelled"), "BLACKLISTED", AND(P213&gt;=100000, Q213&gt;=4, O213&lt;=10, V213="Completed"), "PLATINUM", AND( P213&lt;=99999, P213&gt;=50000, Q213&gt;=3, V213= "Completed"), "GOLD", AND( P213&lt;50000, V213="Completed"), "SILVER", TRUE, "UNCLASSIFIED")</f>
        <v>#NAME?</v>
      </c>
      <c r="X213" s="19" t="str">
        <f t="shared" si="9"/>
        <v>Sneha Joshi</v>
      </c>
      <c r="Y213" s="28" t="str">
        <f t="shared" si="10"/>
        <v>Sne0212Ah</v>
      </c>
      <c r="Z213" s="28" t="str">
        <f t="shared" si="11"/>
        <v>sneha.joshi@company.com</v>
      </c>
    </row>
    <row r="214" spans="1:26">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c r="W214" s="24" t="e" cm="1">
        <f t="array" aca="1" ref="W214" ca="1">_xlfn.IFS(  OR(Q214&lt;=2, V214="Cancelled"), "BLACKLISTED", AND(P214&gt;=100000, Q214&gt;=4, O214&lt;=10, V214="Completed"), "PLATINUM", AND( P214&lt;=99999, P214&gt;=50000, Q214&gt;=3, V214= "Completed"), "GOLD", AND( P214&lt;50000, V214="Completed"), "SILVER", TRUE, "UNCLASSIFIED")</f>
        <v>#NAME?</v>
      </c>
      <c r="X214" s="19" t="str">
        <f t="shared" si="9"/>
        <v>Kavya Nair</v>
      </c>
      <c r="Y214" s="28" t="str">
        <f t="shared" si="10"/>
        <v>Kav0213Hy</v>
      </c>
      <c r="Z214" s="28" t="str">
        <f t="shared" si="11"/>
        <v>kavya.nair@company.com</v>
      </c>
    </row>
    <row r="215" spans="1:26">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c r="W215" s="24" t="e" cm="1">
        <f t="array" aca="1" ref="W215" ca="1">_xlfn.IFS(  OR(Q215&lt;=2, V215="Cancelled"), "BLACKLISTED", AND(P215&gt;=100000, Q215&gt;=4, O215&lt;=10, V215="Completed"), "PLATINUM", AND( P215&lt;=99999, P215&gt;=50000, Q215&gt;=3, V215= "Completed"), "GOLD", AND( P215&lt;50000, V215="Completed"), "SILVER", TRUE, "UNCLASSIFIED")</f>
        <v>#NAME?</v>
      </c>
      <c r="X215" s="19" t="str">
        <f t="shared" si="9"/>
        <v>Pooja Shah</v>
      </c>
      <c r="Y215" s="28" t="str">
        <f t="shared" si="10"/>
        <v>Poo0214Pu</v>
      </c>
      <c r="Z215" s="28" t="str">
        <f t="shared" si="11"/>
        <v>pooja.shah@company.com</v>
      </c>
    </row>
    <row r="216" spans="1:26">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c r="W216" s="24" t="e" cm="1">
        <f t="array" aca="1" ref="W216" ca="1">_xlfn.IFS(  OR(Q216&lt;=2, V216="Cancelled"), "BLACKLISTED", AND(P216&gt;=100000, Q216&gt;=4, O216&lt;=10, V216="Completed"), "PLATINUM", AND( P216&lt;=99999, P216&gt;=50000, Q216&gt;=3, V216= "Completed"), "GOLD", AND( P216&lt;50000, V216="Completed"), "SILVER", TRUE, "UNCLASSIFIED")</f>
        <v>#NAME?</v>
      </c>
      <c r="X216" s="19" t="str">
        <f t="shared" si="9"/>
        <v>Priya Patel</v>
      </c>
      <c r="Y216" s="28" t="str">
        <f t="shared" si="10"/>
        <v>Pri0215Be</v>
      </c>
      <c r="Z216" s="28" t="str">
        <f t="shared" si="11"/>
        <v>priya.patel@company.com</v>
      </c>
    </row>
    <row r="217" spans="1:26">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c r="W217" s="24" t="e" cm="1">
        <f t="array" aca="1" ref="W217" ca="1">_xlfn.IFS(  OR(Q217&lt;=2, V217="Cancelled"), "BLACKLISTED", AND(P217&gt;=100000, Q217&gt;=4, O217&lt;=10, V217="Completed"), "PLATINUM", AND( P217&lt;=99999, P217&gt;=50000, Q217&gt;=3, V217= "Completed"), "GOLD", AND( P217&lt;50000, V217="Completed"), "SILVER", TRUE, "UNCLASSIFIED")</f>
        <v>#NAME?</v>
      </c>
      <c r="X217" s="19" t="str">
        <f t="shared" si="9"/>
        <v>Kavya Nair</v>
      </c>
      <c r="Y217" s="28" t="str">
        <f t="shared" si="10"/>
        <v>Kav0216Ko</v>
      </c>
      <c r="Z217" s="28" t="str">
        <f t="shared" si="11"/>
        <v>kavya.nair@company.com</v>
      </c>
    </row>
    <row r="218" spans="1:26">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c r="W218" s="24" t="e" cm="1">
        <f t="array" aca="1" ref="W218" ca="1">_xlfn.IFS(  OR(Q218&lt;=2, V218="Cancelled"), "BLACKLISTED", AND(P218&gt;=100000, Q218&gt;=4, O218&lt;=10, V218="Completed"), "PLATINUM", AND( P218&lt;=99999, P218&gt;=50000, Q218&gt;=3, V218= "Completed"), "GOLD", AND( P218&lt;50000, V218="Completed"), "SILVER", TRUE, "UNCLASSIFIED")</f>
        <v>#NAME?</v>
      </c>
      <c r="X218" s="19" t="str">
        <f t="shared" si="9"/>
        <v>Vikas Mehta</v>
      </c>
      <c r="Y218" s="28" t="str">
        <f t="shared" si="10"/>
        <v>Vik0217Be</v>
      </c>
      <c r="Z218" s="28" t="str">
        <f t="shared" si="11"/>
        <v>vikas.mehta@company.com</v>
      </c>
    </row>
    <row r="219" spans="1:26">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c r="W219" s="24" t="e" cm="1">
        <f t="array" aca="1" ref="W219" ca="1">_xlfn.IFS(  OR(Q219&lt;=2, V219="Cancelled"), "BLACKLISTED", AND(P219&gt;=100000, Q219&gt;=4, O219&lt;=10, V219="Completed"), "PLATINUM", AND( P219&lt;=99999, P219&gt;=50000, Q219&gt;=3, V219= "Completed"), "GOLD", AND( P219&lt;50000, V219="Completed"), "SILVER", TRUE, "UNCLASSIFIED")</f>
        <v>#NAME?</v>
      </c>
      <c r="X219" s="19" t="str">
        <f t="shared" si="9"/>
        <v>Arjun Rao</v>
      </c>
      <c r="Y219" s="28" t="str">
        <f t="shared" si="10"/>
        <v>Arj0218Ko</v>
      </c>
      <c r="Z219" s="28" t="str">
        <f t="shared" si="11"/>
        <v>arjun.rao@company.com</v>
      </c>
    </row>
    <row r="220" spans="1:26">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c r="W220" s="24" t="e" cm="1">
        <f t="array" aca="1" ref="W220" ca="1">_xlfn.IFS(  OR(Q220&lt;=2, V220="Cancelled"), "BLACKLISTED", AND(P220&gt;=100000, Q220&gt;=4, O220&lt;=10, V220="Completed"), "PLATINUM", AND( P220&lt;=99999, P220&gt;=50000, Q220&gt;=3, V220= "Completed"), "GOLD", AND( P220&lt;50000, V220="Completed"), "SILVER", TRUE, "UNCLASSIFIED")</f>
        <v>#NAME?</v>
      </c>
      <c r="X220" s="19" t="str">
        <f t="shared" si="9"/>
        <v>Pooja Shah</v>
      </c>
      <c r="Y220" s="28" t="str">
        <f t="shared" si="10"/>
        <v>Poo0219Pu</v>
      </c>
      <c r="Z220" s="28" t="str">
        <f t="shared" si="11"/>
        <v>pooja.shah@company.com</v>
      </c>
    </row>
    <row r="221" spans="1:26">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c r="W221" s="24" t="e" cm="1">
        <f t="array" aca="1" ref="W221" ca="1">_xlfn.IFS(  OR(Q221&lt;=2, V221="Cancelled"), "BLACKLISTED", AND(P221&gt;=100000, Q221&gt;=4, O221&lt;=10, V221="Completed"), "PLATINUM", AND( P221&lt;=99999, P221&gt;=50000, Q221&gt;=3, V221= "Completed"), "GOLD", AND( P221&lt;50000, V221="Completed"), "SILVER", TRUE, "UNCLASSIFIED")</f>
        <v>#NAME?</v>
      </c>
      <c r="X221" s="19" t="str">
        <f t="shared" si="9"/>
        <v>Priya Patel</v>
      </c>
      <c r="Y221" s="28" t="str">
        <f t="shared" si="10"/>
        <v>Pri0220Ko</v>
      </c>
      <c r="Z221" s="28" t="str">
        <f t="shared" si="11"/>
        <v>priya.patel@company.com</v>
      </c>
    </row>
    <row r="222" spans="1:26">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c r="W222" s="24" t="e" cm="1">
        <f t="array" aca="1" ref="W222" ca="1">_xlfn.IFS(  OR(Q222&lt;=2, V222="Cancelled"), "BLACKLISTED", AND(P222&gt;=100000, Q222&gt;=4, O222&lt;=10, V222="Completed"), "PLATINUM", AND( P222&lt;=99999, P222&gt;=50000, Q222&gt;=3, V222= "Completed"), "GOLD", AND( P222&lt;50000, V222="Completed"), "SILVER", TRUE, "UNCLASSIFIED")</f>
        <v>#NAME?</v>
      </c>
      <c r="X222" s="19" t="str">
        <f t="shared" si="9"/>
        <v>Sneha Joshi</v>
      </c>
      <c r="Y222" s="28" t="str">
        <f t="shared" si="10"/>
        <v>Sne0221De</v>
      </c>
      <c r="Z222" s="28" t="str">
        <f t="shared" si="11"/>
        <v>sneha.joshi@company.com</v>
      </c>
    </row>
    <row r="223" spans="1:26">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c r="W223" s="24" t="e" cm="1">
        <f t="array" aca="1" ref="W223" ca="1">_xlfn.IFS(  OR(Q223&lt;=2, V223="Cancelled"), "BLACKLISTED", AND(P223&gt;=100000, Q223&gt;=4, O223&lt;=10, V223="Completed"), "PLATINUM", AND( P223&lt;=99999, P223&gt;=50000, Q223&gt;=3, V223= "Completed"), "GOLD", AND( P223&lt;50000, V223="Completed"), "SILVER", TRUE, "UNCLASSIFIED")</f>
        <v>#NAME?</v>
      </c>
      <c r="X223" s="19" t="str">
        <f t="shared" si="9"/>
        <v>Pooja Shah</v>
      </c>
      <c r="Y223" s="28" t="str">
        <f t="shared" si="10"/>
        <v>Poo0222Ko</v>
      </c>
      <c r="Z223" s="28" t="str">
        <f t="shared" si="11"/>
        <v>pooja.shah@company.com</v>
      </c>
    </row>
    <row r="224" spans="1:26">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c r="W224" s="24" t="e" cm="1">
        <f t="array" aca="1" ref="W224" ca="1">_xlfn.IFS(  OR(Q224&lt;=2, V224="Cancelled"), "BLACKLISTED", AND(P224&gt;=100000, Q224&gt;=4, O224&lt;=10, V224="Completed"), "PLATINUM", AND( P224&lt;=99999, P224&gt;=50000, Q224&gt;=3, V224= "Completed"), "GOLD", AND( P224&lt;50000, V224="Completed"), "SILVER", TRUE, "UNCLASSIFIED")</f>
        <v>#NAME?</v>
      </c>
      <c r="X224" s="19" t="str">
        <f t="shared" si="9"/>
        <v>Amit Sharma</v>
      </c>
      <c r="Y224" s="28" t="str">
        <f t="shared" si="10"/>
        <v>Ami0223Ko</v>
      </c>
      <c r="Z224" s="28" t="str">
        <f t="shared" si="11"/>
        <v>amit.sharma@company.com</v>
      </c>
    </row>
    <row r="225" spans="1:26">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c r="W225" s="24" t="e" cm="1">
        <f t="array" aca="1" ref="W225" ca="1">_xlfn.IFS(  OR(Q225&lt;=2, V225="Cancelled"), "BLACKLISTED", AND(P225&gt;=100000, Q225&gt;=4, O225&lt;=10, V225="Completed"), "PLATINUM", AND( P225&lt;=99999, P225&gt;=50000, Q225&gt;=3, V225= "Completed"), "GOLD", AND( P225&lt;50000, V225="Completed"), "SILVER", TRUE, "UNCLASSIFIED")</f>
        <v>#NAME?</v>
      </c>
      <c r="X225" s="19" t="str">
        <f t="shared" si="9"/>
        <v>Kavya Nair</v>
      </c>
      <c r="Y225" s="28" t="str">
        <f t="shared" si="10"/>
        <v>Kav0224De</v>
      </c>
      <c r="Z225" s="28" t="str">
        <f t="shared" si="11"/>
        <v>kavya.nair@company.com</v>
      </c>
    </row>
    <row r="226" spans="1:26">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c r="W226" s="24" t="e" cm="1">
        <f t="array" aca="1" ref="W226" ca="1">_xlfn.IFS(  OR(Q226&lt;=2, V226="Cancelled"), "BLACKLISTED", AND(P226&gt;=100000, Q226&gt;=4, O226&lt;=10, V226="Completed"), "PLATINUM", AND( P226&lt;=99999, P226&gt;=50000, Q226&gt;=3, V226= "Completed"), "GOLD", AND( P226&lt;50000, V226="Completed"), "SILVER", TRUE, "UNCLASSIFIED")</f>
        <v>#NAME?</v>
      </c>
      <c r="X226" s="19" t="str">
        <f t="shared" si="9"/>
        <v>Arjun Rao</v>
      </c>
      <c r="Y226" s="28" t="str">
        <f t="shared" si="10"/>
        <v>Arj0225Mu</v>
      </c>
      <c r="Z226" s="28" t="str">
        <f t="shared" si="11"/>
        <v>arjun.rao@company.com</v>
      </c>
    </row>
    <row r="227" spans="1:26">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c r="W227" s="24" t="e" cm="1">
        <f t="array" aca="1" ref="W227" ca="1">_xlfn.IFS(  OR(Q227&lt;=2, V227="Cancelled"), "BLACKLISTED", AND(P227&gt;=100000, Q227&gt;=4, O227&lt;=10, V227="Completed"), "PLATINUM", AND( P227&lt;=99999, P227&gt;=50000, Q227&gt;=3, V227= "Completed"), "GOLD", AND( P227&lt;50000, V227="Completed"), "SILVER", TRUE, "UNCLASSIFIED")</f>
        <v>#NAME?</v>
      </c>
      <c r="X227" s="19" t="str">
        <f t="shared" si="9"/>
        <v>Priya Patel</v>
      </c>
      <c r="Y227" s="28" t="str">
        <f t="shared" si="10"/>
        <v>Pri0226Hy</v>
      </c>
      <c r="Z227" s="28" t="str">
        <f t="shared" si="11"/>
        <v>priya.patel@company.com</v>
      </c>
    </row>
    <row r="228" spans="1:26">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c r="W228" s="24" t="e" cm="1">
        <f t="array" aca="1" ref="W228" ca="1">_xlfn.IFS(  OR(Q228&lt;=2, V228="Cancelled"), "BLACKLISTED", AND(P228&gt;=100000, Q228&gt;=4, O228&lt;=10, V228="Completed"), "PLATINUM", AND( P228&lt;=99999, P228&gt;=50000, Q228&gt;=3, V228= "Completed"), "GOLD", AND( P228&lt;50000, V228="Completed"), "SILVER", TRUE, "UNCLASSIFIED")</f>
        <v>#NAME?</v>
      </c>
      <c r="X228" s="19" t="str">
        <f t="shared" si="9"/>
        <v>Anita Gupta</v>
      </c>
      <c r="Y228" s="28" t="str">
        <f t="shared" si="10"/>
        <v>Ani0227Hy</v>
      </c>
      <c r="Z228" s="28" t="str">
        <f t="shared" si="11"/>
        <v>anita.gupta@company.com</v>
      </c>
    </row>
    <row r="229" spans="1:26">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c r="W229" s="24" t="e" cm="1">
        <f t="array" aca="1" ref="W229" ca="1">_xlfn.IFS(  OR(Q229&lt;=2, V229="Cancelled"), "BLACKLISTED", AND(P229&gt;=100000, Q229&gt;=4, O229&lt;=10, V229="Completed"), "PLATINUM", AND( P229&lt;=99999, P229&gt;=50000, Q229&gt;=3, V229= "Completed"), "GOLD", AND( P229&lt;50000, V229="Completed"), "SILVER", TRUE, "UNCLASSIFIED")</f>
        <v>#NAME?</v>
      </c>
      <c r="X229" s="19" t="str">
        <f t="shared" si="9"/>
        <v>Mohit Verma</v>
      </c>
      <c r="Y229" s="28" t="str">
        <f t="shared" si="10"/>
        <v>Moh0228Ko</v>
      </c>
      <c r="Z229" s="28" t="str">
        <f t="shared" si="11"/>
        <v>mohit.verma@company.com</v>
      </c>
    </row>
    <row r="230" spans="1:26">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c r="W230" s="24" t="e" cm="1">
        <f t="array" aca="1" ref="W230" ca="1">_xlfn.IFS(  OR(Q230&lt;=2, V230="Cancelled"), "BLACKLISTED", AND(P230&gt;=100000, Q230&gt;=4, O230&lt;=10, V230="Completed"), "PLATINUM", AND( P230&lt;=99999, P230&gt;=50000, Q230&gt;=3, V230= "Completed"), "GOLD", AND( P230&lt;50000, V230="Completed"), "SILVER", TRUE, "UNCLASSIFIED")</f>
        <v>#NAME?</v>
      </c>
      <c r="X230" s="19" t="str">
        <f t="shared" si="9"/>
        <v>Priya Patel</v>
      </c>
      <c r="Y230" s="28" t="str">
        <f t="shared" si="10"/>
        <v>Pri0229Hy</v>
      </c>
      <c r="Z230" s="28" t="str">
        <f t="shared" si="11"/>
        <v>priya.patel@company.com</v>
      </c>
    </row>
    <row r="231" spans="1:26">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c r="W231" s="24" t="e" cm="1">
        <f t="array" aca="1" ref="W231" ca="1">_xlfn.IFS(  OR(Q231&lt;=2, V231="Cancelled"), "BLACKLISTED", AND(P231&gt;=100000, Q231&gt;=4, O231&lt;=10, V231="Completed"), "PLATINUM", AND( P231&lt;=99999, P231&gt;=50000, Q231&gt;=3, V231= "Completed"), "GOLD", AND( P231&lt;50000, V231="Completed"), "SILVER", TRUE, "UNCLASSIFIED")</f>
        <v>#NAME?</v>
      </c>
      <c r="X231" s="19" t="str">
        <f t="shared" si="9"/>
        <v>Mohit Verma</v>
      </c>
      <c r="Y231" s="28" t="str">
        <f t="shared" si="10"/>
        <v>Moh0230Pu</v>
      </c>
      <c r="Z231" s="28" t="str">
        <f t="shared" si="11"/>
        <v>mohit.verma@company.com</v>
      </c>
    </row>
    <row r="232" spans="1:26">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c r="W232" s="24" t="e" cm="1">
        <f t="array" aca="1" ref="W232" ca="1">_xlfn.IFS(  OR(Q232&lt;=2, V232="Cancelled"), "BLACKLISTED", AND(P232&gt;=100000, Q232&gt;=4, O232&lt;=10, V232="Completed"), "PLATINUM", AND( P232&lt;=99999, P232&gt;=50000, Q232&gt;=3, V232= "Completed"), "GOLD", AND( P232&lt;50000, V232="Completed"), "SILVER", TRUE, "UNCLASSIFIED")</f>
        <v>#NAME?</v>
      </c>
      <c r="X232" s="19" t="str">
        <f t="shared" si="9"/>
        <v>Priya Patel</v>
      </c>
      <c r="Y232" s="28" t="str">
        <f t="shared" si="10"/>
        <v>Pri0231Ko</v>
      </c>
      <c r="Z232" s="28" t="str">
        <f t="shared" si="11"/>
        <v>priya.patel@company.com</v>
      </c>
    </row>
    <row r="233" spans="1:26">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c r="W233" s="24" t="e" cm="1">
        <f t="array" aca="1" ref="W233" ca="1">_xlfn.IFS(  OR(Q233&lt;=2, V233="Cancelled"), "BLACKLISTED", AND(P233&gt;=100000, Q233&gt;=4, O233&lt;=10, V233="Completed"), "PLATINUM", AND( P233&lt;=99999, P233&gt;=50000, Q233&gt;=3, V233= "Completed"), "GOLD", AND( P233&lt;50000, V233="Completed"), "SILVER", TRUE, "UNCLASSIFIED")</f>
        <v>#NAME?</v>
      </c>
      <c r="X233" s="19" t="str">
        <f t="shared" si="9"/>
        <v>Priya Patel</v>
      </c>
      <c r="Y233" s="28" t="str">
        <f t="shared" si="10"/>
        <v>Pri0232Mu</v>
      </c>
      <c r="Z233" s="28" t="str">
        <f t="shared" si="11"/>
        <v>priya.patel@company.com</v>
      </c>
    </row>
    <row r="234" spans="1:26">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c r="W234" s="24" t="e" cm="1">
        <f t="array" aca="1" ref="W234" ca="1">_xlfn.IFS(  OR(Q234&lt;=2, V234="Cancelled"), "BLACKLISTED", AND(P234&gt;=100000, Q234&gt;=4, O234&lt;=10, V234="Completed"), "PLATINUM", AND( P234&lt;=99999, P234&gt;=50000, Q234&gt;=3, V234= "Completed"), "GOLD", AND( P234&lt;50000, V234="Completed"), "SILVER", TRUE, "UNCLASSIFIED")</f>
        <v>#NAME?</v>
      </c>
      <c r="X234" s="19" t="str">
        <f t="shared" si="9"/>
        <v>Sneha Joshi</v>
      </c>
      <c r="Y234" s="28" t="str">
        <f t="shared" si="10"/>
        <v>Sne0233Ko</v>
      </c>
      <c r="Z234" s="28" t="str">
        <f t="shared" si="11"/>
        <v>sneha.joshi@company.com</v>
      </c>
    </row>
    <row r="235" spans="1:26">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c r="W235" s="24" t="e" cm="1">
        <f t="array" aca="1" ref="W235" ca="1">_xlfn.IFS(  OR(Q235&lt;=2, V235="Cancelled"), "BLACKLISTED", AND(P235&gt;=100000, Q235&gt;=4, O235&lt;=10, V235="Completed"), "PLATINUM", AND( P235&lt;=99999, P235&gt;=50000, Q235&gt;=3, V235= "Completed"), "GOLD", AND( P235&lt;50000, V235="Completed"), "SILVER", TRUE, "UNCLASSIFIED")</f>
        <v>#NAME?</v>
      </c>
      <c r="X235" s="19" t="str">
        <f t="shared" si="9"/>
        <v>Kavya Nair</v>
      </c>
      <c r="Y235" s="28" t="str">
        <f t="shared" si="10"/>
        <v>Kav0234Be</v>
      </c>
      <c r="Z235" s="28" t="str">
        <f t="shared" si="11"/>
        <v>kavya.nair@company.com</v>
      </c>
    </row>
    <row r="236" spans="1:26">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c r="W236" s="24" t="e" cm="1">
        <f t="array" aca="1" ref="W236" ca="1">_xlfn.IFS(  OR(Q236&lt;=2, V236="Cancelled"), "BLACKLISTED", AND(P236&gt;=100000, Q236&gt;=4, O236&lt;=10, V236="Completed"), "PLATINUM", AND( P236&lt;=99999, P236&gt;=50000, Q236&gt;=3, V236= "Completed"), "GOLD", AND( P236&lt;50000, V236="Completed"), "SILVER", TRUE, "UNCLASSIFIED")</f>
        <v>#NAME?</v>
      </c>
      <c r="X236" s="19" t="str">
        <f t="shared" si="9"/>
        <v>Mohit Verma</v>
      </c>
      <c r="Y236" s="28" t="str">
        <f t="shared" si="10"/>
        <v>Moh0235Mu</v>
      </c>
      <c r="Z236" s="28" t="str">
        <f t="shared" si="11"/>
        <v>mohit.verma@company.com</v>
      </c>
    </row>
    <row r="237" spans="1:26">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c r="W237" s="24" t="e" cm="1">
        <f t="array" aca="1" ref="W237" ca="1">_xlfn.IFS(  OR(Q237&lt;=2, V237="Cancelled"), "BLACKLISTED", AND(P237&gt;=100000, Q237&gt;=4, O237&lt;=10, V237="Completed"), "PLATINUM", AND( P237&lt;=99999, P237&gt;=50000, Q237&gt;=3, V237= "Completed"), "GOLD", AND( P237&lt;50000, V237="Completed"), "SILVER", TRUE, "UNCLASSIFIED")</f>
        <v>#NAME?</v>
      </c>
      <c r="X237" s="19" t="str">
        <f t="shared" si="9"/>
        <v>Rohit Singh</v>
      </c>
      <c r="Y237" s="28" t="str">
        <f t="shared" si="10"/>
        <v>Roh0236De</v>
      </c>
      <c r="Z237" s="28" t="str">
        <f t="shared" si="11"/>
        <v>rohit.singh@company.com</v>
      </c>
    </row>
    <row r="238" spans="1:26">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c r="W238" s="24" t="e" cm="1">
        <f t="array" aca="1" ref="W238" ca="1">_xlfn.IFS(  OR(Q238&lt;=2, V238="Cancelled"), "BLACKLISTED", AND(P238&gt;=100000, Q238&gt;=4, O238&lt;=10, V238="Completed"), "PLATINUM", AND( P238&lt;=99999, P238&gt;=50000, Q238&gt;=3, V238= "Completed"), "GOLD", AND( P238&lt;50000, V238="Completed"), "SILVER", TRUE, "UNCLASSIFIED")</f>
        <v>#NAME?</v>
      </c>
      <c r="X238" s="19" t="str">
        <f t="shared" si="9"/>
        <v>Rohit Singh</v>
      </c>
      <c r="Y238" s="28" t="str">
        <f t="shared" si="10"/>
        <v>Roh0237Mu</v>
      </c>
      <c r="Z238" s="28" t="str">
        <f t="shared" si="11"/>
        <v>rohit.singh@company.com</v>
      </c>
    </row>
    <row r="239" spans="1:26">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c r="W239" s="24" t="e" cm="1">
        <f t="array" aca="1" ref="W239" ca="1">_xlfn.IFS(  OR(Q239&lt;=2, V239="Cancelled"), "BLACKLISTED", AND(P239&gt;=100000, Q239&gt;=4, O239&lt;=10, V239="Completed"), "PLATINUM", AND( P239&lt;=99999, P239&gt;=50000, Q239&gt;=3, V239= "Completed"), "GOLD", AND( P239&lt;50000, V239="Completed"), "SILVER", TRUE, "UNCLASSIFIED")</f>
        <v>#NAME?</v>
      </c>
      <c r="X239" s="19" t="str">
        <f t="shared" si="9"/>
        <v>Vikas Mehta</v>
      </c>
      <c r="Y239" s="28" t="str">
        <f t="shared" si="10"/>
        <v>Vik0238Hy</v>
      </c>
      <c r="Z239" s="28" t="str">
        <f t="shared" si="11"/>
        <v>vikas.mehta@company.com</v>
      </c>
    </row>
    <row r="240" spans="1:26">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c r="W240" s="24" t="e" cm="1">
        <f t="array" aca="1" ref="W240" ca="1">_xlfn.IFS(  OR(Q240&lt;=2, V240="Cancelled"), "BLACKLISTED", AND(P240&gt;=100000, Q240&gt;=4, O240&lt;=10, V240="Completed"), "PLATINUM", AND( P240&lt;=99999, P240&gt;=50000, Q240&gt;=3, V240= "Completed"), "GOLD", AND( P240&lt;50000, V240="Completed"), "SILVER", TRUE, "UNCLASSIFIED")</f>
        <v>#NAME?</v>
      </c>
      <c r="X240" s="19" t="str">
        <f t="shared" si="9"/>
        <v>Pooja Shah</v>
      </c>
      <c r="Y240" s="28" t="str">
        <f t="shared" si="10"/>
        <v>Poo0239Pu</v>
      </c>
      <c r="Z240" s="28" t="str">
        <f t="shared" si="11"/>
        <v>pooja.shah@company.com</v>
      </c>
    </row>
    <row r="241" spans="1:26">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c r="W241" s="24" t="e" cm="1">
        <f t="array" aca="1" ref="W241" ca="1">_xlfn.IFS(  OR(Q241&lt;=2, V241="Cancelled"), "BLACKLISTED", AND(P241&gt;=100000, Q241&gt;=4, O241&lt;=10, V241="Completed"), "PLATINUM", AND( P241&lt;=99999, P241&gt;=50000, Q241&gt;=3, V241= "Completed"), "GOLD", AND( P241&lt;50000, V241="Completed"), "SILVER", TRUE, "UNCLASSIFIED")</f>
        <v>#NAME?</v>
      </c>
      <c r="X241" s="19" t="str">
        <f t="shared" si="9"/>
        <v>Pooja Shah</v>
      </c>
      <c r="Y241" s="28" t="str">
        <f t="shared" si="10"/>
        <v>Poo0240Hy</v>
      </c>
      <c r="Z241" s="28" t="str">
        <f t="shared" si="11"/>
        <v>pooja.shah@company.com</v>
      </c>
    </row>
    <row r="242" spans="1:26">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c r="W242" s="24" t="e" cm="1">
        <f t="array" aca="1" ref="W242" ca="1">_xlfn.IFS(  OR(Q242&lt;=2, V242="Cancelled"), "BLACKLISTED", AND(P242&gt;=100000, Q242&gt;=4, O242&lt;=10, V242="Completed"), "PLATINUM", AND( P242&lt;=99999, P242&gt;=50000, Q242&gt;=3, V242= "Completed"), "GOLD", AND( P242&lt;50000, V242="Completed"), "SILVER", TRUE, "UNCLASSIFIED")</f>
        <v>#NAME?</v>
      </c>
      <c r="X242" s="19" t="str">
        <f t="shared" si="9"/>
        <v>Anita Gupta</v>
      </c>
      <c r="Y242" s="28" t="str">
        <f t="shared" si="10"/>
        <v>Ani0241Pu</v>
      </c>
      <c r="Z242" s="28" t="str">
        <f t="shared" si="11"/>
        <v>anita.gupta@company.com</v>
      </c>
    </row>
    <row r="243" spans="1:26">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c r="W243" s="24" t="e" cm="1">
        <f t="array" aca="1" ref="W243" ca="1">_xlfn.IFS(  OR(Q243&lt;=2, V243="Cancelled"), "BLACKLISTED", AND(P243&gt;=100000, Q243&gt;=4, O243&lt;=10, V243="Completed"), "PLATINUM", AND( P243&lt;=99999, P243&gt;=50000, Q243&gt;=3, V243= "Completed"), "GOLD", AND( P243&lt;50000, V243="Completed"), "SILVER", TRUE, "UNCLASSIFIED")</f>
        <v>#NAME?</v>
      </c>
      <c r="X243" s="19" t="str">
        <f t="shared" si="9"/>
        <v>Anita Gupta</v>
      </c>
      <c r="Y243" s="28" t="str">
        <f t="shared" si="10"/>
        <v>Ani0242Ko</v>
      </c>
      <c r="Z243" s="28" t="str">
        <f t="shared" si="11"/>
        <v>anita.gupta@company.com</v>
      </c>
    </row>
    <row r="244" spans="1:26">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c r="W244" s="24" t="e" cm="1">
        <f t="array" aca="1" ref="W244" ca="1">_xlfn.IFS(  OR(Q244&lt;=2, V244="Cancelled"), "BLACKLISTED", AND(P244&gt;=100000, Q244&gt;=4, O244&lt;=10, V244="Completed"), "PLATINUM", AND( P244&lt;=99999, P244&gt;=50000, Q244&gt;=3, V244= "Completed"), "GOLD", AND( P244&lt;50000, V244="Completed"), "SILVER", TRUE, "UNCLASSIFIED")</f>
        <v>#NAME?</v>
      </c>
      <c r="X244" s="19" t="str">
        <f t="shared" si="9"/>
        <v>Arjun Rao</v>
      </c>
      <c r="Y244" s="28" t="str">
        <f t="shared" si="10"/>
        <v>Arj0243Be</v>
      </c>
      <c r="Z244" s="28" t="str">
        <f t="shared" si="11"/>
        <v>arjun.rao@company.com</v>
      </c>
    </row>
    <row r="245" spans="1:26">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c r="W245" s="24" t="e" cm="1">
        <f t="array" aca="1" ref="W245" ca="1">_xlfn.IFS(  OR(Q245&lt;=2, V245="Cancelled"), "BLACKLISTED", AND(P245&gt;=100000, Q245&gt;=4, O245&lt;=10, V245="Completed"), "PLATINUM", AND( P245&lt;=99999, P245&gt;=50000, Q245&gt;=3, V245= "Completed"), "GOLD", AND( P245&lt;50000, V245="Completed"), "SILVER", TRUE, "UNCLASSIFIED")</f>
        <v>#NAME?</v>
      </c>
      <c r="X245" s="19" t="str">
        <f t="shared" si="9"/>
        <v>Pooja Shah</v>
      </c>
      <c r="Y245" s="28" t="str">
        <f t="shared" si="10"/>
        <v>Poo0244Mu</v>
      </c>
      <c r="Z245" s="28" t="str">
        <f t="shared" si="11"/>
        <v>pooja.shah@company.com</v>
      </c>
    </row>
    <row r="246" spans="1:26">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c r="W246" s="24" t="e" cm="1">
        <f t="array" aca="1" ref="W246" ca="1">_xlfn.IFS(  OR(Q246&lt;=2, V246="Cancelled"), "BLACKLISTED", AND(P246&gt;=100000, Q246&gt;=4, O246&lt;=10, V246="Completed"), "PLATINUM", AND( P246&lt;=99999, P246&gt;=50000, Q246&gt;=3, V246= "Completed"), "GOLD", AND( P246&lt;50000, V246="Completed"), "SILVER", TRUE, "UNCLASSIFIED")</f>
        <v>#NAME?</v>
      </c>
      <c r="X246" s="19" t="str">
        <f t="shared" si="9"/>
        <v>Kavya Nair</v>
      </c>
      <c r="Y246" s="28" t="str">
        <f t="shared" si="10"/>
        <v>Kav0245Be</v>
      </c>
      <c r="Z246" s="28" t="str">
        <f t="shared" si="11"/>
        <v>kavya.nair@company.com</v>
      </c>
    </row>
    <row r="247" spans="1:26">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c r="W247" s="24" t="e" cm="1">
        <f t="array" aca="1" ref="W247" ca="1">_xlfn.IFS(  OR(Q247&lt;=2, V247="Cancelled"), "BLACKLISTED", AND(P247&gt;=100000, Q247&gt;=4, O247&lt;=10, V247="Completed"), "PLATINUM", AND( P247&lt;=99999, P247&gt;=50000, Q247&gt;=3, V247= "Completed"), "GOLD", AND( P247&lt;50000, V247="Completed"), "SILVER", TRUE, "UNCLASSIFIED")</f>
        <v>#NAME?</v>
      </c>
      <c r="X247" s="19" t="str">
        <f t="shared" si="9"/>
        <v>Amit Sharma</v>
      </c>
      <c r="Y247" s="28" t="str">
        <f t="shared" si="10"/>
        <v>Ami0246Hy</v>
      </c>
      <c r="Z247" s="28" t="str">
        <f t="shared" si="11"/>
        <v>amit.sharma@company.com</v>
      </c>
    </row>
    <row r="248" spans="1:26">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c r="W248" s="24" t="e" cm="1">
        <f t="array" aca="1" ref="W248" ca="1">_xlfn.IFS(  OR(Q248&lt;=2, V248="Cancelled"), "BLACKLISTED", AND(P248&gt;=100000, Q248&gt;=4, O248&lt;=10, V248="Completed"), "PLATINUM", AND( P248&lt;=99999, P248&gt;=50000, Q248&gt;=3, V248= "Completed"), "GOLD", AND( P248&lt;50000, V248="Completed"), "SILVER", TRUE, "UNCLASSIFIED")</f>
        <v>#NAME?</v>
      </c>
      <c r="X248" s="19" t="str">
        <f t="shared" si="9"/>
        <v>Rohit Singh</v>
      </c>
      <c r="Y248" s="28" t="str">
        <f t="shared" si="10"/>
        <v>Roh0247Ko</v>
      </c>
      <c r="Z248" s="28" t="str">
        <f t="shared" si="11"/>
        <v>rohit.singh@company.com</v>
      </c>
    </row>
    <row r="249" spans="1:26">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c r="W249" s="24" t="e" cm="1">
        <f t="array" aca="1" ref="W249" ca="1">_xlfn.IFS(  OR(Q249&lt;=2, V249="Cancelled"), "BLACKLISTED", AND(P249&gt;=100000, Q249&gt;=4, O249&lt;=10, V249="Completed"), "PLATINUM", AND( P249&lt;=99999, P249&gt;=50000, Q249&gt;=3, V249= "Completed"), "GOLD", AND( P249&lt;50000, V249="Completed"), "SILVER", TRUE, "UNCLASSIFIED")</f>
        <v>#NAME?</v>
      </c>
      <c r="X249" s="19" t="str">
        <f t="shared" si="9"/>
        <v>Mohit Verma</v>
      </c>
      <c r="Y249" s="28" t="str">
        <f t="shared" si="10"/>
        <v>Moh0248Mu</v>
      </c>
      <c r="Z249" s="28" t="str">
        <f t="shared" si="11"/>
        <v>mohit.verma@company.com</v>
      </c>
    </row>
    <row r="250" spans="1:26">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c r="W250" s="24" t="e" cm="1">
        <f t="array" aca="1" ref="W250" ca="1">_xlfn.IFS(  OR(Q250&lt;=2, V250="Cancelled"), "BLACKLISTED", AND(P250&gt;=100000, Q250&gt;=4, O250&lt;=10, V250="Completed"), "PLATINUM", AND( P250&lt;=99999, P250&gt;=50000, Q250&gt;=3, V250= "Completed"), "GOLD", AND( P250&lt;50000, V250="Completed"), "SILVER", TRUE, "UNCLASSIFIED")</f>
        <v>#NAME?</v>
      </c>
      <c r="X250" s="19" t="str">
        <f t="shared" si="9"/>
        <v>Mohit Verma</v>
      </c>
      <c r="Y250" s="28" t="str">
        <f t="shared" si="10"/>
        <v>Moh0249Be</v>
      </c>
      <c r="Z250" s="28" t="str">
        <f t="shared" si="11"/>
        <v>mohit.verma@company.com</v>
      </c>
    </row>
    <row r="251" spans="1:26">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c r="W251" s="24" t="e" cm="1">
        <f t="array" aca="1" ref="W251" ca="1">_xlfn.IFS(  OR(Q251&lt;=2, V251="Cancelled"), "BLACKLISTED", AND(P251&gt;=100000, Q251&gt;=4, O251&lt;=10, V251="Completed"), "PLATINUM", AND( P251&lt;=99999, P251&gt;=50000, Q251&gt;=3, V251= "Completed"), "GOLD", AND( P251&lt;50000, V251="Completed"), "SILVER", TRUE, "UNCLASSIFIED")</f>
        <v>#NAME?</v>
      </c>
      <c r="X251" s="19" t="str">
        <f t="shared" si="9"/>
        <v>Amit Sharma</v>
      </c>
      <c r="Y251" s="28" t="str">
        <f t="shared" si="10"/>
        <v>Ami0250Be</v>
      </c>
      <c r="Z251" s="28" t="str">
        <f t="shared" si="11"/>
        <v>amit.sharma@company.com</v>
      </c>
    </row>
    <row r="252" spans="1:26">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c r="W252" s="24" t="e" cm="1">
        <f t="array" aca="1" ref="W252" ca="1">_xlfn.IFS(  OR(Q252&lt;=2, V252="Cancelled"), "BLACKLISTED", AND(P252&gt;=100000, Q252&gt;=4, O252&lt;=10, V252="Completed"), "PLATINUM", AND( P252&lt;=99999, P252&gt;=50000, Q252&gt;=3, V252= "Completed"), "GOLD", AND( P252&lt;50000, V252="Completed"), "SILVER", TRUE, "UNCLASSIFIED")</f>
        <v>#NAME?</v>
      </c>
      <c r="X252" s="19" t="str">
        <f t="shared" si="9"/>
        <v>Vikas Mehta</v>
      </c>
      <c r="Y252" s="28" t="str">
        <f t="shared" si="10"/>
        <v>Vik0251De</v>
      </c>
      <c r="Z252" s="28" t="str">
        <f t="shared" si="11"/>
        <v>vikas.mehta@company.com</v>
      </c>
    </row>
    <row r="253" spans="1:26">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c r="W253" s="24" t="e" cm="1">
        <f t="array" aca="1" ref="W253" ca="1">_xlfn.IFS(  OR(Q253&lt;=2, V253="Cancelled"), "BLACKLISTED", AND(P253&gt;=100000, Q253&gt;=4, O253&lt;=10, V253="Completed"), "PLATINUM", AND( P253&lt;=99999, P253&gt;=50000, Q253&gt;=3, V253= "Completed"), "GOLD", AND( P253&lt;50000, V253="Completed"), "SILVER", TRUE, "UNCLASSIFIED")</f>
        <v>#NAME?</v>
      </c>
      <c r="X253" s="19" t="str">
        <f t="shared" si="9"/>
        <v>Kavya Nair</v>
      </c>
      <c r="Y253" s="28" t="str">
        <f t="shared" si="10"/>
        <v>Kav0252Ko</v>
      </c>
      <c r="Z253" s="28" t="str">
        <f t="shared" si="11"/>
        <v>kavya.nair@company.com</v>
      </c>
    </row>
    <row r="254" spans="1:26">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c r="W254" s="24" t="e" cm="1">
        <f t="array" aca="1" ref="W254" ca="1">_xlfn.IFS(  OR(Q254&lt;=2, V254="Cancelled"), "BLACKLISTED", AND(P254&gt;=100000, Q254&gt;=4, O254&lt;=10, V254="Completed"), "PLATINUM", AND( P254&lt;=99999, P254&gt;=50000, Q254&gt;=3, V254= "Completed"), "GOLD", AND( P254&lt;50000, V254="Completed"), "SILVER", TRUE, "UNCLASSIFIED")</f>
        <v>#NAME?</v>
      </c>
      <c r="X254" s="19" t="str">
        <f t="shared" si="9"/>
        <v>Amit Sharma</v>
      </c>
      <c r="Y254" s="28" t="str">
        <f t="shared" si="10"/>
        <v>Ami0253De</v>
      </c>
      <c r="Z254" s="28" t="str">
        <f t="shared" si="11"/>
        <v>amit.sharma@company.com</v>
      </c>
    </row>
    <row r="255" spans="1:26">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c r="W255" s="24" t="e" cm="1">
        <f t="array" aca="1" ref="W255" ca="1">_xlfn.IFS(  OR(Q255&lt;=2, V255="Cancelled"), "BLACKLISTED", AND(P255&gt;=100000, Q255&gt;=4, O255&lt;=10, V255="Completed"), "PLATINUM", AND( P255&lt;=99999, P255&gt;=50000, Q255&gt;=3, V255= "Completed"), "GOLD", AND( P255&lt;50000, V255="Completed"), "SILVER", TRUE, "UNCLASSIFIED")</f>
        <v>#NAME?</v>
      </c>
      <c r="X255" s="19" t="str">
        <f t="shared" si="9"/>
        <v>Rohit Singh</v>
      </c>
      <c r="Y255" s="28" t="str">
        <f t="shared" si="10"/>
        <v>Roh0254Ko</v>
      </c>
      <c r="Z255" s="28" t="str">
        <f t="shared" si="11"/>
        <v>rohit.singh@company.com</v>
      </c>
    </row>
    <row r="256" spans="1:26">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c r="W256" s="24" t="e" cm="1">
        <f t="array" aca="1" ref="W256" ca="1">_xlfn.IFS(  OR(Q256&lt;=2, V256="Cancelled"), "BLACKLISTED", AND(P256&gt;=100000, Q256&gt;=4, O256&lt;=10, V256="Completed"), "PLATINUM", AND( P256&lt;=99999, P256&gt;=50000, Q256&gt;=3, V256= "Completed"), "GOLD", AND( P256&lt;50000, V256="Completed"), "SILVER", TRUE, "UNCLASSIFIED")</f>
        <v>#NAME?</v>
      </c>
      <c r="X256" s="19" t="str">
        <f t="shared" si="9"/>
        <v>Vikas Mehta</v>
      </c>
      <c r="Y256" s="28" t="str">
        <f t="shared" si="10"/>
        <v>Vik0255Pu</v>
      </c>
      <c r="Z256" s="28" t="str">
        <f t="shared" si="11"/>
        <v>vikas.mehta@company.com</v>
      </c>
    </row>
    <row r="257" spans="1:26">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c r="W257" s="24" t="e" cm="1">
        <f t="array" aca="1" ref="W257" ca="1">_xlfn.IFS(  OR(Q257&lt;=2, V257="Cancelled"), "BLACKLISTED", AND(P257&gt;=100000, Q257&gt;=4, O257&lt;=10, V257="Completed"), "PLATINUM", AND( P257&lt;=99999, P257&gt;=50000, Q257&gt;=3, V257= "Completed"), "GOLD", AND( P257&lt;50000, V257="Completed"), "SILVER", TRUE, "UNCLASSIFIED")</f>
        <v>#NAME?</v>
      </c>
      <c r="X257" s="19" t="str">
        <f t="shared" si="9"/>
        <v>Vikas Mehta</v>
      </c>
      <c r="Y257" s="28" t="str">
        <f t="shared" si="10"/>
        <v>Vik0256Hy</v>
      </c>
      <c r="Z257" s="28" t="str">
        <f t="shared" si="11"/>
        <v>vikas.mehta@company.com</v>
      </c>
    </row>
    <row r="258" spans="1:26">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c r="W258" s="24" t="e" cm="1">
        <f t="array" aca="1" ref="W258" ca="1">_xlfn.IFS(  OR(Q258&lt;=2, V258="Cancelled"), "BLACKLISTED", AND(P258&gt;=100000, Q258&gt;=4, O258&lt;=10, V258="Completed"), "PLATINUM", AND( P258&lt;=99999, P258&gt;=50000, Q258&gt;=3, V258= "Completed"), "GOLD", AND( P258&lt;50000, V258="Completed"), "SILVER", TRUE, "UNCLASSIFIED")</f>
        <v>#NAME?</v>
      </c>
      <c r="X258" s="19" t="str">
        <f t="shared" si="9"/>
        <v>Rohit Singh</v>
      </c>
      <c r="Y258" s="28" t="str">
        <f t="shared" si="10"/>
        <v>Roh0257Hy</v>
      </c>
      <c r="Z258" s="28" t="str">
        <f t="shared" si="11"/>
        <v>rohit.singh@company.com</v>
      </c>
    </row>
    <row r="259" spans="1:26">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c r="W259" s="24" t="e" cm="1">
        <f t="array" aca="1" ref="W259" ca="1">_xlfn.IFS(  OR(Q259&lt;=2, V259="Cancelled"), "BLACKLISTED", AND(P259&gt;=100000, Q259&gt;=4, O259&lt;=10, V259="Completed"), "PLATINUM", AND( P259&lt;=99999, P259&gt;=50000, Q259&gt;=3, V259= "Completed"), "GOLD", AND( P259&lt;50000, V259="Completed"), "SILVER", TRUE, "UNCLASSIFIED")</f>
        <v>#NAME?</v>
      </c>
      <c r="X259" s="19" t="str">
        <f t="shared" ref="X259:X322" si="12">PROPER(TRIM(F259))</f>
        <v>Kavya Nair</v>
      </c>
      <c r="Y259" s="28" t="str">
        <f t="shared" ref="Y259:Y322" si="13">LEFT(X259,3)&amp;RIGHT(A259,4)&amp;LEFT(I259,2)</f>
        <v>Kav0258Be</v>
      </c>
      <c r="Z259" s="28" t="str">
        <f t="shared" ref="Z259:Z322" si="14">IF(IFERROR(FIND("@", T259), 0), TRIM(LOWER(T259)), "Invalid Email" )</f>
        <v>kavya.nair@company.com</v>
      </c>
    </row>
    <row r="260" spans="1:26">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c r="W260" s="24" t="e" cm="1">
        <f t="array" aca="1" ref="W260" ca="1">_xlfn.IFS(  OR(Q260&lt;=2, V260="Cancelled"), "BLACKLISTED", AND(P260&gt;=100000, Q260&gt;=4, O260&lt;=10, V260="Completed"), "PLATINUM", AND( P260&lt;=99999, P260&gt;=50000, Q260&gt;=3, V260= "Completed"), "GOLD", AND( P260&lt;50000, V260="Completed"), "SILVER", TRUE, "UNCLASSIFIED")</f>
        <v>#NAME?</v>
      </c>
      <c r="X260" s="19" t="str">
        <f t="shared" si="12"/>
        <v>Kavya Nair</v>
      </c>
      <c r="Y260" s="28" t="str">
        <f t="shared" si="13"/>
        <v>Kav0259Mu</v>
      </c>
      <c r="Z260" s="28" t="str">
        <f t="shared" si="14"/>
        <v>kavya.nair@company.com</v>
      </c>
    </row>
    <row r="261" spans="1:26">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c r="W261" s="24" t="e" cm="1">
        <f t="array" aca="1" ref="W261" ca="1">_xlfn.IFS(  OR(Q261&lt;=2, V261="Cancelled"), "BLACKLISTED", AND(P261&gt;=100000, Q261&gt;=4, O261&lt;=10, V261="Completed"), "PLATINUM", AND( P261&lt;=99999, P261&gt;=50000, Q261&gt;=3, V261= "Completed"), "GOLD", AND( P261&lt;50000, V261="Completed"), "SILVER", TRUE, "UNCLASSIFIED")</f>
        <v>#NAME?</v>
      </c>
      <c r="X261" s="19" t="str">
        <f t="shared" si="12"/>
        <v>Arjun Rao</v>
      </c>
      <c r="Y261" s="28" t="str">
        <f t="shared" si="13"/>
        <v>Arj0260Ja</v>
      </c>
      <c r="Z261" s="28" t="str">
        <f t="shared" si="14"/>
        <v>arjun.rao@company.com</v>
      </c>
    </row>
    <row r="262" spans="1:26">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c r="W262" s="24" t="e" cm="1">
        <f t="array" aca="1" ref="W262" ca="1">_xlfn.IFS(  OR(Q262&lt;=2, V262="Cancelled"), "BLACKLISTED", AND(P262&gt;=100000, Q262&gt;=4, O262&lt;=10, V262="Completed"), "PLATINUM", AND( P262&lt;=99999, P262&gt;=50000, Q262&gt;=3, V262= "Completed"), "GOLD", AND( P262&lt;50000, V262="Completed"), "SILVER", TRUE, "UNCLASSIFIED")</f>
        <v>#NAME?</v>
      </c>
      <c r="X262" s="19" t="str">
        <f t="shared" si="12"/>
        <v>Kavya Nair</v>
      </c>
      <c r="Y262" s="28" t="str">
        <f t="shared" si="13"/>
        <v>Kav0261Ko</v>
      </c>
      <c r="Z262" s="28" t="str">
        <f t="shared" si="14"/>
        <v>kavya.nair@company.com</v>
      </c>
    </row>
    <row r="263" spans="1:26">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c r="W263" s="24" t="e" cm="1">
        <f t="array" aca="1" ref="W263" ca="1">_xlfn.IFS(  OR(Q263&lt;=2, V263="Cancelled"), "BLACKLISTED", AND(P263&gt;=100000, Q263&gt;=4, O263&lt;=10, V263="Completed"), "PLATINUM", AND( P263&lt;=99999, P263&gt;=50000, Q263&gt;=3, V263= "Completed"), "GOLD", AND( P263&lt;50000, V263="Completed"), "SILVER", TRUE, "UNCLASSIFIED")</f>
        <v>#NAME?</v>
      </c>
      <c r="X263" s="19" t="str">
        <f t="shared" si="12"/>
        <v>Amit Sharma</v>
      </c>
      <c r="Y263" s="28" t="str">
        <f t="shared" si="13"/>
        <v>Ami0262Pu</v>
      </c>
      <c r="Z263" s="28" t="str">
        <f t="shared" si="14"/>
        <v>amit.sharma@company.com</v>
      </c>
    </row>
    <row r="264" spans="1:26">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c r="W264" s="24" t="e" cm="1">
        <f t="array" aca="1" ref="W264" ca="1">_xlfn.IFS(  OR(Q264&lt;=2, V264="Cancelled"), "BLACKLISTED", AND(P264&gt;=100000, Q264&gt;=4, O264&lt;=10, V264="Completed"), "PLATINUM", AND( P264&lt;=99999, P264&gt;=50000, Q264&gt;=3, V264= "Completed"), "GOLD", AND( P264&lt;50000, V264="Completed"), "SILVER", TRUE, "UNCLASSIFIED")</f>
        <v>#NAME?</v>
      </c>
      <c r="X264" s="19" t="str">
        <f t="shared" si="12"/>
        <v>Sneha Joshi</v>
      </c>
      <c r="Y264" s="28" t="str">
        <f t="shared" si="13"/>
        <v>Sne0263Ko</v>
      </c>
      <c r="Z264" s="28" t="str">
        <f t="shared" si="14"/>
        <v>sneha.joshi@company.com</v>
      </c>
    </row>
    <row r="265" spans="1:26">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c r="W265" s="24" t="e" cm="1">
        <f t="array" aca="1" ref="W265" ca="1">_xlfn.IFS(  OR(Q265&lt;=2, V265="Cancelled"), "BLACKLISTED", AND(P265&gt;=100000, Q265&gt;=4, O265&lt;=10, V265="Completed"), "PLATINUM", AND( P265&lt;=99999, P265&gt;=50000, Q265&gt;=3, V265= "Completed"), "GOLD", AND( P265&lt;50000, V265="Completed"), "SILVER", TRUE, "UNCLASSIFIED")</f>
        <v>#NAME?</v>
      </c>
      <c r="X265" s="19" t="str">
        <f t="shared" si="12"/>
        <v>Kavya Nair</v>
      </c>
      <c r="Y265" s="28" t="str">
        <f t="shared" si="13"/>
        <v>Kav0264Ah</v>
      </c>
      <c r="Z265" s="28" t="str">
        <f t="shared" si="14"/>
        <v>kavya.nair@company.com</v>
      </c>
    </row>
    <row r="266" spans="1:26">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c r="W266" s="24" t="e" cm="1">
        <f t="array" aca="1" ref="W266" ca="1">_xlfn.IFS(  OR(Q266&lt;=2, V266="Cancelled"), "BLACKLISTED", AND(P266&gt;=100000, Q266&gt;=4, O266&lt;=10, V266="Completed"), "PLATINUM", AND( P266&lt;=99999, P266&gt;=50000, Q266&gt;=3, V266= "Completed"), "GOLD", AND( P266&lt;50000, V266="Completed"), "SILVER", TRUE, "UNCLASSIFIED")</f>
        <v>#NAME?</v>
      </c>
      <c r="X266" s="19" t="str">
        <f t="shared" si="12"/>
        <v>Mohit Verma</v>
      </c>
      <c r="Y266" s="28" t="str">
        <f t="shared" si="13"/>
        <v>Moh0265De</v>
      </c>
      <c r="Z266" s="28" t="str">
        <f t="shared" si="14"/>
        <v>mohit.verma@company.com</v>
      </c>
    </row>
    <row r="267" spans="1:26">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c r="W267" s="24" t="e" cm="1">
        <f t="array" aca="1" ref="W267" ca="1">_xlfn.IFS(  OR(Q267&lt;=2, V267="Cancelled"), "BLACKLISTED", AND(P267&gt;=100000, Q267&gt;=4, O267&lt;=10, V267="Completed"), "PLATINUM", AND( P267&lt;=99999, P267&gt;=50000, Q267&gt;=3, V267= "Completed"), "GOLD", AND( P267&lt;50000, V267="Completed"), "SILVER", TRUE, "UNCLASSIFIED")</f>
        <v>#NAME?</v>
      </c>
      <c r="X267" s="19" t="str">
        <f t="shared" si="12"/>
        <v>Kavya Nair</v>
      </c>
      <c r="Y267" s="28" t="str">
        <f t="shared" si="13"/>
        <v>Kav0266Ja</v>
      </c>
      <c r="Z267" s="28" t="str">
        <f t="shared" si="14"/>
        <v>kavya.nair@company.com</v>
      </c>
    </row>
    <row r="268" spans="1:26">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c r="W268" s="24" t="e" cm="1">
        <f t="array" aca="1" ref="W268" ca="1">_xlfn.IFS(  OR(Q268&lt;=2, V268="Cancelled"), "BLACKLISTED", AND(P268&gt;=100000, Q268&gt;=4, O268&lt;=10, V268="Completed"), "PLATINUM", AND( P268&lt;=99999, P268&gt;=50000, Q268&gt;=3, V268= "Completed"), "GOLD", AND( P268&lt;50000, V268="Completed"), "SILVER", TRUE, "UNCLASSIFIED")</f>
        <v>#NAME?</v>
      </c>
      <c r="X268" s="19" t="str">
        <f t="shared" si="12"/>
        <v>Pooja Shah</v>
      </c>
      <c r="Y268" s="28" t="str">
        <f t="shared" si="13"/>
        <v>Poo0267Mu</v>
      </c>
      <c r="Z268" s="28" t="str">
        <f t="shared" si="14"/>
        <v>pooja.shah@company.com</v>
      </c>
    </row>
    <row r="269" spans="1:26">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c r="W269" s="24" t="e" cm="1">
        <f t="array" aca="1" ref="W269" ca="1">_xlfn.IFS(  OR(Q269&lt;=2, V269="Cancelled"), "BLACKLISTED", AND(P269&gt;=100000, Q269&gt;=4, O269&lt;=10, V269="Completed"), "PLATINUM", AND( P269&lt;=99999, P269&gt;=50000, Q269&gt;=3, V269= "Completed"), "GOLD", AND( P269&lt;50000, V269="Completed"), "SILVER", TRUE, "UNCLASSIFIED")</f>
        <v>#NAME?</v>
      </c>
      <c r="X269" s="19" t="str">
        <f t="shared" si="12"/>
        <v>Rohit Singh</v>
      </c>
      <c r="Y269" s="28" t="str">
        <f t="shared" si="13"/>
        <v>Roh0268Hy</v>
      </c>
      <c r="Z269" s="28" t="str">
        <f t="shared" si="14"/>
        <v>rohit.singh@company.com</v>
      </c>
    </row>
    <row r="270" spans="1:26">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c r="W270" s="24" t="e" cm="1">
        <f t="array" aca="1" ref="W270" ca="1">_xlfn.IFS(  OR(Q270&lt;=2, V270="Cancelled"), "BLACKLISTED", AND(P270&gt;=100000, Q270&gt;=4, O270&lt;=10, V270="Completed"), "PLATINUM", AND( P270&lt;=99999, P270&gt;=50000, Q270&gt;=3, V270= "Completed"), "GOLD", AND( P270&lt;50000, V270="Completed"), "SILVER", TRUE, "UNCLASSIFIED")</f>
        <v>#NAME?</v>
      </c>
      <c r="X270" s="19" t="str">
        <f t="shared" si="12"/>
        <v>Sneha Joshi</v>
      </c>
      <c r="Y270" s="28" t="str">
        <f t="shared" si="13"/>
        <v>Sne0269Ja</v>
      </c>
      <c r="Z270" s="28" t="str">
        <f t="shared" si="14"/>
        <v>sneha.joshi@company.com</v>
      </c>
    </row>
    <row r="271" spans="1:26">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c r="W271" s="24" t="e" cm="1">
        <f t="array" aca="1" ref="W271" ca="1">_xlfn.IFS(  OR(Q271&lt;=2, V271="Cancelled"), "BLACKLISTED", AND(P271&gt;=100000, Q271&gt;=4, O271&lt;=10, V271="Completed"), "PLATINUM", AND( P271&lt;=99999, P271&gt;=50000, Q271&gt;=3, V271= "Completed"), "GOLD", AND( P271&lt;50000, V271="Completed"), "SILVER", TRUE, "UNCLASSIFIED")</f>
        <v>#NAME?</v>
      </c>
      <c r="X271" s="19" t="str">
        <f t="shared" si="12"/>
        <v>Mohit Verma</v>
      </c>
      <c r="Y271" s="28" t="str">
        <f t="shared" si="13"/>
        <v>Moh0270Ko</v>
      </c>
      <c r="Z271" s="28" t="str">
        <f t="shared" si="14"/>
        <v>mohit.verma@company.com</v>
      </c>
    </row>
    <row r="272" spans="1:26">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c r="W272" s="24" t="e" cm="1">
        <f t="array" aca="1" ref="W272" ca="1">_xlfn.IFS(  OR(Q272&lt;=2, V272="Cancelled"), "BLACKLISTED", AND(P272&gt;=100000, Q272&gt;=4, O272&lt;=10, V272="Completed"), "PLATINUM", AND( P272&lt;=99999, P272&gt;=50000, Q272&gt;=3, V272= "Completed"), "GOLD", AND( P272&lt;50000, V272="Completed"), "SILVER", TRUE, "UNCLASSIFIED")</f>
        <v>#NAME?</v>
      </c>
      <c r="X272" s="19" t="str">
        <f t="shared" si="12"/>
        <v>Rohit Singh</v>
      </c>
      <c r="Y272" s="28" t="str">
        <f t="shared" si="13"/>
        <v>Roh0271Ah</v>
      </c>
      <c r="Z272" s="28" t="str">
        <f t="shared" si="14"/>
        <v>rohit.singh@company.com</v>
      </c>
    </row>
    <row r="273" spans="1:26">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c r="W273" s="24" t="e" cm="1">
        <f t="array" aca="1" ref="W273" ca="1">_xlfn.IFS(  OR(Q273&lt;=2, V273="Cancelled"), "BLACKLISTED", AND(P273&gt;=100000, Q273&gt;=4, O273&lt;=10, V273="Completed"), "PLATINUM", AND( P273&lt;=99999, P273&gt;=50000, Q273&gt;=3, V273= "Completed"), "GOLD", AND( P273&lt;50000, V273="Completed"), "SILVER", TRUE, "UNCLASSIFIED")</f>
        <v>#NAME?</v>
      </c>
      <c r="X273" s="19" t="str">
        <f t="shared" si="12"/>
        <v>Kavya Nair</v>
      </c>
      <c r="Y273" s="28" t="str">
        <f t="shared" si="13"/>
        <v>Kav0272Mu</v>
      </c>
      <c r="Z273" s="28" t="str">
        <f t="shared" si="14"/>
        <v>kavya.nair@company.com</v>
      </c>
    </row>
    <row r="274" spans="1:26">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c r="W274" s="24" t="e" cm="1">
        <f t="array" aca="1" ref="W274" ca="1">_xlfn.IFS(  OR(Q274&lt;=2, V274="Cancelled"), "BLACKLISTED", AND(P274&gt;=100000, Q274&gt;=4, O274&lt;=10, V274="Completed"), "PLATINUM", AND( P274&lt;=99999, P274&gt;=50000, Q274&gt;=3, V274= "Completed"), "GOLD", AND( P274&lt;50000, V274="Completed"), "SILVER", TRUE, "UNCLASSIFIED")</f>
        <v>#NAME?</v>
      </c>
      <c r="X274" s="19" t="str">
        <f t="shared" si="12"/>
        <v>Arjun Rao</v>
      </c>
      <c r="Y274" s="28" t="str">
        <f t="shared" si="13"/>
        <v>Arj0273Ja</v>
      </c>
      <c r="Z274" s="28" t="str">
        <f t="shared" si="14"/>
        <v>arjun.rao@company.com</v>
      </c>
    </row>
    <row r="275" spans="1:26">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c r="W275" s="24" t="e" cm="1">
        <f t="array" aca="1" ref="W275" ca="1">_xlfn.IFS(  OR(Q275&lt;=2, V275="Cancelled"), "BLACKLISTED", AND(P275&gt;=100000, Q275&gt;=4, O275&lt;=10, V275="Completed"), "PLATINUM", AND( P275&lt;=99999, P275&gt;=50000, Q275&gt;=3, V275= "Completed"), "GOLD", AND( P275&lt;50000, V275="Completed"), "SILVER", TRUE, "UNCLASSIFIED")</f>
        <v>#NAME?</v>
      </c>
      <c r="X275" s="19" t="str">
        <f t="shared" si="12"/>
        <v>Pooja Shah</v>
      </c>
      <c r="Y275" s="28" t="str">
        <f t="shared" si="13"/>
        <v>Poo0274Pu</v>
      </c>
      <c r="Z275" s="28" t="str">
        <f t="shared" si="14"/>
        <v>pooja.shah@company.com</v>
      </c>
    </row>
    <row r="276" spans="1:26">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c r="W276" s="24" t="e" cm="1">
        <f t="array" aca="1" ref="W276" ca="1">_xlfn.IFS(  OR(Q276&lt;=2, V276="Cancelled"), "BLACKLISTED", AND(P276&gt;=100000, Q276&gt;=4, O276&lt;=10, V276="Completed"), "PLATINUM", AND( P276&lt;=99999, P276&gt;=50000, Q276&gt;=3, V276= "Completed"), "GOLD", AND( P276&lt;50000, V276="Completed"), "SILVER", TRUE, "UNCLASSIFIED")</f>
        <v>#NAME?</v>
      </c>
      <c r="X276" s="19" t="str">
        <f t="shared" si="12"/>
        <v>Vikas Mehta</v>
      </c>
      <c r="Y276" s="28" t="str">
        <f t="shared" si="13"/>
        <v>Vik0275Ko</v>
      </c>
      <c r="Z276" s="28" t="str">
        <f t="shared" si="14"/>
        <v>vikas.mehta@company.com</v>
      </c>
    </row>
    <row r="277" spans="1:26">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c r="W277" s="24" t="e" cm="1">
        <f t="array" aca="1" ref="W277" ca="1">_xlfn.IFS(  OR(Q277&lt;=2, V277="Cancelled"), "BLACKLISTED", AND(P277&gt;=100000, Q277&gt;=4, O277&lt;=10, V277="Completed"), "PLATINUM", AND( P277&lt;=99999, P277&gt;=50000, Q277&gt;=3, V277= "Completed"), "GOLD", AND( P277&lt;50000, V277="Completed"), "SILVER", TRUE, "UNCLASSIFIED")</f>
        <v>#NAME?</v>
      </c>
      <c r="X277" s="19" t="str">
        <f t="shared" si="12"/>
        <v>Priya Patel</v>
      </c>
      <c r="Y277" s="28" t="str">
        <f t="shared" si="13"/>
        <v>Pri0276Ah</v>
      </c>
      <c r="Z277" s="28" t="str">
        <f t="shared" si="14"/>
        <v>priya.patel@company.com</v>
      </c>
    </row>
    <row r="278" spans="1:26">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c r="W278" s="24" t="e" cm="1">
        <f t="array" aca="1" ref="W278" ca="1">_xlfn.IFS(  OR(Q278&lt;=2, V278="Cancelled"), "BLACKLISTED", AND(P278&gt;=100000, Q278&gt;=4, O278&lt;=10, V278="Completed"), "PLATINUM", AND( P278&lt;=99999, P278&gt;=50000, Q278&gt;=3, V278= "Completed"), "GOLD", AND( P278&lt;50000, V278="Completed"), "SILVER", TRUE, "UNCLASSIFIED")</f>
        <v>#NAME?</v>
      </c>
      <c r="X278" s="19" t="str">
        <f t="shared" si="12"/>
        <v>Arjun Rao</v>
      </c>
      <c r="Y278" s="28" t="str">
        <f t="shared" si="13"/>
        <v>Arj0277Be</v>
      </c>
      <c r="Z278" s="28" t="str">
        <f t="shared" si="14"/>
        <v>arjun.rao@company.com</v>
      </c>
    </row>
    <row r="279" spans="1:26">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c r="W279" s="24" t="e" cm="1">
        <f t="array" aca="1" ref="W279" ca="1">_xlfn.IFS(  OR(Q279&lt;=2, V279="Cancelled"), "BLACKLISTED", AND(P279&gt;=100000, Q279&gt;=4, O279&lt;=10, V279="Completed"), "PLATINUM", AND( P279&lt;=99999, P279&gt;=50000, Q279&gt;=3, V279= "Completed"), "GOLD", AND( P279&lt;50000, V279="Completed"), "SILVER", TRUE, "UNCLASSIFIED")</f>
        <v>#NAME?</v>
      </c>
      <c r="X279" s="19" t="str">
        <f t="shared" si="12"/>
        <v>Anita Gupta</v>
      </c>
      <c r="Y279" s="28" t="str">
        <f t="shared" si="13"/>
        <v>Ani0278Mu</v>
      </c>
      <c r="Z279" s="28" t="str">
        <f t="shared" si="14"/>
        <v>anita.gupta@company.com</v>
      </c>
    </row>
    <row r="280" spans="1:26">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c r="W280" s="24" t="e" cm="1">
        <f t="array" aca="1" ref="W280" ca="1">_xlfn.IFS(  OR(Q280&lt;=2, V280="Cancelled"), "BLACKLISTED", AND(P280&gt;=100000, Q280&gt;=4, O280&lt;=10, V280="Completed"), "PLATINUM", AND( P280&lt;=99999, P280&gt;=50000, Q280&gt;=3, V280= "Completed"), "GOLD", AND( P280&lt;50000, V280="Completed"), "SILVER", TRUE, "UNCLASSIFIED")</f>
        <v>#NAME?</v>
      </c>
      <c r="X280" s="19" t="str">
        <f t="shared" si="12"/>
        <v>Priya Patel</v>
      </c>
      <c r="Y280" s="28" t="str">
        <f t="shared" si="13"/>
        <v>Pri0279Mu</v>
      </c>
      <c r="Z280" s="28" t="str">
        <f t="shared" si="14"/>
        <v>priya.patel@company.com</v>
      </c>
    </row>
    <row r="281" spans="1:26">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c r="W281" s="24" t="e" cm="1">
        <f t="array" aca="1" ref="W281" ca="1">_xlfn.IFS(  OR(Q281&lt;=2, V281="Cancelled"), "BLACKLISTED", AND(P281&gt;=100000, Q281&gt;=4, O281&lt;=10, V281="Completed"), "PLATINUM", AND( P281&lt;=99999, P281&gt;=50000, Q281&gt;=3, V281= "Completed"), "GOLD", AND( P281&lt;50000, V281="Completed"), "SILVER", TRUE, "UNCLASSIFIED")</f>
        <v>#NAME?</v>
      </c>
      <c r="X281" s="19" t="str">
        <f t="shared" si="12"/>
        <v>Sneha Joshi</v>
      </c>
      <c r="Y281" s="28" t="str">
        <f t="shared" si="13"/>
        <v>Sne0280Ah</v>
      </c>
      <c r="Z281" s="28" t="str">
        <f t="shared" si="14"/>
        <v>sneha.joshi@company.com</v>
      </c>
    </row>
    <row r="282" spans="1:26">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c r="W282" s="24" t="e" cm="1">
        <f t="array" aca="1" ref="W282" ca="1">_xlfn.IFS(  OR(Q282&lt;=2, V282="Cancelled"), "BLACKLISTED", AND(P282&gt;=100000, Q282&gt;=4, O282&lt;=10, V282="Completed"), "PLATINUM", AND( P282&lt;=99999, P282&gt;=50000, Q282&gt;=3, V282= "Completed"), "GOLD", AND( P282&lt;50000, V282="Completed"), "SILVER", TRUE, "UNCLASSIFIED")</f>
        <v>#NAME?</v>
      </c>
      <c r="X282" s="19" t="str">
        <f t="shared" si="12"/>
        <v>Mohit Verma</v>
      </c>
      <c r="Y282" s="28" t="str">
        <f t="shared" si="13"/>
        <v>Moh0281Ja</v>
      </c>
      <c r="Z282" s="28" t="str">
        <f t="shared" si="14"/>
        <v>mohit.verma@company.com</v>
      </c>
    </row>
    <row r="283" spans="1:26">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c r="W283" s="24" t="e" cm="1">
        <f t="array" aca="1" ref="W283" ca="1">_xlfn.IFS(  OR(Q283&lt;=2, V283="Cancelled"), "BLACKLISTED", AND(P283&gt;=100000, Q283&gt;=4, O283&lt;=10, V283="Completed"), "PLATINUM", AND( P283&lt;=99999, P283&gt;=50000, Q283&gt;=3, V283= "Completed"), "GOLD", AND( P283&lt;50000, V283="Completed"), "SILVER", TRUE, "UNCLASSIFIED")</f>
        <v>#NAME?</v>
      </c>
      <c r="X283" s="19" t="str">
        <f t="shared" si="12"/>
        <v>Sneha Joshi</v>
      </c>
      <c r="Y283" s="28" t="str">
        <f t="shared" si="13"/>
        <v>Sne0282Ja</v>
      </c>
      <c r="Z283" s="28" t="str">
        <f t="shared" si="14"/>
        <v>sneha.joshi@company.com</v>
      </c>
    </row>
    <row r="284" spans="1:26">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c r="W284" s="24" t="e" cm="1">
        <f t="array" aca="1" ref="W284" ca="1">_xlfn.IFS(  OR(Q284&lt;=2, V284="Cancelled"), "BLACKLISTED", AND(P284&gt;=100000, Q284&gt;=4, O284&lt;=10, V284="Completed"), "PLATINUM", AND( P284&lt;=99999, P284&gt;=50000, Q284&gt;=3, V284= "Completed"), "GOLD", AND( P284&lt;50000, V284="Completed"), "SILVER", TRUE, "UNCLASSIFIED")</f>
        <v>#NAME?</v>
      </c>
      <c r="X284" s="19" t="str">
        <f t="shared" si="12"/>
        <v>Arjun Rao</v>
      </c>
      <c r="Y284" s="28" t="str">
        <f t="shared" si="13"/>
        <v>Arj0283Mu</v>
      </c>
      <c r="Z284" s="28" t="str">
        <f t="shared" si="14"/>
        <v>arjun.rao@company.com</v>
      </c>
    </row>
    <row r="285" spans="1:26">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c r="W285" s="24" t="e" cm="1">
        <f t="array" aca="1" ref="W285" ca="1">_xlfn.IFS(  OR(Q285&lt;=2, V285="Cancelled"), "BLACKLISTED", AND(P285&gt;=100000, Q285&gt;=4, O285&lt;=10, V285="Completed"), "PLATINUM", AND( P285&lt;=99999, P285&gt;=50000, Q285&gt;=3, V285= "Completed"), "GOLD", AND( P285&lt;50000, V285="Completed"), "SILVER", TRUE, "UNCLASSIFIED")</f>
        <v>#NAME?</v>
      </c>
      <c r="X285" s="19" t="str">
        <f t="shared" si="12"/>
        <v>Mohit Verma</v>
      </c>
      <c r="Y285" s="28" t="str">
        <f t="shared" si="13"/>
        <v>Moh0284Ah</v>
      </c>
      <c r="Z285" s="28" t="str">
        <f t="shared" si="14"/>
        <v>mohit.verma@company.com</v>
      </c>
    </row>
    <row r="286" spans="1:26">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c r="W286" s="24" t="e" cm="1">
        <f t="array" aca="1" ref="W286" ca="1">_xlfn.IFS(  OR(Q286&lt;=2, V286="Cancelled"), "BLACKLISTED", AND(P286&gt;=100000, Q286&gt;=4, O286&lt;=10, V286="Completed"), "PLATINUM", AND( P286&lt;=99999, P286&gt;=50000, Q286&gt;=3, V286= "Completed"), "GOLD", AND( P286&lt;50000, V286="Completed"), "SILVER", TRUE, "UNCLASSIFIED")</f>
        <v>#NAME?</v>
      </c>
      <c r="X286" s="19" t="str">
        <f t="shared" si="12"/>
        <v>Sneha Joshi</v>
      </c>
      <c r="Y286" s="28" t="str">
        <f t="shared" si="13"/>
        <v>Sne0285Hy</v>
      </c>
      <c r="Z286" s="28" t="str">
        <f t="shared" si="14"/>
        <v>sneha.joshi@company.com</v>
      </c>
    </row>
    <row r="287" spans="1:26">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c r="W287" s="24" t="e" cm="1">
        <f t="array" aca="1" ref="W287" ca="1">_xlfn.IFS(  OR(Q287&lt;=2, V287="Cancelled"), "BLACKLISTED", AND(P287&gt;=100000, Q287&gt;=4, O287&lt;=10, V287="Completed"), "PLATINUM", AND( P287&lt;=99999, P287&gt;=50000, Q287&gt;=3, V287= "Completed"), "GOLD", AND( P287&lt;50000, V287="Completed"), "SILVER", TRUE, "UNCLASSIFIED")</f>
        <v>#NAME?</v>
      </c>
      <c r="X287" s="19" t="str">
        <f t="shared" si="12"/>
        <v>Sneha Joshi</v>
      </c>
      <c r="Y287" s="28" t="str">
        <f t="shared" si="13"/>
        <v>Sne0286Be</v>
      </c>
      <c r="Z287" s="28" t="str">
        <f t="shared" si="14"/>
        <v>sneha.joshi@company.com</v>
      </c>
    </row>
    <row r="288" spans="1:26">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c r="W288" s="24" t="e" cm="1">
        <f t="array" aca="1" ref="W288" ca="1">_xlfn.IFS(  OR(Q288&lt;=2, V288="Cancelled"), "BLACKLISTED", AND(P288&gt;=100000, Q288&gt;=4, O288&lt;=10, V288="Completed"), "PLATINUM", AND( P288&lt;=99999, P288&gt;=50000, Q288&gt;=3, V288= "Completed"), "GOLD", AND( P288&lt;50000, V288="Completed"), "SILVER", TRUE, "UNCLASSIFIED")</f>
        <v>#NAME?</v>
      </c>
      <c r="X288" s="19" t="str">
        <f t="shared" si="12"/>
        <v>Anita Gupta</v>
      </c>
      <c r="Y288" s="28" t="str">
        <f t="shared" si="13"/>
        <v>Ani0287Hy</v>
      </c>
      <c r="Z288" s="28" t="str">
        <f t="shared" si="14"/>
        <v>anita.gupta@company.com</v>
      </c>
    </row>
    <row r="289" spans="1:26">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c r="W289" s="24" t="e" cm="1">
        <f t="array" aca="1" ref="W289" ca="1">_xlfn.IFS(  OR(Q289&lt;=2, V289="Cancelled"), "BLACKLISTED", AND(P289&gt;=100000, Q289&gt;=4, O289&lt;=10, V289="Completed"), "PLATINUM", AND( P289&lt;=99999, P289&gt;=50000, Q289&gt;=3, V289= "Completed"), "GOLD", AND( P289&lt;50000, V289="Completed"), "SILVER", TRUE, "UNCLASSIFIED")</f>
        <v>#NAME?</v>
      </c>
      <c r="X289" s="19" t="str">
        <f t="shared" si="12"/>
        <v>Priya Patel</v>
      </c>
      <c r="Y289" s="28" t="str">
        <f t="shared" si="13"/>
        <v>Pri0288Mu</v>
      </c>
      <c r="Z289" s="28" t="str">
        <f t="shared" si="14"/>
        <v>Invalid Email</v>
      </c>
    </row>
    <row r="290" spans="1:26">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c r="W290" s="24" t="e" cm="1">
        <f t="array" aca="1" ref="W290" ca="1">_xlfn.IFS(  OR(Q290&lt;=2, V290="Cancelled"), "BLACKLISTED", AND(P290&gt;=100000, Q290&gt;=4, O290&lt;=10, V290="Completed"), "PLATINUM", AND( P290&lt;=99999, P290&gt;=50000, Q290&gt;=3, V290= "Completed"), "GOLD", AND( P290&lt;50000, V290="Completed"), "SILVER", TRUE, "UNCLASSIFIED")</f>
        <v>#NAME?</v>
      </c>
      <c r="X290" s="19" t="str">
        <f t="shared" si="12"/>
        <v>Mohit Verma</v>
      </c>
      <c r="Y290" s="28" t="str">
        <f t="shared" si="13"/>
        <v>Moh0289Pu</v>
      </c>
      <c r="Z290" s="28" t="str">
        <f t="shared" si="14"/>
        <v>mohit.verma@company.com</v>
      </c>
    </row>
    <row r="291" spans="1:26">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c r="W291" s="24" t="e" cm="1">
        <f t="array" aca="1" ref="W291" ca="1">_xlfn.IFS(  OR(Q291&lt;=2, V291="Cancelled"), "BLACKLISTED", AND(P291&gt;=100000, Q291&gt;=4, O291&lt;=10, V291="Completed"), "PLATINUM", AND( P291&lt;=99999, P291&gt;=50000, Q291&gt;=3, V291= "Completed"), "GOLD", AND( P291&lt;50000, V291="Completed"), "SILVER", TRUE, "UNCLASSIFIED")</f>
        <v>#NAME?</v>
      </c>
      <c r="X291" s="19" t="str">
        <f t="shared" si="12"/>
        <v>Mohit Verma</v>
      </c>
      <c r="Y291" s="28" t="str">
        <f t="shared" si="13"/>
        <v>Moh0290Pu</v>
      </c>
      <c r="Z291" s="28" t="str">
        <f t="shared" si="14"/>
        <v>mohit.verma@company.com</v>
      </c>
    </row>
    <row r="292" spans="1:26">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c r="W292" s="24" t="e" cm="1">
        <f t="array" aca="1" ref="W292" ca="1">_xlfn.IFS(  OR(Q292&lt;=2, V292="Cancelled"), "BLACKLISTED", AND(P292&gt;=100000, Q292&gt;=4, O292&lt;=10, V292="Completed"), "PLATINUM", AND( P292&lt;=99999, P292&gt;=50000, Q292&gt;=3, V292= "Completed"), "GOLD", AND( P292&lt;50000, V292="Completed"), "SILVER", TRUE, "UNCLASSIFIED")</f>
        <v>#NAME?</v>
      </c>
      <c r="X292" s="19" t="str">
        <f t="shared" si="12"/>
        <v>Rohit Singh</v>
      </c>
      <c r="Y292" s="28" t="str">
        <f t="shared" si="13"/>
        <v>Roh0291Mu</v>
      </c>
      <c r="Z292" s="28" t="str">
        <f t="shared" si="14"/>
        <v>rohit.singh@company.com</v>
      </c>
    </row>
    <row r="293" spans="1:26">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c r="W293" s="24" t="e" cm="1">
        <f t="array" aca="1" ref="W293" ca="1">_xlfn.IFS(  OR(Q293&lt;=2, V293="Cancelled"), "BLACKLISTED", AND(P293&gt;=100000, Q293&gt;=4, O293&lt;=10, V293="Completed"), "PLATINUM", AND( P293&lt;=99999, P293&gt;=50000, Q293&gt;=3, V293= "Completed"), "GOLD", AND( P293&lt;50000, V293="Completed"), "SILVER", TRUE, "UNCLASSIFIED")</f>
        <v>#NAME?</v>
      </c>
      <c r="X293" s="19" t="str">
        <f t="shared" si="12"/>
        <v>Amit Sharma</v>
      </c>
      <c r="Y293" s="28" t="str">
        <f t="shared" si="13"/>
        <v>Ami0292Ja</v>
      </c>
      <c r="Z293" s="28" t="str">
        <f t="shared" si="14"/>
        <v>amit.sharma@company.com</v>
      </c>
    </row>
    <row r="294" spans="1:26">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c r="W294" s="24" t="e" cm="1">
        <f t="array" aca="1" ref="W294" ca="1">_xlfn.IFS(  OR(Q294&lt;=2, V294="Cancelled"), "BLACKLISTED", AND(P294&gt;=100000, Q294&gt;=4, O294&lt;=10, V294="Completed"), "PLATINUM", AND( P294&lt;=99999, P294&gt;=50000, Q294&gt;=3, V294= "Completed"), "GOLD", AND( P294&lt;50000, V294="Completed"), "SILVER", TRUE, "UNCLASSIFIED")</f>
        <v>#NAME?</v>
      </c>
      <c r="X294" s="19" t="str">
        <f t="shared" si="12"/>
        <v>Pooja Shah</v>
      </c>
      <c r="Y294" s="28" t="str">
        <f t="shared" si="13"/>
        <v>Poo0293Ja</v>
      </c>
      <c r="Z294" s="28" t="str">
        <f t="shared" si="14"/>
        <v>pooja.shah@company.com</v>
      </c>
    </row>
    <row r="295" spans="1:26">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c r="W295" s="24" t="e" cm="1">
        <f t="array" aca="1" ref="W295" ca="1">_xlfn.IFS(  OR(Q295&lt;=2, V295="Cancelled"), "BLACKLISTED", AND(P295&gt;=100000, Q295&gt;=4, O295&lt;=10, V295="Completed"), "PLATINUM", AND( P295&lt;=99999, P295&gt;=50000, Q295&gt;=3, V295= "Completed"), "GOLD", AND( P295&lt;50000, V295="Completed"), "SILVER", TRUE, "UNCLASSIFIED")</f>
        <v>#NAME?</v>
      </c>
      <c r="X295" s="19" t="str">
        <f t="shared" si="12"/>
        <v>Kavya Nair</v>
      </c>
      <c r="Y295" s="28" t="str">
        <f t="shared" si="13"/>
        <v>Kav0294Ah</v>
      </c>
      <c r="Z295" s="28" t="str">
        <f t="shared" si="14"/>
        <v>kavya.nair@company.com</v>
      </c>
    </row>
    <row r="296" spans="1:26">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c r="W296" s="24" t="e" cm="1">
        <f t="array" aca="1" ref="W296" ca="1">_xlfn.IFS(  OR(Q296&lt;=2, V296="Cancelled"), "BLACKLISTED", AND(P296&gt;=100000, Q296&gt;=4, O296&lt;=10, V296="Completed"), "PLATINUM", AND( P296&lt;=99999, P296&gt;=50000, Q296&gt;=3, V296= "Completed"), "GOLD", AND( P296&lt;50000, V296="Completed"), "SILVER", TRUE, "UNCLASSIFIED")</f>
        <v>#NAME?</v>
      </c>
      <c r="X296" s="19" t="str">
        <f t="shared" si="12"/>
        <v>Anita Gupta</v>
      </c>
      <c r="Y296" s="28" t="str">
        <f t="shared" si="13"/>
        <v>Ani0295Mu</v>
      </c>
      <c r="Z296" s="28" t="str">
        <f t="shared" si="14"/>
        <v>anita.gupta@company.com</v>
      </c>
    </row>
    <row r="297" spans="1:26">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c r="W297" s="24" t="e" cm="1">
        <f t="array" aca="1" ref="W297" ca="1">_xlfn.IFS(  OR(Q297&lt;=2, V297="Cancelled"), "BLACKLISTED", AND(P297&gt;=100000, Q297&gt;=4, O297&lt;=10, V297="Completed"), "PLATINUM", AND( P297&lt;=99999, P297&gt;=50000, Q297&gt;=3, V297= "Completed"), "GOLD", AND( P297&lt;50000, V297="Completed"), "SILVER", TRUE, "UNCLASSIFIED")</f>
        <v>#NAME?</v>
      </c>
      <c r="X297" s="19" t="str">
        <f t="shared" si="12"/>
        <v>Priya Patel</v>
      </c>
      <c r="Y297" s="28" t="str">
        <f t="shared" si="13"/>
        <v>Pri0296De</v>
      </c>
      <c r="Z297" s="28" t="str">
        <f t="shared" si="14"/>
        <v>priya.patel@company.com</v>
      </c>
    </row>
    <row r="298" spans="1:26">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c r="W298" s="24" t="e" cm="1">
        <f t="array" aca="1" ref="W298" ca="1">_xlfn.IFS(  OR(Q298&lt;=2, V298="Cancelled"), "BLACKLISTED", AND(P298&gt;=100000, Q298&gt;=4, O298&lt;=10, V298="Completed"), "PLATINUM", AND( P298&lt;=99999, P298&gt;=50000, Q298&gt;=3, V298= "Completed"), "GOLD", AND( P298&lt;50000, V298="Completed"), "SILVER", TRUE, "UNCLASSIFIED")</f>
        <v>#NAME?</v>
      </c>
      <c r="X298" s="19" t="str">
        <f t="shared" si="12"/>
        <v>Amit Sharma</v>
      </c>
      <c r="Y298" s="28" t="str">
        <f t="shared" si="13"/>
        <v>Ami0297Ah</v>
      </c>
      <c r="Z298" s="28" t="str">
        <f t="shared" si="14"/>
        <v>amit.sharma@company.com</v>
      </c>
    </row>
    <row r="299" spans="1:26">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c r="W299" s="24" t="e" cm="1">
        <f t="array" aca="1" ref="W299" ca="1">_xlfn.IFS(  OR(Q299&lt;=2, V299="Cancelled"), "BLACKLISTED", AND(P299&gt;=100000, Q299&gt;=4, O299&lt;=10, V299="Completed"), "PLATINUM", AND( P299&lt;=99999, P299&gt;=50000, Q299&gt;=3, V299= "Completed"), "GOLD", AND( P299&lt;50000, V299="Completed"), "SILVER", TRUE, "UNCLASSIFIED")</f>
        <v>#NAME?</v>
      </c>
      <c r="X299" s="19" t="str">
        <f t="shared" si="12"/>
        <v>Rohit Singh</v>
      </c>
      <c r="Y299" s="28" t="str">
        <f t="shared" si="13"/>
        <v>Roh0298Hy</v>
      </c>
      <c r="Z299" s="28" t="str">
        <f t="shared" si="14"/>
        <v>rohit.singh@company.com</v>
      </c>
    </row>
    <row r="300" spans="1:26">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c r="W300" s="24" t="e" cm="1">
        <f t="array" aca="1" ref="W300" ca="1">_xlfn.IFS(  OR(Q300&lt;=2, V300="Cancelled"), "BLACKLISTED", AND(P300&gt;=100000, Q300&gt;=4, O300&lt;=10, V300="Completed"), "PLATINUM", AND( P300&lt;=99999, P300&gt;=50000, Q300&gt;=3, V300= "Completed"), "GOLD", AND( P300&lt;50000, V300="Completed"), "SILVER", TRUE, "UNCLASSIFIED")</f>
        <v>#NAME?</v>
      </c>
      <c r="X300" s="19" t="str">
        <f t="shared" si="12"/>
        <v>Arjun Rao</v>
      </c>
      <c r="Y300" s="28" t="str">
        <f t="shared" si="13"/>
        <v>Arj0299Ja</v>
      </c>
      <c r="Z300" s="28" t="str">
        <f t="shared" si="14"/>
        <v>arjun.rao@company.com</v>
      </c>
    </row>
    <row r="301" spans="1:26">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c r="W301" s="24" t="e" cm="1">
        <f t="array" aca="1" ref="W301" ca="1">_xlfn.IFS(  OR(Q301&lt;=2, V301="Cancelled"), "BLACKLISTED", AND(P301&gt;=100000, Q301&gt;=4, O301&lt;=10, V301="Completed"), "PLATINUM", AND( P301&lt;=99999, P301&gt;=50000, Q301&gt;=3, V301= "Completed"), "GOLD", AND( P301&lt;50000, V301="Completed"), "SILVER", TRUE, "UNCLASSIFIED")</f>
        <v>#NAME?</v>
      </c>
      <c r="X301" s="19" t="str">
        <f t="shared" si="12"/>
        <v>Mohit Verma</v>
      </c>
      <c r="Y301" s="28" t="str">
        <f t="shared" si="13"/>
        <v>Moh0300Hy</v>
      </c>
      <c r="Z301" s="28" t="str">
        <f t="shared" si="14"/>
        <v>mohit.verma@company.com</v>
      </c>
    </row>
    <row r="302" spans="1:26">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c r="W302" s="24" t="e" cm="1">
        <f t="array" aca="1" ref="W302" ca="1">_xlfn.IFS(  OR(Q302&lt;=2, V302="Cancelled"), "BLACKLISTED", AND(P302&gt;=100000, Q302&gt;=4, O302&lt;=10, V302="Completed"), "PLATINUM", AND( P302&lt;=99999, P302&gt;=50000, Q302&gt;=3, V302= "Completed"), "GOLD", AND( P302&lt;50000, V302="Completed"), "SILVER", TRUE, "UNCLASSIFIED")</f>
        <v>#NAME?</v>
      </c>
      <c r="X302" s="19" t="str">
        <f t="shared" si="12"/>
        <v>Amit Sharma</v>
      </c>
      <c r="Y302" s="28" t="str">
        <f t="shared" si="13"/>
        <v>Ami0301Be</v>
      </c>
      <c r="Z302" s="28" t="str">
        <f t="shared" si="14"/>
        <v>amit.sharma@company.com</v>
      </c>
    </row>
    <row r="303" spans="1:26">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c r="W303" s="24" t="e" cm="1">
        <f t="array" aca="1" ref="W303" ca="1">_xlfn.IFS(  OR(Q303&lt;=2, V303="Cancelled"), "BLACKLISTED", AND(P303&gt;=100000, Q303&gt;=4, O303&lt;=10, V303="Completed"), "PLATINUM", AND( P303&lt;=99999, P303&gt;=50000, Q303&gt;=3, V303= "Completed"), "GOLD", AND( P303&lt;50000, V303="Completed"), "SILVER", TRUE, "UNCLASSIFIED")</f>
        <v>#NAME?</v>
      </c>
      <c r="X303" s="19" t="str">
        <f t="shared" si="12"/>
        <v>Rohit Singh</v>
      </c>
      <c r="Y303" s="28" t="str">
        <f t="shared" si="13"/>
        <v>Roh0302Be</v>
      </c>
      <c r="Z303" s="28" t="str">
        <f t="shared" si="14"/>
        <v>rohit.singh@company.com</v>
      </c>
    </row>
    <row r="304" spans="1:26">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c r="W304" s="24" t="e" cm="1">
        <f t="array" aca="1" ref="W304" ca="1">_xlfn.IFS(  OR(Q304&lt;=2, V304="Cancelled"), "BLACKLISTED", AND(P304&gt;=100000, Q304&gt;=4, O304&lt;=10, V304="Completed"), "PLATINUM", AND( P304&lt;=99999, P304&gt;=50000, Q304&gt;=3, V304= "Completed"), "GOLD", AND( P304&lt;50000, V304="Completed"), "SILVER", TRUE, "UNCLASSIFIED")</f>
        <v>#NAME?</v>
      </c>
      <c r="X304" s="19" t="str">
        <f t="shared" si="12"/>
        <v>Sneha Joshi</v>
      </c>
      <c r="Y304" s="28" t="str">
        <f t="shared" si="13"/>
        <v>Sne0303De</v>
      </c>
      <c r="Z304" s="28" t="str">
        <f t="shared" si="14"/>
        <v>sneha.joshi@company.com</v>
      </c>
    </row>
    <row r="305" spans="1:26">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c r="W305" s="24" t="e" cm="1">
        <f t="array" aca="1" ref="W305" ca="1">_xlfn.IFS(  OR(Q305&lt;=2, V305="Cancelled"), "BLACKLISTED", AND(P305&gt;=100000, Q305&gt;=4, O305&lt;=10, V305="Completed"), "PLATINUM", AND( P305&lt;=99999, P305&gt;=50000, Q305&gt;=3, V305= "Completed"), "GOLD", AND( P305&lt;50000, V305="Completed"), "SILVER", TRUE, "UNCLASSIFIED")</f>
        <v>#NAME?</v>
      </c>
      <c r="X305" s="19" t="str">
        <f t="shared" si="12"/>
        <v>Kavya Nair</v>
      </c>
      <c r="Y305" s="28" t="str">
        <f t="shared" si="13"/>
        <v>Kav0304Ah</v>
      </c>
      <c r="Z305" s="28" t="str">
        <f t="shared" si="14"/>
        <v>kavya.nair@company.com</v>
      </c>
    </row>
    <row r="306" spans="1:26">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c r="W306" s="24" t="e" cm="1">
        <f t="array" aca="1" ref="W306" ca="1">_xlfn.IFS(  OR(Q306&lt;=2, V306="Cancelled"), "BLACKLISTED", AND(P306&gt;=100000, Q306&gt;=4, O306&lt;=10, V306="Completed"), "PLATINUM", AND( P306&lt;=99999, P306&gt;=50000, Q306&gt;=3, V306= "Completed"), "GOLD", AND( P306&lt;50000, V306="Completed"), "SILVER", TRUE, "UNCLASSIFIED")</f>
        <v>#NAME?</v>
      </c>
      <c r="X306" s="19" t="str">
        <f t="shared" si="12"/>
        <v>Vikas Mehta</v>
      </c>
      <c r="Y306" s="28" t="str">
        <f t="shared" si="13"/>
        <v>Vik0305Ja</v>
      </c>
      <c r="Z306" s="28" t="str">
        <f t="shared" si="14"/>
        <v>vikas.mehta@company.com</v>
      </c>
    </row>
    <row r="307" spans="1:26">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c r="W307" s="24" t="e" cm="1">
        <f t="array" aca="1" ref="W307" ca="1">_xlfn.IFS(  OR(Q307&lt;=2, V307="Cancelled"), "BLACKLISTED", AND(P307&gt;=100000, Q307&gt;=4, O307&lt;=10, V307="Completed"), "PLATINUM", AND( P307&lt;=99999, P307&gt;=50000, Q307&gt;=3, V307= "Completed"), "GOLD", AND( P307&lt;50000, V307="Completed"), "SILVER", TRUE, "UNCLASSIFIED")</f>
        <v>#NAME?</v>
      </c>
      <c r="X307" s="19" t="str">
        <f t="shared" si="12"/>
        <v>Kavya Nair</v>
      </c>
      <c r="Y307" s="28" t="str">
        <f t="shared" si="13"/>
        <v>Kav0306Hy</v>
      </c>
      <c r="Z307" s="28" t="str">
        <f t="shared" si="14"/>
        <v>kavya.nair@company.com</v>
      </c>
    </row>
    <row r="308" spans="1:26">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c r="W308" s="24" t="e" cm="1">
        <f t="array" aca="1" ref="W308" ca="1">_xlfn.IFS(  OR(Q308&lt;=2, V308="Cancelled"), "BLACKLISTED", AND(P308&gt;=100000, Q308&gt;=4, O308&lt;=10, V308="Completed"), "PLATINUM", AND( P308&lt;=99999, P308&gt;=50000, Q308&gt;=3, V308= "Completed"), "GOLD", AND( P308&lt;50000, V308="Completed"), "SILVER", TRUE, "UNCLASSIFIED")</f>
        <v>#NAME?</v>
      </c>
      <c r="X308" s="19" t="str">
        <f t="shared" si="12"/>
        <v>Sneha Joshi</v>
      </c>
      <c r="Y308" s="28" t="str">
        <f t="shared" si="13"/>
        <v>Sne0307Mu</v>
      </c>
      <c r="Z308" s="28" t="str">
        <f t="shared" si="14"/>
        <v>sneha.joshi@company.com</v>
      </c>
    </row>
    <row r="309" spans="1:26">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c r="W309" s="24" t="e" cm="1">
        <f t="array" aca="1" ref="W309" ca="1">_xlfn.IFS(  OR(Q309&lt;=2, V309="Cancelled"), "BLACKLISTED", AND(P309&gt;=100000, Q309&gt;=4, O309&lt;=10, V309="Completed"), "PLATINUM", AND( P309&lt;=99999, P309&gt;=50000, Q309&gt;=3, V309= "Completed"), "GOLD", AND( P309&lt;50000, V309="Completed"), "SILVER", TRUE, "UNCLASSIFIED")</f>
        <v>#NAME?</v>
      </c>
      <c r="X309" s="19" t="str">
        <f t="shared" si="12"/>
        <v>Sneha Joshi</v>
      </c>
      <c r="Y309" s="28" t="str">
        <f t="shared" si="13"/>
        <v>Sne0308Pu</v>
      </c>
      <c r="Z309" s="28" t="str">
        <f t="shared" si="14"/>
        <v>sneha.joshi@company.com</v>
      </c>
    </row>
    <row r="310" spans="1:26">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c r="W310" s="24" t="e" cm="1">
        <f t="array" aca="1" ref="W310" ca="1">_xlfn.IFS(  OR(Q310&lt;=2, V310="Cancelled"), "BLACKLISTED", AND(P310&gt;=100000, Q310&gt;=4, O310&lt;=10, V310="Completed"), "PLATINUM", AND( P310&lt;=99999, P310&gt;=50000, Q310&gt;=3, V310= "Completed"), "GOLD", AND( P310&lt;50000, V310="Completed"), "SILVER", TRUE, "UNCLASSIFIED")</f>
        <v>#NAME?</v>
      </c>
      <c r="X310" s="19" t="str">
        <f t="shared" si="12"/>
        <v>Pooja Shah</v>
      </c>
      <c r="Y310" s="28" t="str">
        <f t="shared" si="13"/>
        <v>Poo0309Hy</v>
      </c>
      <c r="Z310" s="28" t="str">
        <f t="shared" si="14"/>
        <v>pooja.shah@company.com</v>
      </c>
    </row>
    <row r="311" spans="1:26">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c r="W311" s="24" t="e" cm="1">
        <f t="array" aca="1" ref="W311" ca="1">_xlfn.IFS(  OR(Q311&lt;=2, V311="Cancelled"), "BLACKLISTED", AND(P311&gt;=100000, Q311&gt;=4, O311&lt;=10, V311="Completed"), "PLATINUM", AND( P311&lt;=99999, P311&gt;=50000, Q311&gt;=3, V311= "Completed"), "GOLD", AND( P311&lt;50000, V311="Completed"), "SILVER", TRUE, "UNCLASSIFIED")</f>
        <v>#NAME?</v>
      </c>
      <c r="X311" s="19" t="str">
        <f t="shared" si="12"/>
        <v>Mohit Verma</v>
      </c>
      <c r="Y311" s="28" t="str">
        <f t="shared" si="13"/>
        <v>Moh0310Ah</v>
      </c>
      <c r="Z311" s="28" t="str">
        <f t="shared" si="14"/>
        <v>mohit.verma@company.com</v>
      </c>
    </row>
    <row r="312" spans="1:26">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c r="W312" s="24" t="e" cm="1">
        <f t="array" aca="1" ref="W312" ca="1">_xlfn.IFS(  OR(Q312&lt;=2, V312="Cancelled"), "BLACKLISTED", AND(P312&gt;=100000, Q312&gt;=4, O312&lt;=10, V312="Completed"), "PLATINUM", AND( P312&lt;=99999, P312&gt;=50000, Q312&gt;=3, V312= "Completed"), "GOLD", AND( P312&lt;50000, V312="Completed"), "SILVER", TRUE, "UNCLASSIFIED")</f>
        <v>#NAME?</v>
      </c>
      <c r="X312" s="19" t="str">
        <f t="shared" si="12"/>
        <v>Vikas Mehta</v>
      </c>
      <c r="Y312" s="28" t="str">
        <f t="shared" si="13"/>
        <v>Vik0311De</v>
      </c>
      <c r="Z312" s="28" t="str">
        <f t="shared" si="14"/>
        <v>vikas.mehta@company.com</v>
      </c>
    </row>
    <row r="313" spans="1:26">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c r="W313" s="24" t="e" cm="1">
        <f t="array" aca="1" ref="W313" ca="1">_xlfn.IFS(  OR(Q313&lt;=2, V313="Cancelled"), "BLACKLISTED", AND(P313&gt;=100000, Q313&gt;=4, O313&lt;=10, V313="Completed"), "PLATINUM", AND( P313&lt;=99999, P313&gt;=50000, Q313&gt;=3, V313= "Completed"), "GOLD", AND( P313&lt;50000, V313="Completed"), "SILVER", TRUE, "UNCLASSIFIED")</f>
        <v>#NAME?</v>
      </c>
      <c r="X313" s="19" t="str">
        <f t="shared" si="12"/>
        <v>Priya Patel</v>
      </c>
      <c r="Y313" s="28" t="str">
        <f t="shared" si="13"/>
        <v>Pri0312Ko</v>
      </c>
      <c r="Z313" s="28" t="str">
        <f t="shared" si="14"/>
        <v>priya.patel@company.com</v>
      </c>
    </row>
    <row r="314" spans="1:26">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c r="W314" s="24" t="e" cm="1">
        <f t="array" aca="1" ref="W314" ca="1">_xlfn.IFS(  OR(Q314&lt;=2, V314="Cancelled"), "BLACKLISTED", AND(P314&gt;=100000, Q314&gt;=4, O314&lt;=10, V314="Completed"), "PLATINUM", AND( P314&lt;=99999, P314&gt;=50000, Q314&gt;=3, V314= "Completed"), "GOLD", AND( P314&lt;50000, V314="Completed"), "SILVER", TRUE, "UNCLASSIFIED")</f>
        <v>#NAME?</v>
      </c>
      <c r="X314" s="19" t="str">
        <f t="shared" si="12"/>
        <v>Pooja Shah</v>
      </c>
      <c r="Y314" s="28" t="str">
        <f t="shared" si="13"/>
        <v>Poo0313Ja</v>
      </c>
      <c r="Z314" s="28" t="str">
        <f t="shared" si="14"/>
        <v>pooja.shah@company.com</v>
      </c>
    </row>
    <row r="315" spans="1:26">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c r="W315" s="24" t="e" cm="1">
        <f t="array" aca="1" ref="W315" ca="1">_xlfn.IFS(  OR(Q315&lt;=2, V315="Cancelled"), "BLACKLISTED", AND(P315&gt;=100000, Q315&gt;=4, O315&lt;=10, V315="Completed"), "PLATINUM", AND( P315&lt;=99999, P315&gt;=50000, Q315&gt;=3, V315= "Completed"), "GOLD", AND( P315&lt;50000, V315="Completed"), "SILVER", TRUE, "UNCLASSIFIED")</f>
        <v>#NAME?</v>
      </c>
      <c r="X315" s="19" t="str">
        <f t="shared" si="12"/>
        <v>Mohit Verma</v>
      </c>
      <c r="Y315" s="28" t="str">
        <f t="shared" si="13"/>
        <v>Moh0314Pu</v>
      </c>
      <c r="Z315" s="28" t="str">
        <f t="shared" si="14"/>
        <v>mohit.verma@company.com</v>
      </c>
    </row>
    <row r="316" spans="1:26">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c r="W316" s="24" t="e" cm="1">
        <f t="array" aca="1" ref="W316" ca="1">_xlfn.IFS(  OR(Q316&lt;=2, V316="Cancelled"), "BLACKLISTED", AND(P316&gt;=100000, Q316&gt;=4, O316&lt;=10, V316="Completed"), "PLATINUM", AND( P316&lt;=99999, P316&gt;=50000, Q316&gt;=3, V316= "Completed"), "GOLD", AND( P316&lt;50000, V316="Completed"), "SILVER", TRUE, "UNCLASSIFIED")</f>
        <v>#NAME?</v>
      </c>
      <c r="X316" s="19" t="str">
        <f t="shared" si="12"/>
        <v>Priya Patel</v>
      </c>
      <c r="Y316" s="28" t="str">
        <f t="shared" si="13"/>
        <v>Pri0315Be</v>
      </c>
      <c r="Z316" s="28" t="str">
        <f t="shared" si="14"/>
        <v>priya.patel@company.com</v>
      </c>
    </row>
    <row r="317" spans="1:26">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c r="W317" s="24" t="e" cm="1">
        <f t="array" aca="1" ref="W317" ca="1">_xlfn.IFS(  OR(Q317&lt;=2, V317="Cancelled"), "BLACKLISTED", AND(P317&gt;=100000, Q317&gt;=4, O317&lt;=10, V317="Completed"), "PLATINUM", AND( P317&lt;=99999, P317&gt;=50000, Q317&gt;=3, V317= "Completed"), "GOLD", AND( P317&lt;50000, V317="Completed"), "SILVER", TRUE, "UNCLASSIFIED")</f>
        <v>#NAME?</v>
      </c>
      <c r="X317" s="19" t="str">
        <f t="shared" si="12"/>
        <v>Arjun Rao</v>
      </c>
      <c r="Y317" s="28" t="str">
        <f t="shared" si="13"/>
        <v>Arj0316Ja</v>
      </c>
      <c r="Z317" s="28" t="str">
        <f t="shared" si="14"/>
        <v>arjun.rao@company.com</v>
      </c>
    </row>
    <row r="318" spans="1:26">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c r="W318" s="24" t="e" cm="1">
        <f t="array" aca="1" ref="W318" ca="1">_xlfn.IFS(  OR(Q318&lt;=2, V318="Cancelled"), "BLACKLISTED", AND(P318&gt;=100000, Q318&gt;=4, O318&lt;=10, V318="Completed"), "PLATINUM", AND( P318&lt;=99999, P318&gt;=50000, Q318&gt;=3, V318= "Completed"), "GOLD", AND( P318&lt;50000, V318="Completed"), "SILVER", TRUE, "UNCLASSIFIED")</f>
        <v>#NAME?</v>
      </c>
      <c r="X318" s="19" t="str">
        <f t="shared" si="12"/>
        <v>Arjun Rao</v>
      </c>
      <c r="Y318" s="28" t="str">
        <f t="shared" si="13"/>
        <v>Arj0317Be</v>
      </c>
      <c r="Z318" s="28" t="str">
        <f t="shared" si="14"/>
        <v>arjun.rao@company.com</v>
      </c>
    </row>
    <row r="319" spans="1:26">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c r="W319" s="24" t="e" cm="1">
        <f t="array" aca="1" ref="W319" ca="1">_xlfn.IFS(  OR(Q319&lt;=2, V319="Cancelled"), "BLACKLISTED", AND(P319&gt;=100000, Q319&gt;=4, O319&lt;=10, V319="Completed"), "PLATINUM", AND( P319&lt;=99999, P319&gt;=50000, Q319&gt;=3, V319= "Completed"), "GOLD", AND( P319&lt;50000, V319="Completed"), "SILVER", TRUE, "UNCLASSIFIED")</f>
        <v>#NAME?</v>
      </c>
      <c r="X319" s="19" t="str">
        <f t="shared" si="12"/>
        <v>Anita Gupta</v>
      </c>
      <c r="Y319" s="28" t="str">
        <f t="shared" si="13"/>
        <v>Ani0318De</v>
      </c>
      <c r="Z319" s="28" t="str">
        <f t="shared" si="14"/>
        <v>anita.gupta@company.com</v>
      </c>
    </row>
    <row r="320" spans="1:26">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c r="W320" s="24" t="e" cm="1">
        <f t="array" aca="1" ref="W320" ca="1">_xlfn.IFS(  OR(Q320&lt;=2, V320="Cancelled"), "BLACKLISTED", AND(P320&gt;=100000, Q320&gt;=4, O320&lt;=10, V320="Completed"), "PLATINUM", AND( P320&lt;=99999, P320&gt;=50000, Q320&gt;=3, V320= "Completed"), "GOLD", AND( P320&lt;50000, V320="Completed"), "SILVER", TRUE, "UNCLASSIFIED")</f>
        <v>#NAME?</v>
      </c>
      <c r="X320" s="19" t="str">
        <f t="shared" si="12"/>
        <v>Priya Patel</v>
      </c>
      <c r="Y320" s="28" t="str">
        <f t="shared" si="13"/>
        <v>Pri0319Ja</v>
      </c>
      <c r="Z320" s="28" t="str">
        <f t="shared" si="14"/>
        <v>priya.patel@company.com</v>
      </c>
    </row>
    <row r="321" spans="1:26">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c r="W321" s="24" t="e" cm="1">
        <f t="array" aca="1" ref="W321" ca="1">_xlfn.IFS(  OR(Q321&lt;=2, V321="Cancelled"), "BLACKLISTED", AND(P321&gt;=100000, Q321&gt;=4, O321&lt;=10, V321="Completed"), "PLATINUM", AND( P321&lt;=99999, P321&gt;=50000, Q321&gt;=3, V321= "Completed"), "GOLD", AND( P321&lt;50000, V321="Completed"), "SILVER", TRUE, "UNCLASSIFIED")</f>
        <v>#NAME?</v>
      </c>
      <c r="X321" s="19" t="str">
        <f t="shared" si="12"/>
        <v>Vikas Mehta</v>
      </c>
      <c r="Y321" s="28" t="str">
        <f t="shared" si="13"/>
        <v>Vik0320De</v>
      </c>
      <c r="Z321" s="28" t="str">
        <f t="shared" si="14"/>
        <v>vikas.mehta@company.com</v>
      </c>
    </row>
    <row r="322" spans="1:26">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c r="W322" s="24" t="e" cm="1">
        <f t="array" aca="1" ref="W322" ca="1">_xlfn.IFS(  OR(Q322&lt;=2, V322="Cancelled"), "BLACKLISTED", AND(P322&gt;=100000, Q322&gt;=4, O322&lt;=10, V322="Completed"), "PLATINUM", AND( P322&lt;=99999, P322&gt;=50000, Q322&gt;=3, V322= "Completed"), "GOLD", AND( P322&lt;50000, V322="Completed"), "SILVER", TRUE, "UNCLASSIFIED")</f>
        <v>#NAME?</v>
      </c>
      <c r="X322" s="19" t="str">
        <f t="shared" si="12"/>
        <v>Amit Sharma</v>
      </c>
      <c r="Y322" s="28" t="str">
        <f t="shared" si="13"/>
        <v>Ami0321Ja</v>
      </c>
      <c r="Z322" s="28" t="str">
        <f t="shared" si="14"/>
        <v>amit.sharma@company.com</v>
      </c>
    </row>
    <row r="323" spans="1:26">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c r="W323" s="24" t="e" cm="1">
        <f t="array" aca="1" ref="W323" ca="1">_xlfn.IFS(  OR(Q323&lt;=2, V323="Cancelled"), "BLACKLISTED", AND(P323&gt;=100000, Q323&gt;=4, O323&lt;=10, V323="Completed"), "PLATINUM", AND( P323&lt;=99999, P323&gt;=50000, Q323&gt;=3, V323= "Completed"), "GOLD", AND( P323&lt;50000, V323="Completed"), "SILVER", TRUE, "UNCLASSIFIED")</f>
        <v>#NAME?</v>
      </c>
      <c r="X323" s="19" t="str">
        <f t="shared" ref="X323:X386" si="15">PROPER(TRIM(F323))</f>
        <v>Arjun Rao</v>
      </c>
      <c r="Y323" s="28" t="str">
        <f t="shared" ref="Y323:Y386" si="16">LEFT(X323,3)&amp;RIGHT(A323,4)&amp;LEFT(I323,2)</f>
        <v>Arj0322Pu</v>
      </c>
      <c r="Z323" s="28" t="str">
        <f t="shared" ref="Z323:Z386" si="17">IF(IFERROR(FIND("@", T323), 0), TRIM(LOWER(T323)), "Invalid Email" )</f>
        <v>arjun.rao@company.com</v>
      </c>
    </row>
    <row r="324" spans="1:26">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c r="W324" s="24" t="e" cm="1">
        <f t="array" aca="1" ref="W324" ca="1">_xlfn.IFS(  OR(Q324&lt;=2, V324="Cancelled"), "BLACKLISTED", AND(P324&gt;=100000, Q324&gt;=4, O324&lt;=10, V324="Completed"), "PLATINUM", AND( P324&lt;=99999, P324&gt;=50000, Q324&gt;=3, V324= "Completed"), "GOLD", AND( P324&lt;50000, V324="Completed"), "SILVER", TRUE, "UNCLASSIFIED")</f>
        <v>#NAME?</v>
      </c>
      <c r="X324" s="19" t="str">
        <f t="shared" si="15"/>
        <v>Kavya Nair</v>
      </c>
      <c r="Y324" s="28" t="str">
        <f t="shared" si="16"/>
        <v>Kav0323Ah</v>
      </c>
      <c r="Z324" s="28" t="str">
        <f t="shared" si="17"/>
        <v>kavya.nair@company.com</v>
      </c>
    </row>
    <row r="325" spans="1:26">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c r="W325" s="24" t="e" cm="1">
        <f t="array" aca="1" ref="W325" ca="1">_xlfn.IFS(  OR(Q325&lt;=2, V325="Cancelled"), "BLACKLISTED", AND(P325&gt;=100000, Q325&gt;=4, O325&lt;=10, V325="Completed"), "PLATINUM", AND( P325&lt;=99999, P325&gt;=50000, Q325&gt;=3, V325= "Completed"), "GOLD", AND( P325&lt;50000, V325="Completed"), "SILVER", TRUE, "UNCLASSIFIED")</f>
        <v>#NAME?</v>
      </c>
      <c r="X325" s="19" t="str">
        <f t="shared" si="15"/>
        <v>Sneha Joshi</v>
      </c>
      <c r="Y325" s="28" t="str">
        <f t="shared" si="16"/>
        <v>Sne0324Mu</v>
      </c>
      <c r="Z325" s="28" t="str">
        <f t="shared" si="17"/>
        <v>sneha.joshi@company.com</v>
      </c>
    </row>
    <row r="326" spans="1:26">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c r="W326" s="24" t="e" cm="1">
        <f t="array" aca="1" ref="W326" ca="1">_xlfn.IFS(  OR(Q326&lt;=2, V326="Cancelled"), "BLACKLISTED", AND(P326&gt;=100000, Q326&gt;=4, O326&lt;=10, V326="Completed"), "PLATINUM", AND( P326&lt;=99999, P326&gt;=50000, Q326&gt;=3, V326= "Completed"), "GOLD", AND( P326&lt;50000, V326="Completed"), "SILVER", TRUE, "UNCLASSIFIED")</f>
        <v>#NAME?</v>
      </c>
      <c r="X326" s="19" t="str">
        <f t="shared" si="15"/>
        <v>Sneha Joshi</v>
      </c>
      <c r="Y326" s="28" t="str">
        <f t="shared" si="16"/>
        <v>Sne0325Ah</v>
      </c>
      <c r="Z326" s="28" t="str">
        <f t="shared" si="17"/>
        <v>sneha.joshi@company.com</v>
      </c>
    </row>
    <row r="327" spans="1:26">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c r="W327" s="24" t="e" cm="1">
        <f t="array" aca="1" ref="W327" ca="1">_xlfn.IFS(  OR(Q327&lt;=2, V327="Cancelled"), "BLACKLISTED", AND(P327&gt;=100000, Q327&gt;=4, O327&lt;=10, V327="Completed"), "PLATINUM", AND( P327&lt;=99999, P327&gt;=50000, Q327&gt;=3, V327= "Completed"), "GOLD", AND( P327&lt;50000, V327="Completed"), "SILVER", TRUE, "UNCLASSIFIED")</f>
        <v>#NAME?</v>
      </c>
      <c r="X327" s="19" t="str">
        <f t="shared" si="15"/>
        <v>Sneha Joshi</v>
      </c>
      <c r="Y327" s="28" t="str">
        <f t="shared" si="16"/>
        <v>Sne0326Mu</v>
      </c>
      <c r="Z327" s="28" t="str">
        <f t="shared" si="17"/>
        <v>sneha.joshi@company.com</v>
      </c>
    </row>
    <row r="328" spans="1:26">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c r="W328" s="24" t="e" cm="1">
        <f t="array" aca="1" ref="W328" ca="1">_xlfn.IFS(  OR(Q328&lt;=2, V328="Cancelled"), "BLACKLISTED", AND(P328&gt;=100000, Q328&gt;=4, O328&lt;=10, V328="Completed"), "PLATINUM", AND( P328&lt;=99999, P328&gt;=50000, Q328&gt;=3, V328= "Completed"), "GOLD", AND( P328&lt;50000, V328="Completed"), "SILVER", TRUE, "UNCLASSIFIED")</f>
        <v>#NAME?</v>
      </c>
      <c r="X328" s="19" t="str">
        <f t="shared" si="15"/>
        <v>Arjun Rao</v>
      </c>
      <c r="Y328" s="28" t="str">
        <f t="shared" si="16"/>
        <v>Arj0327Be</v>
      </c>
      <c r="Z328" s="28" t="str">
        <f t="shared" si="17"/>
        <v>arjun.rao@company.com</v>
      </c>
    </row>
    <row r="329" spans="1:26">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c r="W329" s="24" t="e" cm="1">
        <f t="array" aca="1" ref="W329" ca="1">_xlfn.IFS(  OR(Q329&lt;=2, V329="Cancelled"), "BLACKLISTED", AND(P329&gt;=100000, Q329&gt;=4, O329&lt;=10, V329="Completed"), "PLATINUM", AND( P329&lt;=99999, P329&gt;=50000, Q329&gt;=3, V329= "Completed"), "GOLD", AND( P329&lt;50000, V329="Completed"), "SILVER", TRUE, "UNCLASSIFIED")</f>
        <v>#NAME?</v>
      </c>
      <c r="X329" s="19" t="str">
        <f t="shared" si="15"/>
        <v>Vikas Mehta</v>
      </c>
      <c r="Y329" s="28" t="str">
        <f t="shared" si="16"/>
        <v>Vik0328Pu</v>
      </c>
      <c r="Z329" s="28" t="str">
        <f t="shared" si="17"/>
        <v>vikas.mehta@company.com</v>
      </c>
    </row>
    <row r="330" spans="1:26">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c r="W330" s="24" t="e" cm="1">
        <f t="array" aca="1" ref="W330" ca="1">_xlfn.IFS(  OR(Q330&lt;=2, V330="Cancelled"), "BLACKLISTED", AND(P330&gt;=100000, Q330&gt;=4, O330&lt;=10, V330="Completed"), "PLATINUM", AND( P330&lt;=99999, P330&gt;=50000, Q330&gt;=3, V330= "Completed"), "GOLD", AND( P330&lt;50000, V330="Completed"), "SILVER", TRUE, "UNCLASSIFIED")</f>
        <v>#NAME?</v>
      </c>
      <c r="X330" s="19" t="str">
        <f t="shared" si="15"/>
        <v>Anita Gupta</v>
      </c>
      <c r="Y330" s="28" t="str">
        <f t="shared" si="16"/>
        <v>Ani0329De</v>
      </c>
      <c r="Z330" s="28" t="str">
        <f t="shared" si="17"/>
        <v>anita.gupta@company.com</v>
      </c>
    </row>
    <row r="331" spans="1:26">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c r="W331" s="24" t="e" cm="1">
        <f t="array" aca="1" ref="W331" ca="1">_xlfn.IFS(  OR(Q331&lt;=2, V331="Cancelled"), "BLACKLISTED", AND(P331&gt;=100000, Q331&gt;=4, O331&lt;=10, V331="Completed"), "PLATINUM", AND( P331&lt;=99999, P331&gt;=50000, Q331&gt;=3, V331= "Completed"), "GOLD", AND( P331&lt;50000, V331="Completed"), "SILVER", TRUE, "UNCLASSIFIED")</f>
        <v>#NAME?</v>
      </c>
      <c r="X331" s="19" t="str">
        <f t="shared" si="15"/>
        <v>Rohit Singh</v>
      </c>
      <c r="Y331" s="28" t="str">
        <f t="shared" si="16"/>
        <v>Roh0330Hy</v>
      </c>
      <c r="Z331" s="28" t="str">
        <f t="shared" si="17"/>
        <v>rohit.singh@company.com</v>
      </c>
    </row>
    <row r="332" spans="1:26">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c r="W332" s="24" t="e" cm="1">
        <f t="array" aca="1" ref="W332" ca="1">_xlfn.IFS(  OR(Q332&lt;=2, V332="Cancelled"), "BLACKLISTED", AND(P332&gt;=100000, Q332&gt;=4, O332&lt;=10, V332="Completed"), "PLATINUM", AND( P332&lt;=99999, P332&gt;=50000, Q332&gt;=3, V332= "Completed"), "GOLD", AND( P332&lt;50000, V332="Completed"), "SILVER", TRUE, "UNCLASSIFIED")</f>
        <v>#NAME?</v>
      </c>
      <c r="X332" s="19" t="str">
        <f t="shared" si="15"/>
        <v>Pooja Shah</v>
      </c>
      <c r="Y332" s="28" t="str">
        <f t="shared" si="16"/>
        <v>Poo0331Ah</v>
      </c>
      <c r="Z332" s="28" t="str">
        <f t="shared" si="17"/>
        <v>pooja.shah@company.com</v>
      </c>
    </row>
    <row r="333" spans="1:26">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c r="W333" s="24" t="e" cm="1">
        <f t="array" aca="1" ref="W333" ca="1">_xlfn.IFS(  OR(Q333&lt;=2, V333="Cancelled"), "BLACKLISTED", AND(P333&gt;=100000, Q333&gt;=4, O333&lt;=10, V333="Completed"), "PLATINUM", AND( P333&lt;=99999, P333&gt;=50000, Q333&gt;=3, V333= "Completed"), "GOLD", AND( P333&lt;50000, V333="Completed"), "SILVER", TRUE, "UNCLASSIFIED")</f>
        <v>#NAME?</v>
      </c>
      <c r="X333" s="19" t="str">
        <f t="shared" si="15"/>
        <v>Amit Sharma</v>
      </c>
      <c r="Y333" s="28" t="str">
        <f t="shared" si="16"/>
        <v>Ami0332De</v>
      </c>
      <c r="Z333" s="28" t="str">
        <f t="shared" si="17"/>
        <v>amit.sharma@company.com</v>
      </c>
    </row>
    <row r="334" spans="1:26">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c r="W334" s="24" t="e" cm="1">
        <f t="array" aca="1" ref="W334" ca="1">_xlfn.IFS(  OR(Q334&lt;=2, V334="Cancelled"), "BLACKLISTED", AND(P334&gt;=100000, Q334&gt;=4, O334&lt;=10, V334="Completed"), "PLATINUM", AND( P334&lt;=99999, P334&gt;=50000, Q334&gt;=3, V334= "Completed"), "GOLD", AND( P334&lt;50000, V334="Completed"), "SILVER", TRUE, "UNCLASSIFIED")</f>
        <v>#NAME?</v>
      </c>
      <c r="X334" s="19" t="str">
        <f t="shared" si="15"/>
        <v>Pooja Shah</v>
      </c>
      <c r="Y334" s="28" t="str">
        <f t="shared" si="16"/>
        <v>Poo0333Be</v>
      </c>
      <c r="Z334" s="28" t="str">
        <f t="shared" si="17"/>
        <v>pooja.shah@company.com</v>
      </c>
    </row>
    <row r="335" spans="1:26">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c r="W335" s="24" t="e" cm="1">
        <f t="array" aca="1" ref="W335" ca="1">_xlfn.IFS(  OR(Q335&lt;=2, V335="Cancelled"), "BLACKLISTED", AND(P335&gt;=100000, Q335&gt;=4, O335&lt;=10, V335="Completed"), "PLATINUM", AND( P335&lt;=99999, P335&gt;=50000, Q335&gt;=3, V335= "Completed"), "GOLD", AND( P335&lt;50000, V335="Completed"), "SILVER", TRUE, "UNCLASSIFIED")</f>
        <v>#NAME?</v>
      </c>
      <c r="X335" s="19" t="str">
        <f t="shared" si="15"/>
        <v>Kavya Nair</v>
      </c>
      <c r="Y335" s="28" t="str">
        <f t="shared" si="16"/>
        <v>Kav0334Be</v>
      </c>
      <c r="Z335" s="28" t="str">
        <f t="shared" si="17"/>
        <v>kavya.nair@company.com</v>
      </c>
    </row>
    <row r="336" spans="1:26">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c r="W336" s="24" t="e" cm="1">
        <f t="array" aca="1" ref="W336" ca="1">_xlfn.IFS(  OR(Q336&lt;=2, V336="Cancelled"), "BLACKLISTED", AND(P336&gt;=100000, Q336&gt;=4, O336&lt;=10, V336="Completed"), "PLATINUM", AND( P336&lt;=99999, P336&gt;=50000, Q336&gt;=3, V336= "Completed"), "GOLD", AND( P336&lt;50000, V336="Completed"), "SILVER", TRUE, "UNCLASSIFIED")</f>
        <v>#NAME?</v>
      </c>
      <c r="X336" s="19" t="str">
        <f t="shared" si="15"/>
        <v>Kavya Nair</v>
      </c>
      <c r="Y336" s="28" t="str">
        <f t="shared" si="16"/>
        <v>Kav0335Pu</v>
      </c>
      <c r="Z336" s="28" t="str">
        <f t="shared" si="17"/>
        <v>kavya.nair@company.com</v>
      </c>
    </row>
    <row r="337" spans="1:26">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c r="W337" s="24" t="e" cm="1">
        <f t="array" aca="1" ref="W337" ca="1">_xlfn.IFS(  OR(Q337&lt;=2, V337="Cancelled"), "BLACKLISTED", AND(P337&gt;=100000, Q337&gt;=4, O337&lt;=10, V337="Completed"), "PLATINUM", AND( P337&lt;=99999, P337&gt;=50000, Q337&gt;=3, V337= "Completed"), "GOLD", AND( P337&lt;50000, V337="Completed"), "SILVER", TRUE, "UNCLASSIFIED")</f>
        <v>#NAME?</v>
      </c>
      <c r="X337" s="19" t="str">
        <f t="shared" si="15"/>
        <v>Priya Patel</v>
      </c>
      <c r="Y337" s="28" t="str">
        <f t="shared" si="16"/>
        <v>Pri0336Ah</v>
      </c>
      <c r="Z337" s="28" t="str">
        <f t="shared" si="17"/>
        <v>priya.patel@company.com</v>
      </c>
    </row>
    <row r="338" spans="1:26">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c r="W338" s="24" t="e" cm="1">
        <f t="array" aca="1" ref="W338" ca="1">_xlfn.IFS(  OR(Q338&lt;=2, V338="Cancelled"), "BLACKLISTED", AND(P338&gt;=100000, Q338&gt;=4, O338&lt;=10, V338="Completed"), "PLATINUM", AND( P338&lt;=99999, P338&gt;=50000, Q338&gt;=3, V338= "Completed"), "GOLD", AND( P338&lt;50000, V338="Completed"), "SILVER", TRUE, "UNCLASSIFIED")</f>
        <v>#NAME?</v>
      </c>
      <c r="X338" s="19" t="str">
        <f t="shared" si="15"/>
        <v>Rohit Singh</v>
      </c>
      <c r="Y338" s="28" t="str">
        <f t="shared" si="16"/>
        <v>Roh0337Hy</v>
      </c>
      <c r="Z338" s="28" t="str">
        <f t="shared" si="17"/>
        <v>rohit.singh@company.com</v>
      </c>
    </row>
    <row r="339" spans="1:26">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c r="W339" s="24" t="e" cm="1">
        <f t="array" aca="1" ref="W339" ca="1">_xlfn.IFS(  OR(Q339&lt;=2, V339="Cancelled"), "BLACKLISTED", AND(P339&gt;=100000, Q339&gt;=4, O339&lt;=10, V339="Completed"), "PLATINUM", AND( P339&lt;=99999, P339&gt;=50000, Q339&gt;=3, V339= "Completed"), "GOLD", AND( P339&lt;50000, V339="Completed"), "SILVER", TRUE, "UNCLASSIFIED")</f>
        <v>#NAME?</v>
      </c>
      <c r="X339" s="19" t="str">
        <f t="shared" si="15"/>
        <v>Kavya Nair</v>
      </c>
      <c r="Y339" s="28" t="str">
        <f t="shared" si="16"/>
        <v>Kav0338Ja</v>
      </c>
      <c r="Z339" s="28" t="str">
        <f t="shared" si="17"/>
        <v>kavya.nair@company.com</v>
      </c>
    </row>
    <row r="340" spans="1:26">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c r="W340" s="24" t="e" cm="1">
        <f t="array" aca="1" ref="W340" ca="1">_xlfn.IFS(  OR(Q340&lt;=2, V340="Cancelled"), "BLACKLISTED", AND(P340&gt;=100000, Q340&gt;=4, O340&lt;=10, V340="Completed"), "PLATINUM", AND( P340&lt;=99999, P340&gt;=50000, Q340&gt;=3, V340= "Completed"), "GOLD", AND( P340&lt;50000, V340="Completed"), "SILVER", TRUE, "UNCLASSIFIED")</f>
        <v>#NAME?</v>
      </c>
      <c r="X340" s="19" t="str">
        <f t="shared" si="15"/>
        <v>Amit Sharma</v>
      </c>
      <c r="Y340" s="28" t="str">
        <f t="shared" si="16"/>
        <v>Ami0339Hy</v>
      </c>
      <c r="Z340" s="28" t="str">
        <f t="shared" si="17"/>
        <v>amit.sharma@company.com</v>
      </c>
    </row>
    <row r="341" spans="1:26">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c r="W341" s="24" t="e" cm="1">
        <f t="array" aca="1" ref="W341" ca="1">_xlfn.IFS(  OR(Q341&lt;=2, V341="Cancelled"), "BLACKLISTED", AND(P341&gt;=100000, Q341&gt;=4, O341&lt;=10, V341="Completed"), "PLATINUM", AND( P341&lt;=99999, P341&gt;=50000, Q341&gt;=3, V341= "Completed"), "GOLD", AND( P341&lt;50000, V341="Completed"), "SILVER", TRUE, "UNCLASSIFIED")</f>
        <v>#NAME?</v>
      </c>
      <c r="X341" s="19" t="str">
        <f t="shared" si="15"/>
        <v>Kavya Nair</v>
      </c>
      <c r="Y341" s="28" t="str">
        <f t="shared" si="16"/>
        <v>Kav0340Ko</v>
      </c>
      <c r="Z341" s="28" t="str">
        <f t="shared" si="17"/>
        <v>kavya.nair@company.com</v>
      </c>
    </row>
    <row r="342" spans="1:26">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c r="W342" s="24" t="e" cm="1">
        <f t="array" aca="1" ref="W342" ca="1">_xlfn.IFS(  OR(Q342&lt;=2, V342="Cancelled"), "BLACKLISTED", AND(P342&gt;=100000, Q342&gt;=4, O342&lt;=10, V342="Completed"), "PLATINUM", AND( P342&lt;=99999, P342&gt;=50000, Q342&gt;=3, V342= "Completed"), "GOLD", AND( P342&lt;50000, V342="Completed"), "SILVER", TRUE, "UNCLASSIFIED")</f>
        <v>#NAME?</v>
      </c>
      <c r="X342" s="19" t="str">
        <f t="shared" si="15"/>
        <v>Rohit Singh</v>
      </c>
      <c r="Y342" s="28" t="str">
        <f t="shared" si="16"/>
        <v>Roh0341De</v>
      </c>
      <c r="Z342" s="28" t="str">
        <f t="shared" si="17"/>
        <v>rohit.singh@company.com</v>
      </c>
    </row>
    <row r="343" spans="1:26">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c r="W343" s="24" t="e" cm="1">
        <f t="array" aca="1" ref="W343" ca="1">_xlfn.IFS(  OR(Q343&lt;=2, V343="Cancelled"), "BLACKLISTED", AND(P343&gt;=100000, Q343&gt;=4, O343&lt;=10, V343="Completed"), "PLATINUM", AND( P343&lt;=99999, P343&gt;=50000, Q343&gt;=3, V343= "Completed"), "GOLD", AND( P343&lt;50000, V343="Completed"), "SILVER", TRUE, "UNCLASSIFIED")</f>
        <v>#NAME?</v>
      </c>
      <c r="X343" s="19" t="str">
        <f t="shared" si="15"/>
        <v>Anita Gupta</v>
      </c>
      <c r="Y343" s="28" t="str">
        <f t="shared" si="16"/>
        <v>Ani0342De</v>
      </c>
      <c r="Z343" s="28" t="str">
        <f t="shared" si="17"/>
        <v>anita.gupta@company.com</v>
      </c>
    </row>
    <row r="344" spans="1:26">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c r="W344" s="24" t="e" cm="1">
        <f t="array" aca="1" ref="W344" ca="1">_xlfn.IFS(  OR(Q344&lt;=2, V344="Cancelled"), "BLACKLISTED", AND(P344&gt;=100000, Q344&gt;=4, O344&lt;=10, V344="Completed"), "PLATINUM", AND( P344&lt;=99999, P344&gt;=50000, Q344&gt;=3, V344= "Completed"), "GOLD", AND( P344&lt;50000, V344="Completed"), "SILVER", TRUE, "UNCLASSIFIED")</f>
        <v>#NAME?</v>
      </c>
      <c r="X344" s="19" t="str">
        <f t="shared" si="15"/>
        <v>Arjun Rao</v>
      </c>
      <c r="Y344" s="28" t="str">
        <f t="shared" si="16"/>
        <v>Arj0343De</v>
      </c>
      <c r="Z344" s="28" t="str">
        <f t="shared" si="17"/>
        <v>arjun.rao@company.com</v>
      </c>
    </row>
    <row r="345" spans="1:26">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c r="W345" s="24" t="e" cm="1">
        <f t="array" aca="1" ref="W345" ca="1">_xlfn.IFS(  OR(Q345&lt;=2, V345="Cancelled"), "BLACKLISTED", AND(P345&gt;=100000, Q345&gt;=4, O345&lt;=10, V345="Completed"), "PLATINUM", AND( P345&lt;=99999, P345&gt;=50000, Q345&gt;=3, V345= "Completed"), "GOLD", AND( P345&lt;50000, V345="Completed"), "SILVER", TRUE, "UNCLASSIFIED")</f>
        <v>#NAME?</v>
      </c>
      <c r="X345" s="19" t="str">
        <f t="shared" si="15"/>
        <v>Amit Sharma</v>
      </c>
      <c r="Y345" s="28" t="str">
        <f t="shared" si="16"/>
        <v>Ami0344De</v>
      </c>
      <c r="Z345" s="28" t="str">
        <f t="shared" si="17"/>
        <v>amit.sharma@company.com</v>
      </c>
    </row>
    <row r="346" spans="1:26">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c r="W346" s="24" t="e" cm="1">
        <f t="array" aca="1" ref="W346" ca="1">_xlfn.IFS(  OR(Q346&lt;=2, V346="Cancelled"), "BLACKLISTED", AND(P346&gt;=100000, Q346&gt;=4, O346&lt;=10, V346="Completed"), "PLATINUM", AND( P346&lt;=99999, P346&gt;=50000, Q346&gt;=3, V346= "Completed"), "GOLD", AND( P346&lt;50000, V346="Completed"), "SILVER", TRUE, "UNCLASSIFIED")</f>
        <v>#NAME?</v>
      </c>
      <c r="X346" s="19" t="str">
        <f t="shared" si="15"/>
        <v>Rohit Singh</v>
      </c>
      <c r="Y346" s="28" t="str">
        <f t="shared" si="16"/>
        <v>Roh0345Be</v>
      </c>
      <c r="Z346" s="28" t="str">
        <f t="shared" si="17"/>
        <v>rohit.singh@company.com</v>
      </c>
    </row>
    <row r="347" spans="1:26">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c r="W347" s="24" t="e" cm="1">
        <f t="array" aca="1" ref="W347" ca="1">_xlfn.IFS(  OR(Q347&lt;=2, V347="Cancelled"), "BLACKLISTED", AND(P347&gt;=100000, Q347&gt;=4, O347&lt;=10, V347="Completed"), "PLATINUM", AND( P347&lt;=99999, P347&gt;=50000, Q347&gt;=3, V347= "Completed"), "GOLD", AND( P347&lt;50000, V347="Completed"), "SILVER", TRUE, "UNCLASSIFIED")</f>
        <v>#NAME?</v>
      </c>
      <c r="X347" s="19" t="str">
        <f t="shared" si="15"/>
        <v>Pooja Shah</v>
      </c>
      <c r="Y347" s="28" t="str">
        <f t="shared" si="16"/>
        <v>Poo0346Ah</v>
      </c>
      <c r="Z347" s="28" t="str">
        <f t="shared" si="17"/>
        <v>pooja.shah@company.com</v>
      </c>
    </row>
    <row r="348" spans="1:26">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c r="W348" s="24" t="e" cm="1">
        <f t="array" aca="1" ref="W348" ca="1">_xlfn.IFS(  OR(Q348&lt;=2, V348="Cancelled"), "BLACKLISTED", AND(P348&gt;=100000, Q348&gt;=4, O348&lt;=10, V348="Completed"), "PLATINUM", AND( P348&lt;=99999, P348&gt;=50000, Q348&gt;=3, V348= "Completed"), "GOLD", AND( P348&lt;50000, V348="Completed"), "SILVER", TRUE, "UNCLASSIFIED")</f>
        <v>#NAME?</v>
      </c>
      <c r="X348" s="19" t="str">
        <f t="shared" si="15"/>
        <v>Kavya Nair</v>
      </c>
      <c r="Y348" s="28" t="str">
        <f t="shared" si="16"/>
        <v>Kav0347Ah</v>
      </c>
      <c r="Z348" s="28" t="str">
        <f t="shared" si="17"/>
        <v>kavya.nair@company.com</v>
      </c>
    </row>
    <row r="349" spans="1:26">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c r="W349" s="24" t="e" cm="1">
        <f t="array" aca="1" ref="W349" ca="1">_xlfn.IFS(  OR(Q349&lt;=2, V349="Cancelled"), "BLACKLISTED", AND(P349&gt;=100000, Q349&gt;=4, O349&lt;=10, V349="Completed"), "PLATINUM", AND( P349&lt;=99999, P349&gt;=50000, Q349&gt;=3, V349= "Completed"), "GOLD", AND( P349&lt;50000, V349="Completed"), "SILVER", TRUE, "UNCLASSIFIED")</f>
        <v>#NAME?</v>
      </c>
      <c r="X349" s="19" t="str">
        <f t="shared" si="15"/>
        <v>Sneha Joshi</v>
      </c>
      <c r="Y349" s="28" t="str">
        <f t="shared" si="16"/>
        <v>Sne0348De</v>
      </c>
      <c r="Z349" s="28" t="str">
        <f t="shared" si="17"/>
        <v>sneha.joshi@company.com</v>
      </c>
    </row>
    <row r="350" spans="1:26">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c r="W350" s="24" t="e" cm="1">
        <f t="array" aca="1" ref="W350" ca="1">_xlfn.IFS(  OR(Q350&lt;=2, V350="Cancelled"), "BLACKLISTED", AND(P350&gt;=100000, Q350&gt;=4, O350&lt;=10, V350="Completed"), "PLATINUM", AND( P350&lt;=99999, P350&gt;=50000, Q350&gt;=3, V350= "Completed"), "GOLD", AND( P350&lt;50000, V350="Completed"), "SILVER", TRUE, "UNCLASSIFIED")</f>
        <v>#NAME?</v>
      </c>
      <c r="X350" s="19" t="str">
        <f t="shared" si="15"/>
        <v>Pooja Shah</v>
      </c>
      <c r="Y350" s="28" t="str">
        <f t="shared" si="16"/>
        <v>Poo0349Ko</v>
      </c>
      <c r="Z350" s="28" t="str">
        <f t="shared" si="17"/>
        <v>pooja.shah@company.com</v>
      </c>
    </row>
    <row r="351" spans="1:26">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c r="W351" s="24" t="e" cm="1">
        <f t="array" aca="1" ref="W351" ca="1">_xlfn.IFS(  OR(Q351&lt;=2, V351="Cancelled"), "BLACKLISTED", AND(P351&gt;=100000, Q351&gt;=4, O351&lt;=10, V351="Completed"), "PLATINUM", AND( P351&lt;=99999, P351&gt;=50000, Q351&gt;=3, V351= "Completed"), "GOLD", AND( P351&lt;50000, V351="Completed"), "SILVER", TRUE, "UNCLASSIFIED")</f>
        <v>#NAME?</v>
      </c>
      <c r="X351" s="19" t="str">
        <f t="shared" si="15"/>
        <v>Pooja Shah</v>
      </c>
      <c r="Y351" s="28" t="str">
        <f t="shared" si="16"/>
        <v>Poo0350Ja</v>
      </c>
      <c r="Z351" s="28" t="str">
        <f t="shared" si="17"/>
        <v>pooja.shah@company.com</v>
      </c>
    </row>
    <row r="352" spans="1:26">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c r="W352" s="24" t="e" cm="1">
        <f t="array" aca="1" ref="W352" ca="1">_xlfn.IFS(  OR(Q352&lt;=2, V352="Cancelled"), "BLACKLISTED", AND(P352&gt;=100000, Q352&gt;=4, O352&lt;=10, V352="Completed"), "PLATINUM", AND( P352&lt;=99999, P352&gt;=50000, Q352&gt;=3, V352= "Completed"), "GOLD", AND( P352&lt;50000, V352="Completed"), "SILVER", TRUE, "UNCLASSIFIED")</f>
        <v>#NAME?</v>
      </c>
      <c r="X352" s="19" t="str">
        <f t="shared" si="15"/>
        <v>Arjun Rao</v>
      </c>
      <c r="Y352" s="28" t="str">
        <f t="shared" si="16"/>
        <v>Arj0351Mu</v>
      </c>
      <c r="Z352" s="28" t="str">
        <f t="shared" si="17"/>
        <v>arjun.rao@company.com</v>
      </c>
    </row>
    <row r="353" spans="1:26">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c r="W353" s="24" t="e" cm="1">
        <f t="array" aca="1" ref="W353" ca="1">_xlfn.IFS(  OR(Q353&lt;=2, V353="Cancelled"), "BLACKLISTED", AND(P353&gt;=100000, Q353&gt;=4, O353&lt;=10, V353="Completed"), "PLATINUM", AND( P353&lt;=99999, P353&gt;=50000, Q353&gt;=3, V353= "Completed"), "GOLD", AND( P353&lt;50000, V353="Completed"), "SILVER", TRUE, "UNCLASSIFIED")</f>
        <v>#NAME?</v>
      </c>
      <c r="X353" s="19" t="str">
        <f t="shared" si="15"/>
        <v>Rohit Singh</v>
      </c>
      <c r="Y353" s="28" t="str">
        <f t="shared" si="16"/>
        <v>Roh0352Ah</v>
      </c>
      <c r="Z353" s="28" t="str">
        <f t="shared" si="17"/>
        <v>rohit.singh@company.com</v>
      </c>
    </row>
    <row r="354" spans="1:26">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c r="W354" s="24" t="e" cm="1">
        <f t="array" aca="1" ref="W354" ca="1">_xlfn.IFS(  OR(Q354&lt;=2, V354="Cancelled"), "BLACKLISTED", AND(P354&gt;=100000, Q354&gt;=4, O354&lt;=10, V354="Completed"), "PLATINUM", AND( P354&lt;=99999, P354&gt;=50000, Q354&gt;=3, V354= "Completed"), "GOLD", AND( P354&lt;50000, V354="Completed"), "SILVER", TRUE, "UNCLASSIFIED")</f>
        <v>#NAME?</v>
      </c>
      <c r="X354" s="19" t="str">
        <f t="shared" si="15"/>
        <v>Arjun Rao</v>
      </c>
      <c r="Y354" s="28" t="str">
        <f t="shared" si="16"/>
        <v>Arj0353Ah</v>
      </c>
      <c r="Z354" s="28" t="str">
        <f t="shared" si="17"/>
        <v>arjun.rao@company.com</v>
      </c>
    </row>
    <row r="355" spans="1:26">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c r="W355" s="24" t="e" cm="1">
        <f t="array" aca="1" ref="W355" ca="1">_xlfn.IFS(  OR(Q355&lt;=2, V355="Cancelled"), "BLACKLISTED", AND(P355&gt;=100000, Q355&gt;=4, O355&lt;=10, V355="Completed"), "PLATINUM", AND( P355&lt;=99999, P355&gt;=50000, Q355&gt;=3, V355= "Completed"), "GOLD", AND( P355&lt;50000, V355="Completed"), "SILVER", TRUE, "UNCLASSIFIED")</f>
        <v>#NAME?</v>
      </c>
      <c r="X355" s="19" t="str">
        <f t="shared" si="15"/>
        <v>Sneha Joshi</v>
      </c>
      <c r="Y355" s="28" t="str">
        <f t="shared" si="16"/>
        <v>Sne0354Mu</v>
      </c>
      <c r="Z355" s="28" t="str">
        <f t="shared" si="17"/>
        <v>sneha.joshi@company.com</v>
      </c>
    </row>
    <row r="356" spans="1:26">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c r="W356" s="24" t="e" cm="1">
        <f t="array" aca="1" ref="W356" ca="1">_xlfn.IFS(  OR(Q356&lt;=2, V356="Cancelled"), "BLACKLISTED", AND(P356&gt;=100000, Q356&gt;=4, O356&lt;=10, V356="Completed"), "PLATINUM", AND( P356&lt;=99999, P356&gt;=50000, Q356&gt;=3, V356= "Completed"), "GOLD", AND( P356&lt;50000, V356="Completed"), "SILVER", TRUE, "UNCLASSIFIED")</f>
        <v>#NAME?</v>
      </c>
      <c r="X356" s="19" t="str">
        <f t="shared" si="15"/>
        <v>Anita Gupta</v>
      </c>
      <c r="Y356" s="28" t="str">
        <f t="shared" si="16"/>
        <v>Ani0355Mu</v>
      </c>
      <c r="Z356" s="28" t="str">
        <f t="shared" si="17"/>
        <v>anita.gupta@company.com</v>
      </c>
    </row>
    <row r="357" spans="1:26">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c r="W357" s="24" t="e" cm="1">
        <f t="array" aca="1" ref="W357" ca="1">_xlfn.IFS(  OR(Q357&lt;=2, V357="Cancelled"), "BLACKLISTED", AND(P357&gt;=100000, Q357&gt;=4, O357&lt;=10, V357="Completed"), "PLATINUM", AND( P357&lt;=99999, P357&gt;=50000, Q357&gt;=3, V357= "Completed"), "GOLD", AND( P357&lt;50000, V357="Completed"), "SILVER", TRUE, "UNCLASSIFIED")</f>
        <v>#NAME?</v>
      </c>
      <c r="X357" s="19" t="str">
        <f t="shared" si="15"/>
        <v>Kavya Nair</v>
      </c>
      <c r="Y357" s="28" t="str">
        <f t="shared" si="16"/>
        <v>Kav0356Ja</v>
      </c>
      <c r="Z357" s="28" t="str">
        <f t="shared" si="17"/>
        <v>kavya.nair@company.com</v>
      </c>
    </row>
    <row r="358" spans="1:26">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c r="W358" s="24" t="e" cm="1">
        <f t="array" aca="1" ref="W358" ca="1">_xlfn.IFS(  OR(Q358&lt;=2, V358="Cancelled"), "BLACKLISTED", AND(P358&gt;=100000, Q358&gt;=4, O358&lt;=10, V358="Completed"), "PLATINUM", AND( P358&lt;=99999, P358&gt;=50000, Q358&gt;=3, V358= "Completed"), "GOLD", AND( P358&lt;50000, V358="Completed"), "SILVER", TRUE, "UNCLASSIFIED")</f>
        <v>#NAME?</v>
      </c>
      <c r="X358" s="19" t="str">
        <f t="shared" si="15"/>
        <v>Sneha Joshi</v>
      </c>
      <c r="Y358" s="28" t="str">
        <f t="shared" si="16"/>
        <v>Sne0357Mu</v>
      </c>
      <c r="Z358" s="28" t="str">
        <f t="shared" si="17"/>
        <v>sneha.joshi@company.com</v>
      </c>
    </row>
    <row r="359" spans="1:26">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c r="W359" s="24" t="e" cm="1">
        <f t="array" aca="1" ref="W359" ca="1">_xlfn.IFS(  OR(Q359&lt;=2, V359="Cancelled"), "BLACKLISTED", AND(P359&gt;=100000, Q359&gt;=4, O359&lt;=10, V359="Completed"), "PLATINUM", AND( P359&lt;=99999, P359&gt;=50000, Q359&gt;=3, V359= "Completed"), "GOLD", AND( P359&lt;50000, V359="Completed"), "SILVER", TRUE, "UNCLASSIFIED")</f>
        <v>#NAME?</v>
      </c>
      <c r="X359" s="19" t="str">
        <f t="shared" si="15"/>
        <v>Mohit Verma</v>
      </c>
      <c r="Y359" s="28" t="str">
        <f t="shared" si="16"/>
        <v>Moh0358Ja</v>
      </c>
      <c r="Z359" s="28" t="str">
        <f t="shared" si="17"/>
        <v>mohit.verma@company.com</v>
      </c>
    </row>
    <row r="360" spans="1:26">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c r="W360" s="24" t="e" cm="1">
        <f t="array" aca="1" ref="W360" ca="1">_xlfn.IFS(  OR(Q360&lt;=2, V360="Cancelled"), "BLACKLISTED", AND(P360&gt;=100000, Q360&gt;=4, O360&lt;=10, V360="Completed"), "PLATINUM", AND( P360&lt;=99999, P360&gt;=50000, Q360&gt;=3, V360= "Completed"), "GOLD", AND( P360&lt;50000, V360="Completed"), "SILVER", TRUE, "UNCLASSIFIED")</f>
        <v>#NAME?</v>
      </c>
      <c r="X360" s="19" t="str">
        <f t="shared" si="15"/>
        <v>Sneha Joshi</v>
      </c>
      <c r="Y360" s="28" t="str">
        <f t="shared" si="16"/>
        <v>Sne0359Pu</v>
      </c>
      <c r="Z360" s="28" t="str">
        <f t="shared" si="17"/>
        <v>sneha.joshi@company.com</v>
      </c>
    </row>
    <row r="361" spans="1:26">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c r="W361" s="24" t="e" cm="1">
        <f t="array" aca="1" ref="W361" ca="1">_xlfn.IFS(  OR(Q361&lt;=2, V361="Cancelled"), "BLACKLISTED", AND(P361&gt;=100000, Q361&gt;=4, O361&lt;=10, V361="Completed"), "PLATINUM", AND( P361&lt;=99999, P361&gt;=50000, Q361&gt;=3, V361= "Completed"), "GOLD", AND( P361&lt;50000, V361="Completed"), "SILVER", TRUE, "UNCLASSIFIED")</f>
        <v>#NAME?</v>
      </c>
      <c r="X361" s="19" t="str">
        <f t="shared" si="15"/>
        <v>Rohit Singh</v>
      </c>
      <c r="Y361" s="28" t="str">
        <f t="shared" si="16"/>
        <v>Roh0360Ja</v>
      </c>
      <c r="Z361" s="28" t="str">
        <f t="shared" si="17"/>
        <v>rohit.singh@company.com</v>
      </c>
    </row>
    <row r="362" spans="1:26">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c r="W362" s="24" t="e" cm="1">
        <f t="array" aca="1" ref="W362" ca="1">_xlfn.IFS(  OR(Q362&lt;=2, V362="Cancelled"), "BLACKLISTED", AND(P362&gt;=100000, Q362&gt;=4, O362&lt;=10, V362="Completed"), "PLATINUM", AND( P362&lt;=99999, P362&gt;=50000, Q362&gt;=3, V362= "Completed"), "GOLD", AND( P362&lt;50000, V362="Completed"), "SILVER", TRUE, "UNCLASSIFIED")</f>
        <v>#NAME?</v>
      </c>
      <c r="X362" s="19" t="str">
        <f t="shared" si="15"/>
        <v>Rohit Singh</v>
      </c>
      <c r="Y362" s="28" t="str">
        <f t="shared" si="16"/>
        <v>Roh0361Mu</v>
      </c>
      <c r="Z362" s="28" t="str">
        <f t="shared" si="17"/>
        <v>rohit.singh@company.com</v>
      </c>
    </row>
    <row r="363" spans="1:26">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c r="W363" s="24" t="e" cm="1">
        <f t="array" aca="1" ref="W363" ca="1">_xlfn.IFS(  OR(Q363&lt;=2, V363="Cancelled"), "BLACKLISTED", AND(P363&gt;=100000, Q363&gt;=4, O363&lt;=10, V363="Completed"), "PLATINUM", AND( P363&lt;=99999, P363&gt;=50000, Q363&gt;=3, V363= "Completed"), "GOLD", AND( P363&lt;50000, V363="Completed"), "SILVER", TRUE, "UNCLASSIFIED")</f>
        <v>#NAME?</v>
      </c>
      <c r="X363" s="19" t="str">
        <f t="shared" si="15"/>
        <v>Mohit Verma</v>
      </c>
      <c r="Y363" s="28" t="str">
        <f t="shared" si="16"/>
        <v>Moh0362Mu</v>
      </c>
      <c r="Z363" s="28" t="str">
        <f t="shared" si="17"/>
        <v>mohit.verma@company.com</v>
      </c>
    </row>
    <row r="364" spans="1:26">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c r="W364" s="24" t="e" cm="1">
        <f t="array" aca="1" ref="W364" ca="1">_xlfn.IFS(  OR(Q364&lt;=2, V364="Cancelled"), "BLACKLISTED", AND(P364&gt;=100000, Q364&gt;=4, O364&lt;=10, V364="Completed"), "PLATINUM", AND( P364&lt;=99999, P364&gt;=50000, Q364&gt;=3, V364= "Completed"), "GOLD", AND( P364&lt;50000, V364="Completed"), "SILVER", TRUE, "UNCLASSIFIED")</f>
        <v>#NAME?</v>
      </c>
      <c r="X364" s="19" t="str">
        <f t="shared" si="15"/>
        <v>Mohit Verma</v>
      </c>
      <c r="Y364" s="28" t="str">
        <f t="shared" si="16"/>
        <v>Moh0363Hy</v>
      </c>
      <c r="Z364" s="28" t="str">
        <f t="shared" si="17"/>
        <v>mohit.verma@company.com</v>
      </c>
    </row>
    <row r="365" spans="1:26">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c r="W365" s="24" t="e" cm="1">
        <f t="array" aca="1" ref="W365" ca="1">_xlfn.IFS(  OR(Q365&lt;=2, V365="Cancelled"), "BLACKLISTED", AND(P365&gt;=100000, Q365&gt;=4, O365&lt;=10, V365="Completed"), "PLATINUM", AND( P365&lt;=99999, P365&gt;=50000, Q365&gt;=3, V365= "Completed"), "GOLD", AND( P365&lt;50000, V365="Completed"), "SILVER", TRUE, "UNCLASSIFIED")</f>
        <v>#NAME?</v>
      </c>
      <c r="X365" s="19" t="str">
        <f t="shared" si="15"/>
        <v>Pooja Shah</v>
      </c>
      <c r="Y365" s="28" t="str">
        <f t="shared" si="16"/>
        <v>Poo0364Be</v>
      </c>
      <c r="Z365" s="28" t="str">
        <f t="shared" si="17"/>
        <v>pooja.shah@company.com</v>
      </c>
    </row>
    <row r="366" spans="1:26">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c r="W366" s="24" t="e" cm="1">
        <f t="array" aca="1" ref="W366" ca="1">_xlfn.IFS(  OR(Q366&lt;=2, V366="Cancelled"), "BLACKLISTED", AND(P366&gt;=100000, Q366&gt;=4, O366&lt;=10, V366="Completed"), "PLATINUM", AND( P366&lt;=99999, P366&gt;=50000, Q366&gt;=3, V366= "Completed"), "GOLD", AND( P366&lt;50000, V366="Completed"), "SILVER", TRUE, "UNCLASSIFIED")</f>
        <v>#NAME?</v>
      </c>
      <c r="X366" s="19" t="str">
        <f t="shared" si="15"/>
        <v>Priya Patel</v>
      </c>
      <c r="Y366" s="28" t="str">
        <f t="shared" si="16"/>
        <v>Pri0365Hy</v>
      </c>
      <c r="Z366" s="28" t="str">
        <f t="shared" si="17"/>
        <v>priya.patel@company.com</v>
      </c>
    </row>
    <row r="367" spans="1:26">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c r="W367" s="24" t="e" cm="1">
        <f t="array" aca="1" ref="W367" ca="1">_xlfn.IFS(  OR(Q367&lt;=2, V367="Cancelled"), "BLACKLISTED", AND(P367&gt;=100000, Q367&gt;=4, O367&lt;=10, V367="Completed"), "PLATINUM", AND( P367&lt;=99999, P367&gt;=50000, Q367&gt;=3, V367= "Completed"), "GOLD", AND( P367&lt;50000, V367="Completed"), "SILVER", TRUE, "UNCLASSIFIED")</f>
        <v>#NAME?</v>
      </c>
      <c r="X367" s="19" t="str">
        <f t="shared" si="15"/>
        <v>Pooja Shah</v>
      </c>
      <c r="Y367" s="28" t="str">
        <f t="shared" si="16"/>
        <v>Poo0366Hy</v>
      </c>
      <c r="Z367" s="28" t="str">
        <f t="shared" si="17"/>
        <v>pooja.shah@company.com</v>
      </c>
    </row>
    <row r="368" spans="1:26">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c r="W368" s="24" t="e" cm="1">
        <f t="array" aca="1" ref="W368" ca="1">_xlfn.IFS(  OR(Q368&lt;=2, V368="Cancelled"), "BLACKLISTED", AND(P368&gt;=100000, Q368&gt;=4, O368&lt;=10, V368="Completed"), "PLATINUM", AND( P368&lt;=99999, P368&gt;=50000, Q368&gt;=3, V368= "Completed"), "GOLD", AND( P368&lt;50000, V368="Completed"), "SILVER", TRUE, "UNCLASSIFIED")</f>
        <v>#NAME?</v>
      </c>
      <c r="X368" s="19" t="str">
        <f t="shared" si="15"/>
        <v>Priya Patel</v>
      </c>
      <c r="Y368" s="28" t="str">
        <f t="shared" si="16"/>
        <v>Pri0367Ja</v>
      </c>
      <c r="Z368" s="28" t="str">
        <f t="shared" si="17"/>
        <v>priya.patel@company.com</v>
      </c>
    </row>
    <row r="369" spans="1:26">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c r="W369" s="24" t="e" cm="1">
        <f t="array" aca="1" ref="W369" ca="1">_xlfn.IFS(  OR(Q369&lt;=2, V369="Cancelled"), "BLACKLISTED", AND(P369&gt;=100000, Q369&gt;=4, O369&lt;=10, V369="Completed"), "PLATINUM", AND( P369&lt;=99999, P369&gt;=50000, Q369&gt;=3, V369= "Completed"), "GOLD", AND( P369&lt;50000, V369="Completed"), "SILVER", TRUE, "UNCLASSIFIED")</f>
        <v>#NAME?</v>
      </c>
      <c r="X369" s="19" t="str">
        <f t="shared" si="15"/>
        <v>Kavya Nair</v>
      </c>
      <c r="Y369" s="28" t="str">
        <f t="shared" si="16"/>
        <v>Kav0368Ja</v>
      </c>
      <c r="Z369" s="28" t="str">
        <f t="shared" si="17"/>
        <v>kavya.nair@company.com</v>
      </c>
    </row>
    <row r="370" spans="1:26">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c r="W370" s="24" t="e" cm="1">
        <f t="array" aca="1" ref="W370" ca="1">_xlfn.IFS(  OR(Q370&lt;=2, V370="Cancelled"), "BLACKLISTED", AND(P370&gt;=100000, Q370&gt;=4, O370&lt;=10, V370="Completed"), "PLATINUM", AND( P370&lt;=99999, P370&gt;=50000, Q370&gt;=3, V370= "Completed"), "GOLD", AND( P370&lt;50000, V370="Completed"), "SILVER", TRUE, "UNCLASSIFIED")</f>
        <v>#NAME?</v>
      </c>
      <c r="X370" s="19" t="str">
        <f t="shared" si="15"/>
        <v>Pooja Shah</v>
      </c>
      <c r="Y370" s="28" t="str">
        <f t="shared" si="16"/>
        <v>Poo0369Hy</v>
      </c>
      <c r="Z370" s="28" t="str">
        <f t="shared" si="17"/>
        <v>pooja.shah@company.com</v>
      </c>
    </row>
    <row r="371" spans="1:26">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c r="W371" s="24" t="e" cm="1">
        <f t="array" aca="1" ref="W371" ca="1">_xlfn.IFS(  OR(Q371&lt;=2, V371="Cancelled"), "BLACKLISTED", AND(P371&gt;=100000, Q371&gt;=4, O371&lt;=10, V371="Completed"), "PLATINUM", AND( P371&lt;=99999, P371&gt;=50000, Q371&gt;=3, V371= "Completed"), "GOLD", AND( P371&lt;50000, V371="Completed"), "SILVER", TRUE, "UNCLASSIFIED")</f>
        <v>#NAME?</v>
      </c>
      <c r="X371" s="19" t="str">
        <f t="shared" si="15"/>
        <v>Amit Sharma</v>
      </c>
      <c r="Y371" s="28" t="str">
        <f t="shared" si="16"/>
        <v>Ami0370De</v>
      </c>
      <c r="Z371" s="28" t="str">
        <f t="shared" si="17"/>
        <v>amit.sharma@company.com</v>
      </c>
    </row>
    <row r="372" spans="1:26">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c r="W372" s="24" t="e" cm="1">
        <f t="array" aca="1" ref="W372" ca="1">_xlfn.IFS(  OR(Q372&lt;=2, V372="Cancelled"), "BLACKLISTED", AND(P372&gt;=100000, Q372&gt;=4, O372&lt;=10, V372="Completed"), "PLATINUM", AND( P372&lt;=99999, P372&gt;=50000, Q372&gt;=3, V372= "Completed"), "GOLD", AND( P372&lt;50000, V372="Completed"), "SILVER", TRUE, "UNCLASSIFIED")</f>
        <v>#NAME?</v>
      </c>
      <c r="X372" s="19" t="str">
        <f t="shared" si="15"/>
        <v>Mohit Verma</v>
      </c>
      <c r="Y372" s="28" t="str">
        <f t="shared" si="16"/>
        <v>Moh0371Be</v>
      </c>
      <c r="Z372" s="28" t="str">
        <f t="shared" si="17"/>
        <v>mohit.verma@company.com</v>
      </c>
    </row>
    <row r="373" spans="1:26">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c r="W373" s="24" t="e" cm="1">
        <f t="array" aca="1" ref="W373" ca="1">_xlfn.IFS(  OR(Q373&lt;=2, V373="Cancelled"), "BLACKLISTED", AND(P373&gt;=100000, Q373&gt;=4, O373&lt;=10, V373="Completed"), "PLATINUM", AND( P373&lt;=99999, P373&gt;=50000, Q373&gt;=3, V373= "Completed"), "GOLD", AND( P373&lt;50000, V373="Completed"), "SILVER", TRUE, "UNCLASSIFIED")</f>
        <v>#NAME?</v>
      </c>
      <c r="X373" s="19" t="str">
        <f t="shared" si="15"/>
        <v>Sneha Joshi</v>
      </c>
      <c r="Y373" s="28" t="str">
        <f t="shared" si="16"/>
        <v>Sne0372Ja</v>
      </c>
      <c r="Z373" s="28" t="str">
        <f t="shared" si="17"/>
        <v>sneha.joshi@company.com</v>
      </c>
    </row>
    <row r="374" spans="1:26">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c r="W374" s="24" t="e" cm="1">
        <f t="array" aca="1" ref="W374" ca="1">_xlfn.IFS(  OR(Q374&lt;=2, V374="Cancelled"), "BLACKLISTED", AND(P374&gt;=100000, Q374&gt;=4, O374&lt;=10, V374="Completed"), "PLATINUM", AND( P374&lt;=99999, P374&gt;=50000, Q374&gt;=3, V374= "Completed"), "GOLD", AND( P374&lt;50000, V374="Completed"), "SILVER", TRUE, "UNCLASSIFIED")</f>
        <v>#NAME?</v>
      </c>
      <c r="X374" s="19" t="str">
        <f t="shared" si="15"/>
        <v>Anita Gupta</v>
      </c>
      <c r="Y374" s="28" t="str">
        <f t="shared" si="16"/>
        <v>Ani0373Be</v>
      </c>
      <c r="Z374" s="28" t="str">
        <f t="shared" si="17"/>
        <v>anita.gupta@company.com</v>
      </c>
    </row>
    <row r="375" spans="1:26">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c r="W375" s="24" t="e" cm="1">
        <f t="array" aca="1" ref="W375" ca="1">_xlfn.IFS(  OR(Q375&lt;=2, V375="Cancelled"), "BLACKLISTED", AND(P375&gt;=100000, Q375&gt;=4, O375&lt;=10, V375="Completed"), "PLATINUM", AND( P375&lt;=99999, P375&gt;=50000, Q375&gt;=3, V375= "Completed"), "GOLD", AND( P375&lt;50000, V375="Completed"), "SILVER", TRUE, "UNCLASSIFIED")</f>
        <v>#NAME?</v>
      </c>
      <c r="X375" s="19" t="str">
        <f t="shared" si="15"/>
        <v>Arjun Rao</v>
      </c>
      <c r="Y375" s="28" t="str">
        <f t="shared" si="16"/>
        <v>Arj0374Hy</v>
      </c>
      <c r="Z375" s="28" t="str">
        <f t="shared" si="17"/>
        <v>arjun.rao@company.com</v>
      </c>
    </row>
    <row r="376" spans="1:26">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c r="W376" s="24" t="e" cm="1">
        <f t="array" aca="1" ref="W376" ca="1">_xlfn.IFS(  OR(Q376&lt;=2, V376="Cancelled"), "BLACKLISTED", AND(P376&gt;=100000, Q376&gt;=4, O376&lt;=10, V376="Completed"), "PLATINUM", AND( P376&lt;=99999, P376&gt;=50000, Q376&gt;=3, V376= "Completed"), "GOLD", AND( P376&lt;50000, V376="Completed"), "SILVER", TRUE, "UNCLASSIFIED")</f>
        <v>#NAME?</v>
      </c>
      <c r="X376" s="19" t="str">
        <f t="shared" si="15"/>
        <v>Vikas Mehta</v>
      </c>
      <c r="Y376" s="28" t="str">
        <f t="shared" si="16"/>
        <v>Vik0375Ko</v>
      </c>
      <c r="Z376" s="28" t="str">
        <f t="shared" si="17"/>
        <v>vikas.mehta@company.com</v>
      </c>
    </row>
    <row r="377" spans="1:26">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c r="W377" s="24" t="e" cm="1">
        <f t="array" aca="1" ref="W377" ca="1">_xlfn.IFS(  OR(Q377&lt;=2, V377="Cancelled"), "BLACKLISTED", AND(P377&gt;=100000, Q377&gt;=4, O377&lt;=10, V377="Completed"), "PLATINUM", AND( P377&lt;=99999, P377&gt;=50000, Q377&gt;=3, V377= "Completed"), "GOLD", AND( P377&lt;50000, V377="Completed"), "SILVER", TRUE, "UNCLASSIFIED")</f>
        <v>#NAME?</v>
      </c>
      <c r="X377" s="19" t="str">
        <f t="shared" si="15"/>
        <v>Kavya Nair</v>
      </c>
      <c r="Y377" s="28" t="str">
        <f t="shared" si="16"/>
        <v>Kav0376Mu</v>
      </c>
      <c r="Z377" s="28" t="str">
        <f t="shared" si="17"/>
        <v>kavya.nair@company.com</v>
      </c>
    </row>
    <row r="378" spans="1:26">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c r="W378" s="24" t="e" cm="1">
        <f t="array" aca="1" ref="W378" ca="1">_xlfn.IFS(  OR(Q378&lt;=2, V378="Cancelled"), "BLACKLISTED", AND(P378&gt;=100000, Q378&gt;=4, O378&lt;=10, V378="Completed"), "PLATINUM", AND( P378&lt;=99999, P378&gt;=50000, Q378&gt;=3, V378= "Completed"), "GOLD", AND( P378&lt;50000, V378="Completed"), "SILVER", TRUE, "UNCLASSIFIED")</f>
        <v>#NAME?</v>
      </c>
      <c r="X378" s="19" t="str">
        <f t="shared" si="15"/>
        <v>Mohit Verma</v>
      </c>
      <c r="Y378" s="28" t="str">
        <f t="shared" si="16"/>
        <v>Moh0377Pu</v>
      </c>
      <c r="Z378" s="28" t="str">
        <f t="shared" si="17"/>
        <v>mohit.verma@company.com</v>
      </c>
    </row>
    <row r="379" spans="1:26">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c r="W379" s="24" t="e" cm="1">
        <f t="array" aca="1" ref="W379" ca="1">_xlfn.IFS(  OR(Q379&lt;=2, V379="Cancelled"), "BLACKLISTED", AND(P379&gt;=100000, Q379&gt;=4, O379&lt;=10, V379="Completed"), "PLATINUM", AND( P379&lt;=99999, P379&gt;=50000, Q379&gt;=3, V379= "Completed"), "GOLD", AND( P379&lt;50000, V379="Completed"), "SILVER", TRUE, "UNCLASSIFIED")</f>
        <v>#NAME?</v>
      </c>
      <c r="X379" s="19" t="str">
        <f t="shared" si="15"/>
        <v>Arjun Rao</v>
      </c>
      <c r="Y379" s="28" t="str">
        <f t="shared" si="16"/>
        <v>Arj0378Ko</v>
      </c>
      <c r="Z379" s="28" t="str">
        <f t="shared" si="17"/>
        <v>arjun.rao@company.com</v>
      </c>
    </row>
    <row r="380" spans="1:26">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c r="W380" s="24" t="e" cm="1">
        <f t="array" aca="1" ref="W380" ca="1">_xlfn.IFS(  OR(Q380&lt;=2, V380="Cancelled"), "BLACKLISTED", AND(P380&gt;=100000, Q380&gt;=4, O380&lt;=10, V380="Completed"), "PLATINUM", AND( P380&lt;=99999, P380&gt;=50000, Q380&gt;=3, V380= "Completed"), "GOLD", AND( P380&lt;50000, V380="Completed"), "SILVER", TRUE, "UNCLASSIFIED")</f>
        <v>#NAME?</v>
      </c>
      <c r="X380" s="19" t="str">
        <f t="shared" si="15"/>
        <v>Arjun Rao</v>
      </c>
      <c r="Y380" s="28" t="str">
        <f t="shared" si="16"/>
        <v>Arj0379Ja</v>
      </c>
      <c r="Z380" s="28" t="str">
        <f t="shared" si="17"/>
        <v>arjun.rao@company.com</v>
      </c>
    </row>
    <row r="381" spans="1:26">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c r="W381" s="24" t="e" cm="1">
        <f t="array" aca="1" ref="W381" ca="1">_xlfn.IFS(  OR(Q381&lt;=2, V381="Cancelled"), "BLACKLISTED", AND(P381&gt;=100000, Q381&gt;=4, O381&lt;=10, V381="Completed"), "PLATINUM", AND( P381&lt;=99999, P381&gt;=50000, Q381&gt;=3, V381= "Completed"), "GOLD", AND( P381&lt;50000, V381="Completed"), "SILVER", TRUE, "UNCLASSIFIED")</f>
        <v>#NAME?</v>
      </c>
      <c r="X381" s="19" t="str">
        <f t="shared" si="15"/>
        <v>Sneha Joshi</v>
      </c>
      <c r="Y381" s="28" t="str">
        <f t="shared" si="16"/>
        <v>Sne0380De</v>
      </c>
      <c r="Z381" s="28" t="str">
        <f t="shared" si="17"/>
        <v>sneha.joshi@company.com</v>
      </c>
    </row>
    <row r="382" spans="1:26">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c r="W382" s="24" t="e" cm="1">
        <f t="array" aca="1" ref="W382" ca="1">_xlfn.IFS(  OR(Q382&lt;=2, V382="Cancelled"), "BLACKLISTED", AND(P382&gt;=100000, Q382&gt;=4, O382&lt;=10, V382="Completed"), "PLATINUM", AND( P382&lt;=99999, P382&gt;=50000, Q382&gt;=3, V382= "Completed"), "GOLD", AND( P382&lt;50000, V382="Completed"), "SILVER", TRUE, "UNCLASSIFIED")</f>
        <v>#NAME?</v>
      </c>
      <c r="X382" s="19" t="str">
        <f t="shared" si="15"/>
        <v>Sneha Joshi</v>
      </c>
      <c r="Y382" s="28" t="str">
        <f t="shared" si="16"/>
        <v>Sne0381De</v>
      </c>
      <c r="Z382" s="28" t="str">
        <f t="shared" si="17"/>
        <v>sneha.joshi@company.com</v>
      </c>
    </row>
    <row r="383" spans="1:26">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c r="W383" s="24" t="e" cm="1">
        <f t="array" aca="1" ref="W383" ca="1">_xlfn.IFS(  OR(Q383&lt;=2, V383="Cancelled"), "BLACKLISTED", AND(P383&gt;=100000, Q383&gt;=4, O383&lt;=10, V383="Completed"), "PLATINUM", AND( P383&lt;=99999, P383&gt;=50000, Q383&gt;=3, V383= "Completed"), "GOLD", AND( P383&lt;50000, V383="Completed"), "SILVER", TRUE, "UNCLASSIFIED")</f>
        <v>#NAME?</v>
      </c>
      <c r="X383" s="19" t="str">
        <f t="shared" si="15"/>
        <v>Rohit Singh</v>
      </c>
      <c r="Y383" s="28" t="str">
        <f t="shared" si="16"/>
        <v>Roh0382Be</v>
      </c>
      <c r="Z383" s="28" t="str">
        <f t="shared" si="17"/>
        <v>rohit.singh@company.com</v>
      </c>
    </row>
    <row r="384" spans="1:26">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c r="W384" s="24" t="e" cm="1">
        <f t="array" aca="1" ref="W384" ca="1">_xlfn.IFS(  OR(Q384&lt;=2, V384="Cancelled"), "BLACKLISTED", AND(P384&gt;=100000, Q384&gt;=4, O384&lt;=10, V384="Completed"), "PLATINUM", AND( P384&lt;=99999, P384&gt;=50000, Q384&gt;=3, V384= "Completed"), "GOLD", AND( P384&lt;50000, V384="Completed"), "SILVER", TRUE, "UNCLASSIFIED")</f>
        <v>#NAME?</v>
      </c>
      <c r="X384" s="19" t="str">
        <f t="shared" si="15"/>
        <v>Rohit Singh</v>
      </c>
      <c r="Y384" s="28" t="str">
        <f t="shared" si="16"/>
        <v>Roh0383Ko</v>
      </c>
      <c r="Z384" s="28" t="str">
        <f t="shared" si="17"/>
        <v>rohit.singh@company.com</v>
      </c>
    </row>
    <row r="385" spans="1:26">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c r="W385" s="24" t="e" cm="1">
        <f t="array" aca="1" ref="W385" ca="1">_xlfn.IFS(  OR(Q385&lt;=2, V385="Cancelled"), "BLACKLISTED", AND(P385&gt;=100000, Q385&gt;=4, O385&lt;=10, V385="Completed"), "PLATINUM", AND( P385&lt;=99999, P385&gt;=50000, Q385&gt;=3, V385= "Completed"), "GOLD", AND( P385&lt;50000, V385="Completed"), "SILVER", TRUE, "UNCLASSIFIED")</f>
        <v>#NAME?</v>
      </c>
      <c r="X385" s="19" t="str">
        <f t="shared" si="15"/>
        <v>Vikas Mehta</v>
      </c>
      <c r="Y385" s="28" t="str">
        <f t="shared" si="16"/>
        <v>Vik0384Be</v>
      </c>
      <c r="Z385" s="28" t="str">
        <f t="shared" si="17"/>
        <v>vikas.mehta@company.com</v>
      </c>
    </row>
    <row r="386" spans="1:26">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c r="W386" s="24" t="e" cm="1">
        <f t="array" aca="1" ref="W386" ca="1">_xlfn.IFS(  OR(Q386&lt;=2, V386="Cancelled"), "BLACKLISTED", AND(P386&gt;=100000, Q386&gt;=4, O386&lt;=10, V386="Completed"), "PLATINUM", AND( P386&lt;=99999, P386&gt;=50000, Q386&gt;=3, V386= "Completed"), "GOLD", AND( P386&lt;50000, V386="Completed"), "SILVER", TRUE, "UNCLASSIFIED")</f>
        <v>#NAME?</v>
      </c>
      <c r="X386" s="19" t="str">
        <f t="shared" si="15"/>
        <v>Rohit Singh</v>
      </c>
      <c r="Y386" s="28" t="str">
        <f t="shared" si="16"/>
        <v>Roh0385De</v>
      </c>
      <c r="Z386" s="28" t="str">
        <f t="shared" si="17"/>
        <v>rohit.singh@company.com</v>
      </c>
    </row>
    <row r="387" spans="1:26">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c r="W387" s="24" t="e" cm="1">
        <f t="array" aca="1" ref="W387" ca="1">_xlfn.IFS(  OR(Q387&lt;=2, V387="Cancelled"), "BLACKLISTED", AND(P387&gt;=100000, Q387&gt;=4, O387&lt;=10, V387="Completed"), "PLATINUM", AND( P387&lt;=99999, P387&gt;=50000, Q387&gt;=3, V387= "Completed"), "GOLD", AND( P387&lt;50000, V387="Completed"), "SILVER", TRUE, "UNCLASSIFIED")</f>
        <v>#NAME?</v>
      </c>
      <c r="X387" s="19" t="str">
        <f t="shared" ref="X387:X450" si="18">PROPER(TRIM(F387))</f>
        <v>Anita Gupta</v>
      </c>
      <c r="Y387" s="28" t="str">
        <f t="shared" ref="Y387:Y450" si="19">LEFT(X387,3)&amp;RIGHT(A387,4)&amp;LEFT(I387,2)</f>
        <v>Ani0386Ah</v>
      </c>
      <c r="Z387" s="28" t="str">
        <f t="shared" ref="Z387:Z450" si="20">IF(IFERROR(FIND("@", T387), 0), TRIM(LOWER(T387)), "Invalid Email" )</f>
        <v>anita.gupta@company.com</v>
      </c>
    </row>
    <row r="388" spans="1:26">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c r="W388" s="24" t="e" cm="1">
        <f t="array" aca="1" ref="W388" ca="1">_xlfn.IFS(  OR(Q388&lt;=2, V388="Cancelled"), "BLACKLISTED", AND(P388&gt;=100000, Q388&gt;=4, O388&lt;=10, V388="Completed"), "PLATINUM", AND( P388&lt;=99999, P388&gt;=50000, Q388&gt;=3, V388= "Completed"), "GOLD", AND( P388&lt;50000, V388="Completed"), "SILVER", TRUE, "UNCLASSIFIED")</f>
        <v>#NAME?</v>
      </c>
      <c r="X388" s="19" t="str">
        <f t="shared" si="18"/>
        <v>Vikas Mehta</v>
      </c>
      <c r="Y388" s="28" t="str">
        <f t="shared" si="19"/>
        <v>Vik0387Hy</v>
      </c>
      <c r="Z388" s="28" t="str">
        <f t="shared" si="20"/>
        <v>vikas.mehta@company.com</v>
      </c>
    </row>
    <row r="389" spans="1:26">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c r="W389" s="24" t="e" cm="1">
        <f t="array" aca="1" ref="W389" ca="1">_xlfn.IFS(  OR(Q389&lt;=2, V389="Cancelled"), "BLACKLISTED", AND(P389&gt;=100000, Q389&gt;=4, O389&lt;=10, V389="Completed"), "PLATINUM", AND( P389&lt;=99999, P389&gt;=50000, Q389&gt;=3, V389= "Completed"), "GOLD", AND( P389&lt;50000, V389="Completed"), "SILVER", TRUE, "UNCLASSIFIED")</f>
        <v>#NAME?</v>
      </c>
      <c r="X389" s="19" t="str">
        <f t="shared" si="18"/>
        <v>Mohit Verma</v>
      </c>
      <c r="Y389" s="28" t="str">
        <f t="shared" si="19"/>
        <v>Moh0388Hy</v>
      </c>
      <c r="Z389" s="28" t="str">
        <f t="shared" si="20"/>
        <v>mohit.verma@company.com</v>
      </c>
    </row>
    <row r="390" spans="1:26">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c r="W390" s="24" t="e" cm="1">
        <f t="array" aca="1" ref="W390" ca="1">_xlfn.IFS(  OR(Q390&lt;=2, V390="Cancelled"), "BLACKLISTED", AND(P390&gt;=100000, Q390&gt;=4, O390&lt;=10, V390="Completed"), "PLATINUM", AND( P390&lt;=99999, P390&gt;=50000, Q390&gt;=3, V390= "Completed"), "GOLD", AND( P390&lt;50000, V390="Completed"), "SILVER", TRUE, "UNCLASSIFIED")</f>
        <v>#NAME?</v>
      </c>
      <c r="X390" s="19" t="str">
        <f t="shared" si="18"/>
        <v>Kavya Nair</v>
      </c>
      <c r="Y390" s="28" t="str">
        <f t="shared" si="19"/>
        <v>Kav0389Ko</v>
      </c>
      <c r="Z390" s="28" t="str">
        <f t="shared" si="20"/>
        <v>kavya.nair@company.com</v>
      </c>
    </row>
    <row r="391" spans="1:26">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c r="W391" s="24" t="e" cm="1">
        <f t="array" aca="1" ref="W391" ca="1">_xlfn.IFS(  OR(Q391&lt;=2, V391="Cancelled"), "BLACKLISTED", AND(P391&gt;=100000, Q391&gt;=4, O391&lt;=10, V391="Completed"), "PLATINUM", AND( P391&lt;=99999, P391&gt;=50000, Q391&gt;=3, V391= "Completed"), "GOLD", AND( P391&lt;50000, V391="Completed"), "SILVER", TRUE, "UNCLASSIFIED")</f>
        <v>#NAME?</v>
      </c>
      <c r="X391" s="19" t="str">
        <f t="shared" si="18"/>
        <v>Priya Patel</v>
      </c>
      <c r="Y391" s="28" t="str">
        <f t="shared" si="19"/>
        <v>Pri0390Pu</v>
      </c>
      <c r="Z391" s="28" t="str">
        <f t="shared" si="20"/>
        <v>priya.patel@company.com</v>
      </c>
    </row>
    <row r="392" spans="1:26">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c r="W392" s="24" t="e" cm="1">
        <f t="array" aca="1" ref="W392" ca="1">_xlfn.IFS(  OR(Q392&lt;=2, V392="Cancelled"), "BLACKLISTED", AND(P392&gt;=100000, Q392&gt;=4, O392&lt;=10, V392="Completed"), "PLATINUM", AND( P392&lt;=99999, P392&gt;=50000, Q392&gt;=3, V392= "Completed"), "GOLD", AND( P392&lt;50000, V392="Completed"), "SILVER", TRUE, "UNCLASSIFIED")</f>
        <v>#NAME?</v>
      </c>
      <c r="X392" s="19" t="str">
        <f t="shared" si="18"/>
        <v>Priya Patel</v>
      </c>
      <c r="Y392" s="28" t="str">
        <f t="shared" si="19"/>
        <v>Pri0391Pu</v>
      </c>
      <c r="Z392" s="28" t="str">
        <f t="shared" si="20"/>
        <v>priya.patel@company.com</v>
      </c>
    </row>
    <row r="393" spans="1:26">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c r="W393" s="24" t="e" cm="1">
        <f t="array" aca="1" ref="W393" ca="1">_xlfn.IFS(  OR(Q393&lt;=2, V393="Cancelled"), "BLACKLISTED", AND(P393&gt;=100000, Q393&gt;=4, O393&lt;=10, V393="Completed"), "PLATINUM", AND( P393&lt;=99999, P393&gt;=50000, Q393&gt;=3, V393= "Completed"), "GOLD", AND( P393&lt;50000, V393="Completed"), "SILVER", TRUE, "UNCLASSIFIED")</f>
        <v>#NAME?</v>
      </c>
      <c r="X393" s="19" t="str">
        <f t="shared" si="18"/>
        <v>Pooja Shah</v>
      </c>
      <c r="Y393" s="28" t="str">
        <f t="shared" si="19"/>
        <v>Poo0392Hy</v>
      </c>
      <c r="Z393" s="28" t="str">
        <f t="shared" si="20"/>
        <v>pooja.shah@company.com</v>
      </c>
    </row>
    <row r="394" spans="1:26">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c r="W394" s="24" t="e" cm="1">
        <f t="array" aca="1" ref="W394" ca="1">_xlfn.IFS(  OR(Q394&lt;=2, V394="Cancelled"), "BLACKLISTED", AND(P394&gt;=100000, Q394&gt;=4, O394&lt;=10, V394="Completed"), "PLATINUM", AND( P394&lt;=99999, P394&gt;=50000, Q394&gt;=3, V394= "Completed"), "GOLD", AND( P394&lt;50000, V394="Completed"), "SILVER", TRUE, "UNCLASSIFIED")</f>
        <v>#NAME?</v>
      </c>
      <c r="X394" s="19" t="str">
        <f t="shared" si="18"/>
        <v>Sneha Joshi</v>
      </c>
      <c r="Y394" s="28" t="str">
        <f t="shared" si="19"/>
        <v>Sne0393De</v>
      </c>
      <c r="Z394" s="28" t="str">
        <f t="shared" si="20"/>
        <v>sneha.joshi@company.com</v>
      </c>
    </row>
    <row r="395" spans="1:26">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c r="W395" s="24" t="e" cm="1">
        <f t="array" aca="1" ref="W395" ca="1">_xlfn.IFS(  OR(Q395&lt;=2, V395="Cancelled"), "BLACKLISTED", AND(P395&gt;=100000, Q395&gt;=4, O395&lt;=10, V395="Completed"), "PLATINUM", AND( P395&lt;=99999, P395&gt;=50000, Q395&gt;=3, V395= "Completed"), "GOLD", AND( P395&lt;50000, V395="Completed"), "SILVER", TRUE, "UNCLASSIFIED")</f>
        <v>#NAME?</v>
      </c>
      <c r="X395" s="19" t="str">
        <f t="shared" si="18"/>
        <v>Priya Patel</v>
      </c>
      <c r="Y395" s="28" t="str">
        <f t="shared" si="19"/>
        <v>Pri0394Ko</v>
      </c>
      <c r="Z395" s="28" t="str">
        <f t="shared" si="20"/>
        <v>priya.patel@company.com</v>
      </c>
    </row>
    <row r="396" spans="1:26">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c r="W396" s="24" t="e" cm="1">
        <f t="array" aca="1" ref="W396" ca="1">_xlfn.IFS(  OR(Q396&lt;=2, V396="Cancelled"), "BLACKLISTED", AND(P396&gt;=100000, Q396&gt;=4, O396&lt;=10, V396="Completed"), "PLATINUM", AND( P396&lt;=99999, P396&gt;=50000, Q396&gt;=3, V396= "Completed"), "GOLD", AND( P396&lt;50000, V396="Completed"), "SILVER", TRUE, "UNCLASSIFIED")</f>
        <v>#NAME?</v>
      </c>
      <c r="X396" s="19" t="str">
        <f t="shared" si="18"/>
        <v>Kavya Nair</v>
      </c>
      <c r="Y396" s="28" t="str">
        <f t="shared" si="19"/>
        <v>Kav0395Ah</v>
      </c>
      <c r="Z396" s="28" t="str">
        <f t="shared" si="20"/>
        <v>kavya.nair@company.com</v>
      </c>
    </row>
    <row r="397" spans="1:26">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c r="W397" s="24" t="e" cm="1">
        <f t="array" aca="1" ref="W397" ca="1">_xlfn.IFS(  OR(Q397&lt;=2, V397="Cancelled"), "BLACKLISTED", AND(P397&gt;=100000, Q397&gt;=4, O397&lt;=10, V397="Completed"), "PLATINUM", AND( P397&lt;=99999, P397&gt;=50000, Q397&gt;=3, V397= "Completed"), "GOLD", AND( P397&lt;50000, V397="Completed"), "SILVER", TRUE, "UNCLASSIFIED")</f>
        <v>#NAME?</v>
      </c>
      <c r="X397" s="19" t="str">
        <f t="shared" si="18"/>
        <v>Rohit Singh</v>
      </c>
      <c r="Y397" s="28" t="str">
        <f t="shared" si="19"/>
        <v>Roh0396Hy</v>
      </c>
      <c r="Z397" s="28" t="str">
        <f t="shared" si="20"/>
        <v>rohit.singh@company.com</v>
      </c>
    </row>
    <row r="398" spans="1:26">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c r="W398" s="24" t="e" cm="1">
        <f t="array" aca="1" ref="W398" ca="1">_xlfn.IFS(  OR(Q398&lt;=2, V398="Cancelled"), "BLACKLISTED", AND(P398&gt;=100000, Q398&gt;=4, O398&lt;=10, V398="Completed"), "PLATINUM", AND( P398&lt;=99999, P398&gt;=50000, Q398&gt;=3, V398= "Completed"), "GOLD", AND( P398&lt;50000, V398="Completed"), "SILVER", TRUE, "UNCLASSIFIED")</f>
        <v>#NAME?</v>
      </c>
      <c r="X398" s="19" t="str">
        <f t="shared" si="18"/>
        <v>Arjun Rao</v>
      </c>
      <c r="Y398" s="28" t="str">
        <f t="shared" si="19"/>
        <v>Arj0397De</v>
      </c>
      <c r="Z398" s="28" t="str">
        <f t="shared" si="20"/>
        <v>arjun.rao@company.com</v>
      </c>
    </row>
    <row r="399" spans="1:26">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c r="W399" s="24" t="e" cm="1">
        <f t="array" aca="1" ref="W399" ca="1">_xlfn.IFS(  OR(Q399&lt;=2, V399="Cancelled"), "BLACKLISTED", AND(P399&gt;=100000, Q399&gt;=4, O399&lt;=10, V399="Completed"), "PLATINUM", AND( P399&lt;=99999, P399&gt;=50000, Q399&gt;=3, V399= "Completed"), "GOLD", AND( P399&lt;50000, V399="Completed"), "SILVER", TRUE, "UNCLASSIFIED")</f>
        <v>#NAME?</v>
      </c>
      <c r="X399" s="19" t="str">
        <f t="shared" si="18"/>
        <v>Arjun Rao</v>
      </c>
      <c r="Y399" s="28" t="str">
        <f t="shared" si="19"/>
        <v>Arj0398Ko</v>
      </c>
      <c r="Z399" s="28" t="str">
        <f t="shared" si="20"/>
        <v>arjun.rao@company.com</v>
      </c>
    </row>
    <row r="400" spans="1:26">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c r="W400" s="24" t="e" cm="1">
        <f t="array" aca="1" ref="W400" ca="1">_xlfn.IFS(  OR(Q400&lt;=2, V400="Cancelled"), "BLACKLISTED", AND(P400&gt;=100000, Q400&gt;=4, O400&lt;=10, V400="Completed"), "PLATINUM", AND( P400&lt;=99999, P400&gt;=50000, Q400&gt;=3, V400= "Completed"), "GOLD", AND( P400&lt;50000, V400="Completed"), "SILVER", TRUE, "UNCLASSIFIED")</f>
        <v>#NAME?</v>
      </c>
      <c r="X400" s="19" t="str">
        <f t="shared" si="18"/>
        <v>Amit Sharma</v>
      </c>
      <c r="Y400" s="28" t="str">
        <f t="shared" si="19"/>
        <v>Ami0399Be</v>
      </c>
      <c r="Z400" s="28" t="str">
        <f t="shared" si="20"/>
        <v>amit.sharma@company.com</v>
      </c>
    </row>
    <row r="401" spans="1:26">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c r="W401" s="24" t="e" cm="1">
        <f t="array" aca="1" ref="W401" ca="1">_xlfn.IFS(  OR(Q401&lt;=2, V401="Cancelled"), "BLACKLISTED", AND(P401&gt;=100000, Q401&gt;=4, O401&lt;=10, V401="Completed"), "PLATINUM", AND( P401&lt;=99999, P401&gt;=50000, Q401&gt;=3, V401= "Completed"), "GOLD", AND( P401&lt;50000, V401="Completed"), "SILVER", TRUE, "UNCLASSIFIED")</f>
        <v>#NAME?</v>
      </c>
      <c r="X401" s="19" t="str">
        <f t="shared" si="18"/>
        <v>Kavya Nair</v>
      </c>
      <c r="Y401" s="28" t="str">
        <f t="shared" si="19"/>
        <v>Kav0400De</v>
      </c>
      <c r="Z401" s="28" t="str">
        <f t="shared" si="20"/>
        <v>kavya.nair@company.com</v>
      </c>
    </row>
    <row r="402" spans="1:26">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c r="W402" s="24" t="e" cm="1">
        <f t="array" aca="1" ref="W402" ca="1">_xlfn.IFS(  OR(Q402&lt;=2, V402="Cancelled"), "BLACKLISTED", AND(P402&gt;=100000, Q402&gt;=4, O402&lt;=10, V402="Completed"), "PLATINUM", AND( P402&lt;=99999, P402&gt;=50000, Q402&gt;=3, V402= "Completed"), "GOLD", AND( P402&lt;50000, V402="Completed"), "SILVER", TRUE, "UNCLASSIFIED")</f>
        <v>#NAME?</v>
      </c>
      <c r="X402" s="19" t="str">
        <f t="shared" si="18"/>
        <v>Mohit Verma</v>
      </c>
      <c r="Y402" s="28" t="str">
        <f t="shared" si="19"/>
        <v>Moh0401Hy</v>
      </c>
      <c r="Z402" s="28" t="str">
        <f t="shared" si="20"/>
        <v>mohit.verma@company.com</v>
      </c>
    </row>
    <row r="403" spans="1:26">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c r="W403" s="24" t="e" cm="1">
        <f t="array" aca="1" ref="W403" ca="1">_xlfn.IFS(  OR(Q403&lt;=2, V403="Cancelled"), "BLACKLISTED", AND(P403&gt;=100000, Q403&gt;=4, O403&lt;=10, V403="Completed"), "PLATINUM", AND( P403&lt;=99999, P403&gt;=50000, Q403&gt;=3, V403= "Completed"), "GOLD", AND( P403&lt;50000, V403="Completed"), "SILVER", TRUE, "UNCLASSIFIED")</f>
        <v>#NAME?</v>
      </c>
      <c r="X403" s="19" t="str">
        <f t="shared" si="18"/>
        <v>Kavya Nair</v>
      </c>
      <c r="Y403" s="28" t="str">
        <f t="shared" si="19"/>
        <v>Kav0402Ah</v>
      </c>
      <c r="Z403" s="28" t="str">
        <f t="shared" si="20"/>
        <v>kavya.nair@company.com</v>
      </c>
    </row>
    <row r="404" spans="1:26">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c r="W404" s="24" t="e" cm="1">
        <f t="array" aca="1" ref="W404" ca="1">_xlfn.IFS(  OR(Q404&lt;=2, V404="Cancelled"), "BLACKLISTED", AND(P404&gt;=100000, Q404&gt;=4, O404&lt;=10, V404="Completed"), "PLATINUM", AND( P404&lt;=99999, P404&gt;=50000, Q404&gt;=3, V404= "Completed"), "GOLD", AND( P404&lt;50000, V404="Completed"), "SILVER", TRUE, "UNCLASSIFIED")</f>
        <v>#NAME?</v>
      </c>
      <c r="X404" s="19" t="str">
        <f t="shared" si="18"/>
        <v>Mohit Verma</v>
      </c>
      <c r="Y404" s="28" t="str">
        <f t="shared" si="19"/>
        <v>Moh0403Mu</v>
      </c>
      <c r="Z404" s="28" t="str">
        <f t="shared" si="20"/>
        <v>mohit.verma@company.com</v>
      </c>
    </row>
    <row r="405" spans="1:26">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c r="W405" s="24" t="e" cm="1">
        <f t="array" aca="1" ref="W405" ca="1">_xlfn.IFS(  OR(Q405&lt;=2, V405="Cancelled"), "BLACKLISTED", AND(P405&gt;=100000, Q405&gt;=4, O405&lt;=10, V405="Completed"), "PLATINUM", AND( P405&lt;=99999, P405&gt;=50000, Q405&gt;=3, V405= "Completed"), "GOLD", AND( P405&lt;50000, V405="Completed"), "SILVER", TRUE, "UNCLASSIFIED")</f>
        <v>#NAME?</v>
      </c>
      <c r="X405" s="19" t="str">
        <f t="shared" si="18"/>
        <v>Kavya Nair</v>
      </c>
      <c r="Y405" s="28" t="str">
        <f t="shared" si="19"/>
        <v>Kav0404Mu</v>
      </c>
      <c r="Z405" s="28" t="str">
        <f t="shared" si="20"/>
        <v>kavya.nair@company.com</v>
      </c>
    </row>
    <row r="406" spans="1:26">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c r="W406" s="24" t="e" cm="1">
        <f t="array" aca="1" ref="W406" ca="1">_xlfn.IFS(  OR(Q406&lt;=2, V406="Cancelled"), "BLACKLISTED", AND(P406&gt;=100000, Q406&gt;=4, O406&lt;=10, V406="Completed"), "PLATINUM", AND( P406&lt;=99999, P406&gt;=50000, Q406&gt;=3, V406= "Completed"), "GOLD", AND( P406&lt;50000, V406="Completed"), "SILVER", TRUE, "UNCLASSIFIED")</f>
        <v>#NAME?</v>
      </c>
      <c r="X406" s="19" t="str">
        <f t="shared" si="18"/>
        <v>Pooja Shah</v>
      </c>
      <c r="Y406" s="28" t="str">
        <f t="shared" si="19"/>
        <v>Poo0405Pu</v>
      </c>
      <c r="Z406" s="28" t="str">
        <f t="shared" si="20"/>
        <v>pooja.shah@company.com</v>
      </c>
    </row>
    <row r="407" spans="1:26">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c r="W407" s="24" t="e" cm="1">
        <f t="array" aca="1" ref="W407" ca="1">_xlfn.IFS(  OR(Q407&lt;=2, V407="Cancelled"), "BLACKLISTED", AND(P407&gt;=100000, Q407&gt;=4, O407&lt;=10, V407="Completed"), "PLATINUM", AND( P407&lt;=99999, P407&gt;=50000, Q407&gt;=3, V407= "Completed"), "GOLD", AND( P407&lt;50000, V407="Completed"), "SILVER", TRUE, "UNCLASSIFIED")</f>
        <v>#NAME?</v>
      </c>
      <c r="X407" s="19" t="str">
        <f t="shared" si="18"/>
        <v>Anita Gupta</v>
      </c>
      <c r="Y407" s="28" t="str">
        <f t="shared" si="19"/>
        <v>Ani0406Ko</v>
      </c>
      <c r="Z407" s="28" t="str">
        <f t="shared" si="20"/>
        <v>anita.gupta@company.com</v>
      </c>
    </row>
    <row r="408" spans="1:26">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c r="W408" s="24" t="e" cm="1">
        <f t="array" aca="1" ref="W408" ca="1">_xlfn.IFS(  OR(Q408&lt;=2, V408="Cancelled"), "BLACKLISTED", AND(P408&gt;=100000, Q408&gt;=4, O408&lt;=10, V408="Completed"), "PLATINUM", AND( P408&lt;=99999, P408&gt;=50000, Q408&gt;=3, V408= "Completed"), "GOLD", AND( P408&lt;50000, V408="Completed"), "SILVER", TRUE, "UNCLASSIFIED")</f>
        <v>#NAME?</v>
      </c>
      <c r="X408" s="19" t="str">
        <f t="shared" si="18"/>
        <v>Pooja Shah</v>
      </c>
      <c r="Y408" s="28" t="str">
        <f t="shared" si="19"/>
        <v>Poo0407Pu</v>
      </c>
      <c r="Z408" s="28" t="str">
        <f t="shared" si="20"/>
        <v>pooja.shah@company.com</v>
      </c>
    </row>
    <row r="409" spans="1:26">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c r="W409" s="24" t="e" cm="1">
        <f t="array" aca="1" ref="W409" ca="1">_xlfn.IFS(  OR(Q409&lt;=2, V409="Cancelled"), "BLACKLISTED", AND(P409&gt;=100000, Q409&gt;=4, O409&lt;=10, V409="Completed"), "PLATINUM", AND( P409&lt;=99999, P409&gt;=50000, Q409&gt;=3, V409= "Completed"), "GOLD", AND( P409&lt;50000, V409="Completed"), "SILVER", TRUE, "UNCLASSIFIED")</f>
        <v>#NAME?</v>
      </c>
      <c r="X409" s="19" t="str">
        <f t="shared" si="18"/>
        <v>Mohit Verma</v>
      </c>
      <c r="Y409" s="28" t="str">
        <f t="shared" si="19"/>
        <v>Moh0408Mu</v>
      </c>
      <c r="Z409" s="28" t="str">
        <f t="shared" si="20"/>
        <v>mohit.verma@company.com</v>
      </c>
    </row>
    <row r="410" spans="1:26">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c r="W410" s="24" t="e" cm="1">
        <f t="array" aca="1" ref="W410" ca="1">_xlfn.IFS(  OR(Q410&lt;=2, V410="Cancelled"), "BLACKLISTED", AND(P410&gt;=100000, Q410&gt;=4, O410&lt;=10, V410="Completed"), "PLATINUM", AND( P410&lt;=99999, P410&gt;=50000, Q410&gt;=3, V410= "Completed"), "GOLD", AND( P410&lt;50000, V410="Completed"), "SILVER", TRUE, "UNCLASSIFIED")</f>
        <v>#NAME?</v>
      </c>
      <c r="X410" s="19" t="str">
        <f t="shared" si="18"/>
        <v>Priya Patel</v>
      </c>
      <c r="Y410" s="28" t="str">
        <f t="shared" si="19"/>
        <v>Pri0409Hy</v>
      </c>
      <c r="Z410" s="28" t="str">
        <f t="shared" si="20"/>
        <v>priya.patel@company.com</v>
      </c>
    </row>
    <row r="411" spans="1:26">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c r="W411" s="24" t="e" cm="1">
        <f t="array" aca="1" ref="W411" ca="1">_xlfn.IFS(  OR(Q411&lt;=2, V411="Cancelled"), "BLACKLISTED", AND(P411&gt;=100000, Q411&gt;=4, O411&lt;=10, V411="Completed"), "PLATINUM", AND( P411&lt;=99999, P411&gt;=50000, Q411&gt;=3, V411= "Completed"), "GOLD", AND( P411&lt;50000, V411="Completed"), "SILVER", TRUE, "UNCLASSIFIED")</f>
        <v>#NAME?</v>
      </c>
      <c r="X411" s="19" t="str">
        <f t="shared" si="18"/>
        <v>Rohit Singh</v>
      </c>
      <c r="Y411" s="28" t="str">
        <f t="shared" si="19"/>
        <v>Roh0410Ko</v>
      </c>
      <c r="Z411" s="28" t="str">
        <f t="shared" si="20"/>
        <v>rohit.singh@company.com</v>
      </c>
    </row>
    <row r="412" spans="1:26">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c r="W412" s="24" t="e" cm="1">
        <f t="array" aca="1" ref="W412" ca="1">_xlfn.IFS(  OR(Q412&lt;=2, V412="Cancelled"), "BLACKLISTED", AND(P412&gt;=100000, Q412&gt;=4, O412&lt;=10, V412="Completed"), "PLATINUM", AND( P412&lt;=99999, P412&gt;=50000, Q412&gt;=3, V412= "Completed"), "GOLD", AND( P412&lt;50000, V412="Completed"), "SILVER", TRUE, "UNCLASSIFIED")</f>
        <v>#NAME?</v>
      </c>
      <c r="X412" s="19" t="str">
        <f t="shared" si="18"/>
        <v>Kavya Nair</v>
      </c>
      <c r="Y412" s="28" t="str">
        <f t="shared" si="19"/>
        <v>Kav0411Hy</v>
      </c>
      <c r="Z412" s="28" t="str">
        <f t="shared" si="20"/>
        <v>kavya.nair@company.com</v>
      </c>
    </row>
    <row r="413" spans="1:26">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c r="W413" s="24" t="e" cm="1">
        <f t="array" aca="1" ref="W413" ca="1">_xlfn.IFS(  OR(Q413&lt;=2, V413="Cancelled"), "BLACKLISTED", AND(P413&gt;=100000, Q413&gt;=4, O413&lt;=10, V413="Completed"), "PLATINUM", AND( P413&lt;=99999, P413&gt;=50000, Q413&gt;=3, V413= "Completed"), "GOLD", AND( P413&lt;50000, V413="Completed"), "SILVER", TRUE, "UNCLASSIFIED")</f>
        <v>#NAME?</v>
      </c>
      <c r="X413" s="19" t="str">
        <f t="shared" si="18"/>
        <v>Priya Patel</v>
      </c>
      <c r="Y413" s="28" t="str">
        <f t="shared" si="19"/>
        <v>Pri0412Hy</v>
      </c>
      <c r="Z413" s="28" t="str">
        <f t="shared" si="20"/>
        <v>priya.patel@company.com</v>
      </c>
    </row>
    <row r="414" spans="1:26">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c r="W414" s="24" t="e" cm="1">
        <f t="array" aca="1" ref="W414" ca="1">_xlfn.IFS(  OR(Q414&lt;=2, V414="Cancelled"), "BLACKLISTED", AND(P414&gt;=100000, Q414&gt;=4, O414&lt;=10, V414="Completed"), "PLATINUM", AND( P414&lt;=99999, P414&gt;=50000, Q414&gt;=3, V414= "Completed"), "GOLD", AND( P414&lt;50000, V414="Completed"), "SILVER", TRUE, "UNCLASSIFIED")</f>
        <v>#NAME?</v>
      </c>
      <c r="X414" s="19" t="str">
        <f t="shared" si="18"/>
        <v>Sneha Joshi</v>
      </c>
      <c r="Y414" s="28" t="str">
        <f t="shared" si="19"/>
        <v>Sne0413Be</v>
      </c>
      <c r="Z414" s="28" t="str">
        <f t="shared" si="20"/>
        <v>sneha.joshi@company.com</v>
      </c>
    </row>
    <row r="415" spans="1:26">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c r="W415" s="24" t="e" cm="1">
        <f t="array" aca="1" ref="W415" ca="1">_xlfn.IFS(  OR(Q415&lt;=2, V415="Cancelled"), "BLACKLISTED", AND(P415&gt;=100000, Q415&gt;=4, O415&lt;=10, V415="Completed"), "PLATINUM", AND( P415&lt;=99999, P415&gt;=50000, Q415&gt;=3, V415= "Completed"), "GOLD", AND( P415&lt;50000, V415="Completed"), "SILVER", TRUE, "UNCLASSIFIED")</f>
        <v>#NAME?</v>
      </c>
      <c r="X415" s="19" t="str">
        <f t="shared" si="18"/>
        <v>Anita Gupta</v>
      </c>
      <c r="Y415" s="28" t="str">
        <f t="shared" si="19"/>
        <v>Ani0414Ah</v>
      </c>
      <c r="Z415" s="28" t="str">
        <f t="shared" si="20"/>
        <v>anita.gupta@company.com</v>
      </c>
    </row>
    <row r="416" spans="1:26">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c r="W416" s="24" t="e" cm="1">
        <f t="array" aca="1" ref="W416" ca="1">_xlfn.IFS(  OR(Q416&lt;=2, V416="Cancelled"), "BLACKLISTED", AND(P416&gt;=100000, Q416&gt;=4, O416&lt;=10, V416="Completed"), "PLATINUM", AND( P416&lt;=99999, P416&gt;=50000, Q416&gt;=3, V416= "Completed"), "GOLD", AND( P416&lt;50000, V416="Completed"), "SILVER", TRUE, "UNCLASSIFIED")</f>
        <v>#NAME?</v>
      </c>
      <c r="X416" s="19" t="str">
        <f t="shared" si="18"/>
        <v>Priya Patel</v>
      </c>
      <c r="Y416" s="28" t="str">
        <f t="shared" si="19"/>
        <v>Pri0415Ah</v>
      </c>
      <c r="Z416" s="28" t="str">
        <f t="shared" si="20"/>
        <v>priya.patel@company.com</v>
      </c>
    </row>
    <row r="417" spans="1:26">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c r="W417" s="24" t="e" cm="1">
        <f t="array" aca="1" ref="W417" ca="1">_xlfn.IFS(  OR(Q417&lt;=2, V417="Cancelled"), "BLACKLISTED", AND(P417&gt;=100000, Q417&gt;=4, O417&lt;=10, V417="Completed"), "PLATINUM", AND( P417&lt;=99999, P417&gt;=50000, Q417&gt;=3, V417= "Completed"), "GOLD", AND( P417&lt;50000, V417="Completed"), "SILVER", TRUE, "UNCLASSIFIED")</f>
        <v>#NAME?</v>
      </c>
      <c r="X417" s="19" t="str">
        <f t="shared" si="18"/>
        <v>Arjun Rao</v>
      </c>
      <c r="Y417" s="28" t="str">
        <f t="shared" si="19"/>
        <v>Arj0416Mu</v>
      </c>
      <c r="Z417" s="28" t="str">
        <f t="shared" si="20"/>
        <v>arjun.rao@company.com</v>
      </c>
    </row>
    <row r="418" spans="1:26">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c r="W418" s="24" t="e" cm="1">
        <f t="array" aca="1" ref="W418" ca="1">_xlfn.IFS(  OR(Q418&lt;=2, V418="Cancelled"), "BLACKLISTED", AND(P418&gt;=100000, Q418&gt;=4, O418&lt;=10, V418="Completed"), "PLATINUM", AND( P418&lt;=99999, P418&gt;=50000, Q418&gt;=3, V418= "Completed"), "GOLD", AND( P418&lt;50000, V418="Completed"), "SILVER", TRUE, "UNCLASSIFIED")</f>
        <v>#NAME?</v>
      </c>
      <c r="X418" s="19" t="str">
        <f t="shared" si="18"/>
        <v>Vikas Mehta</v>
      </c>
      <c r="Y418" s="28" t="str">
        <f t="shared" si="19"/>
        <v>Vik0417Ko</v>
      </c>
      <c r="Z418" s="28" t="str">
        <f t="shared" si="20"/>
        <v>vikas.mehta@company.com</v>
      </c>
    </row>
    <row r="419" spans="1:26">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c r="W419" s="24" t="e" cm="1">
        <f t="array" aca="1" ref="W419" ca="1">_xlfn.IFS(  OR(Q419&lt;=2, V419="Cancelled"), "BLACKLISTED", AND(P419&gt;=100000, Q419&gt;=4, O419&lt;=10, V419="Completed"), "PLATINUM", AND( P419&lt;=99999, P419&gt;=50000, Q419&gt;=3, V419= "Completed"), "GOLD", AND( P419&lt;50000, V419="Completed"), "SILVER", TRUE, "UNCLASSIFIED")</f>
        <v>#NAME?</v>
      </c>
      <c r="X419" s="19" t="str">
        <f t="shared" si="18"/>
        <v>Arjun Rao</v>
      </c>
      <c r="Y419" s="28" t="str">
        <f t="shared" si="19"/>
        <v>Arj0418Hy</v>
      </c>
      <c r="Z419" s="28" t="str">
        <f t="shared" si="20"/>
        <v>arjun.rao@company.com</v>
      </c>
    </row>
    <row r="420" spans="1:26">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c r="W420" s="24" t="e" cm="1">
        <f t="array" aca="1" ref="W420" ca="1">_xlfn.IFS(  OR(Q420&lt;=2, V420="Cancelled"), "BLACKLISTED", AND(P420&gt;=100000, Q420&gt;=4, O420&lt;=10, V420="Completed"), "PLATINUM", AND( P420&lt;=99999, P420&gt;=50000, Q420&gt;=3, V420= "Completed"), "GOLD", AND( P420&lt;50000, V420="Completed"), "SILVER", TRUE, "UNCLASSIFIED")</f>
        <v>#NAME?</v>
      </c>
      <c r="X420" s="19" t="str">
        <f t="shared" si="18"/>
        <v>Arjun Rao</v>
      </c>
      <c r="Y420" s="28" t="str">
        <f t="shared" si="19"/>
        <v>Arj0419Mu</v>
      </c>
      <c r="Z420" s="28" t="str">
        <f t="shared" si="20"/>
        <v>arjun.rao@company.com</v>
      </c>
    </row>
    <row r="421" spans="1:26">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c r="W421" s="24" t="e" cm="1">
        <f t="array" aca="1" ref="W421" ca="1">_xlfn.IFS(  OR(Q421&lt;=2, V421="Cancelled"), "BLACKLISTED", AND(P421&gt;=100000, Q421&gt;=4, O421&lt;=10, V421="Completed"), "PLATINUM", AND( P421&lt;=99999, P421&gt;=50000, Q421&gt;=3, V421= "Completed"), "GOLD", AND( P421&lt;50000, V421="Completed"), "SILVER", TRUE, "UNCLASSIFIED")</f>
        <v>#NAME?</v>
      </c>
      <c r="X421" s="19" t="str">
        <f t="shared" si="18"/>
        <v>Rohit Singh</v>
      </c>
      <c r="Y421" s="28" t="str">
        <f t="shared" si="19"/>
        <v>Roh0420Mu</v>
      </c>
      <c r="Z421" s="28" t="str">
        <f t="shared" si="20"/>
        <v>rohit.singh@company.com</v>
      </c>
    </row>
    <row r="422" spans="1:26">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c r="W422" s="24" t="e" cm="1">
        <f t="array" aca="1" ref="W422" ca="1">_xlfn.IFS(  OR(Q422&lt;=2, V422="Cancelled"), "BLACKLISTED", AND(P422&gt;=100000, Q422&gt;=4, O422&lt;=10, V422="Completed"), "PLATINUM", AND( P422&lt;=99999, P422&gt;=50000, Q422&gt;=3, V422= "Completed"), "GOLD", AND( P422&lt;50000, V422="Completed"), "SILVER", TRUE, "UNCLASSIFIED")</f>
        <v>#NAME?</v>
      </c>
      <c r="X422" s="19" t="str">
        <f t="shared" si="18"/>
        <v>Mohit Verma</v>
      </c>
      <c r="Y422" s="28" t="str">
        <f t="shared" si="19"/>
        <v>Moh0421Pu</v>
      </c>
      <c r="Z422" s="28" t="str">
        <f t="shared" si="20"/>
        <v>mohit.verma@company.com</v>
      </c>
    </row>
    <row r="423" spans="1:26">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c r="W423" s="24" t="e" cm="1">
        <f t="array" aca="1" ref="W423" ca="1">_xlfn.IFS(  OR(Q423&lt;=2, V423="Cancelled"), "BLACKLISTED", AND(P423&gt;=100000, Q423&gt;=4, O423&lt;=10, V423="Completed"), "PLATINUM", AND( P423&lt;=99999, P423&gt;=50000, Q423&gt;=3, V423= "Completed"), "GOLD", AND( P423&lt;50000, V423="Completed"), "SILVER", TRUE, "UNCLASSIFIED")</f>
        <v>#NAME?</v>
      </c>
      <c r="X423" s="19" t="str">
        <f t="shared" si="18"/>
        <v>Rohit Singh</v>
      </c>
      <c r="Y423" s="28" t="str">
        <f t="shared" si="19"/>
        <v>Roh0422Ja</v>
      </c>
      <c r="Z423" s="28" t="str">
        <f t="shared" si="20"/>
        <v>rohit.singh@company.com</v>
      </c>
    </row>
    <row r="424" spans="1:26">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c r="W424" s="24" t="e" cm="1">
        <f t="array" aca="1" ref="W424" ca="1">_xlfn.IFS(  OR(Q424&lt;=2, V424="Cancelled"), "BLACKLISTED", AND(P424&gt;=100000, Q424&gt;=4, O424&lt;=10, V424="Completed"), "PLATINUM", AND( P424&lt;=99999, P424&gt;=50000, Q424&gt;=3, V424= "Completed"), "GOLD", AND( P424&lt;50000, V424="Completed"), "SILVER", TRUE, "UNCLASSIFIED")</f>
        <v>#NAME?</v>
      </c>
      <c r="X424" s="19" t="str">
        <f t="shared" si="18"/>
        <v>Amit Sharma</v>
      </c>
      <c r="Y424" s="28" t="str">
        <f t="shared" si="19"/>
        <v>Ami0423Ja</v>
      </c>
      <c r="Z424" s="28" t="str">
        <f t="shared" si="20"/>
        <v>amit.sharma@company.com</v>
      </c>
    </row>
    <row r="425" spans="1:26">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c r="W425" s="24" t="e" cm="1">
        <f t="array" aca="1" ref="W425" ca="1">_xlfn.IFS(  OR(Q425&lt;=2, V425="Cancelled"), "BLACKLISTED", AND(P425&gt;=100000, Q425&gt;=4, O425&lt;=10, V425="Completed"), "PLATINUM", AND( P425&lt;=99999, P425&gt;=50000, Q425&gt;=3, V425= "Completed"), "GOLD", AND( P425&lt;50000, V425="Completed"), "SILVER", TRUE, "UNCLASSIFIED")</f>
        <v>#NAME?</v>
      </c>
      <c r="X425" s="19" t="str">
        <f t="shared" si="18"/>
        <v>Rohit Singh</v>
      </c>
      <c r="Y425" s="28" t="str">
        <f t="shared" si="19"/>
        <v>Roh0424Ko</v>
      </c>
      <c r="Z425" s="28" t="str">
        <f t="shared" si="20"/>
        <v>rohit.singh@company.com</v>
      </c>
    </row>
    <row r="426" spans="1:26">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c r="W426" s="24" t="e" cm="1">
        <f t="array" aca="1" ref="W426" ca="1">_xlfn.IFS(  OR(Q426&lt;=2, V426="Cancelled"), "BLACKLISTED", AND(P426&gt;=100000, Q426&gt;=4, O426&lt;=10, V426="Completed"), "PLATINUM", AND( P426&lt;=99999, P426&gt;=50000, Q426&gt;=3, V426= "Completed"), "GOLD", AND( P426&lt;50000, V426="Completed"), "SILVER", TRUE, "UNCLASSIFIED")</f>
        <v>#NAME?</v>
      </c>
      <c r="X426" s="19" t="str">
        <f t="shared" si="18"/>
        <v>Vikas Mehta</v>
      </c>
      <c r="Y426" s="28" t="str">
        <f t="shared" si="19"/>
        <v>Vik0425Pu</v>
      </c>
      <c r="Z426" s="28" t="str">
        <f t="shared" si="20"/>
        <v>vikas.mehta@company.com</v>
      </c>
    </row>
    <row r="427" spans="1:26">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c r="W427" s="24" t="e" cm="1">
        <f t="array" aca="1" ref="W427" ca="1">_xlfn.IFS(  OR(Q427&lt;=2, V427="Cancelled"), "BLACKLISTED", AND(P427&gt;=100000, Q427&gt;=4, O427&lt;=10, V427="Completed"), "PLATINUM", AND( P427&lt;=99999, P427&gt;=50000, Q427&gt;=3, V427= "Completed"), "GOLD", AND( P427&lt;50000, V427="Completed"), "SILVER", TRUE, "UNCLASSIFIED")</f>
        <v>#NAME?</v>
      </c>
      <c r="X427" s="19" t="str">
        <f t="shared" si="18"/>
        <v>Priya Patel</v>
      </c>
      <c r="Y427" s="28" t="str">
        <f t="shared" si="19"/>
        <v>Pri0426Mu</v>
      </c>
      <c r="Z427" s="28" t="str">
        <f t="shared" si="20"/>
        <v>priya.patel@company.com</v>
      </c>
    </row>
    <row r="428" spans="1:26">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c r="W428" s="24" t="e" cm="1">
        <f t="array" aca="1" ref="W428" ca="1">_xlfn.IFS(  OR(Q428&lt;=2, V428="Cancelled"), "BLACKLISTED", AND(P428&gt;=100000, Q428&gt;=4, O428&lt;=10, V428="Completed"), "PLATINUM", AND( P428&lt;=99999, P428&gt;=50000, Q428&gt;=3, V428= "Completed"), "GOLD", AND( P428&lt;50000, V428="Completed"), "SILVER", TRUE, "UNCLASSIFIED")</f>
        <v>#NAME?</v>
      </c>
      <c r="X428" s="19" t="str">
        <f t="shared" si="18"/>
        <v>Arjun Rao</v>
      </c>
      <c r="Y428" s="28" t="str">
        <f t="shared" si="19"/>
        <v>Arj0427Ja</v>
      </c>
      <c r="Z428" s="28" t="str">
        <f t="shared" si="20"/>
        <v>arjun.rao@company.com</v>
      </c>
    </row>
    <row r="429" spans="1:26">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c r="W429" s="24" t="e" cm="1">
        <f t="array" aca="1" ref="W429" ca="1">_xlfn.IFS(  OR(Q429&lt;=2, V429="Cancelled"), "BLACKLISTED", AND(P429&gt;=100000, Q429&gt;=4, O429&lt;=10, V429="Completed"), "PLATINUM", AND( P429&lt;=99999, P429&gt;=50000, Q429&gt;=3, V429= "Completed"), "GOLD", AND( P429&lt;50000, V429="Completed"), "SILVER", TRUE, "UNCLASSIFIED")</f>
        <v>#NAME?</v>
      </c>
      <c r="X429" s="19" t="str">
        <f t="shared" si="18"/>
        <v>Mohit Verma</v>
      </c>
      <c r="Y429" s="28" t="str">
        <f t="shared" si="19"/>
        <v>Moh0428Pu</v>
      </c>
      <c r="Z429" s="28" t="str">
        <f t="shared" si="20"/>
        <v>mohit.verma@company.com</v>
      </c>
    </row>
    <row r="430" spans="1:26">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c r="W430" s="24" t="e" cm="1">
        <f t="array" aca="1" ref="W430" ca="1">_xlfn.IFS(  OR(Q430&lt;=2, V430="Cancelled"), "BLACKLISTED", AND(P430&gt;=100000, Q430&gt;=4, O430&lt;=10, V430="Completed"), "PLATINUM", AND( P430&lt;=99999, P430&gt;=50000, Q430&gt;=3, V430= "Completed"), "GOLD", AND( P430&lt;50000, V430="Completed"), "SILVER", TRUE, "UNCLASSIFIED")</f>
        <v>#NAME?</v>
      </c>
      <c r="X430" s="19" t="str">
        <f t="shared" si="18"/>
        <v>Sneha Joshi</v>
      </c>
      <c r="Y430" s="28" t="str">
        <f t="shared" si="19"/>
        <v>Sne0429Be</v>
      </c>
      <c r="Z430" s="28" t="str">
        <f t="shared" si="20"/>
        <v>sneha.joshi@company.com</v>
      </c>
    </row>
    <row r="431" spans="1:26">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c r="W431" s="24" t="e" cm="1">
        <f t="array" aca="1" ref="W431" ca="1">_xlfn.IFS(  OR(Q431&lt;=2, V431="Cancelled"), "BLACKLISTED", AND(P431&gt;=100000, Q431&gt;=4, O431&lt;=10, V431="Completed"), "PLATINUM", AND( P431&lt;=99999, P431&gt;=50000, Q431&gt;=3, V431= "Completed"), "GOLD", AND( P431&lt;50000, V431="Completed"), "SILVER", TRUE, "UNCLASSIFIED")</f>
        <v>#NAME?</v>
      </c>
      <c r="X431" s="19" t="str">
        <f t="shared" si="18"/>
        <v>Arjun Rao</v>
      </c>
      <c r="Y431" s="28" t="str">
        <f t="shared" si="19"/>
        <v>Arj0430Ja</v>
      </c>
      <c r="Z431" s="28" t="str">
        <f t="shared" si="20"/>
        <v>arjun.rao@company.com</v>
      </c>
    </row>
    <row r="432" spans="1:26">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c r="W432" s="24" t="e" cm="1">
        <f t="array" aca="1" ref="W432" ca="1">_xlfn.IFS(  OR(Q432&lt;=2, V432="Cancelled"), "BLACKLISTED", AND(P432&gt;=100000, Q432&gt;=4, O432&lt;=10, V432="Completed"), "PLATINUM", AND( P432&lt;=99999, P432&gt;=50000, Q432&gt;=3, V432= "Completed"), "GOLD", AND( P432&lt;50000, V432="Completed"), "SILVER", TRUE, "UNCLASSIFIED")</f>
        <v>#NAME?</v>
      </c>
      <c r="X432" s="19" t="str">
        <f t="shared" si="18"/>
        <v>Pooja Shah</v>
      </c>
      <c r="Y432" s="28" t="str">
        <f t="shared" si="19"/>
        <v>Poo0431Ja</v>
      </c>
      <c r="Z432" s="28" t="str">
        <f t="shared" si="20"/>
        <v>pooja.shah@company.com</v>
      </c>
    </row>
    <row r="433" spans="1:26">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c r="W433" s="24" t="e" cm="1">
        <f t="array" aca="1" ref="W433" ca="1">_xlfn.IFS(  OR(Q433&lt;=2, V433="Cancelled"), "BLACKLISTED", AND(P433&gt;=100000, Q433&gt;=4, O433&lt;=10, V433="Completed"), "PLATINUM", AND( P433&lt;=99999, P433&gt;=50000, Q433&gt;=3, V433= "Completed"), "GOLD", AND( P433&lt;50000, V433="Completed"), "SILVER", TRUE, "UNCLASSIFIED")</f>
        <v>#NAME?</v>
      </c>
      <c r="X433" s="19" t="str">
        <f t="shared" si="18"/>
        <v>Sneha Joshi</v>
      </c>
      <c r="Y433" s="28" t="str">
        <f t="shared" si="19"/>
        <v>Sne0432Mu</v>
      </c>
      <c r="Z433" s="28" t="str">
        <f t="shared" si="20"/>
        <v>sneha.joshi@company.com</v>
      </c>
    </row>
    <row r="434" spans="1:26">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c r="W434" s="24" t="e" cm="1">
        <f t="array" aca="1" ref="W434" ca="1">_xlfn.IFS(  OR(Q434&lt;=2, V434="Cancelled"), "BLACKLISTED", AND(P434&gt;=100000, Q434&gt;=4, O434&lt;=10, V434="Completed"), "PLATINUM", AND( P434&lt;=99999, P434&gt;=50000, Q434&gt;=3, V434= "Completed"), "GOLD", AND( P434&lt;50000, V434="Completed"), "SILVER", TRUE, "UNCLASSIFIED")</f>
        <v>#NAME?</v>
      </c>
      <c r="X434" s="19" t="str">
        <f t="shared" si="18"/>
        <v>Amit Sharma</v>
      </c>
      <c r="Y434" s="28" t="str">
        <f t="shared" si="19"/>
        <v>Ami0433Ko</v>
      </c>
      <c r="Z434" s="28" t="str">
        <f t="shared" si="20"/>
        <v>amit.sharma@company.com</v>
      </c>
    </row>
    <row r="435" spans="1:26">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c r="W435" s="24" t="e" cm="1">
        <f t="array" aca="1" ref="W435" ca="1">_xlfn.IFS(  OR(Q435&lt;=2, V435="Cancelled"), "BLACKLISTED", AND(P435&gt;=100000, Q435&gt;=4, O435&lt;=10, V435="Completed"), "PLATINUM", AND( P435&lt;=99999, P435&gt;=50000, Q435&gt;=3, V435= "Completed"), "GOLD", AND( P435&lt;50000, V435="Completed"), "SILVER", TRUE, "UNCLASSIFIED")</f>
        <v>#NAME?</v>
      </c>
      <c r="X435" s="19" t="str">
        <f t="shared" si="18"/>
        <v>Kavya Nair</v>
      </c>
      <c r="Y435" s="28" t="str">
        <f t="shared" si="19"/>
        <v>Kav0434Ko</v>
      </c>
      <c r="Z435" s="28" t="str">
        <f t="shared" si="20"/>
        <v>kavya.nair@company.com</v>
      </c>
    </row>
    <row r="436" spans="1:26">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c r="W436" s="24" t="e" cm="1">
        <f t="array" aca="1" ref="W436" ca="1">_xlfn.IFS(  OR(Q436&lt;=2, V436="Cancelled"), "BLACKLISTED", AND(P436&gt;=100000, Q436&gt;=4, O436&lt;=10, V436="Completed"), "PLATINUM", AND( P436&lt;=99999, P436&gt;=50000, Q436&gt;=3, V436= "Completed"), "GOLD", AND( P436&lt;50000, V436="Completed"), "SILVER", TRUE, "UNCLASSIFIED")</f>
        <v>#NAME?</v>
      </c>
      <c r="X436" s="19" t="str">
        <f t="shared" si="18"/>
        <v>Amit Sharma</v>
      </c>
      <c r="Y436" s="28" t="str">
        <f t="shared" si="19"/>
        <v>Ami0435Mu</v>
      </c>
      <c r="Z436" s="28" t="str">
        <f t="shared" si="20"/>
        <v>amit.sharma@company.com</v>
      </c>
    </row>
    <row r="437" spans="1:26">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c r="W437" s="24" t="e" cm="1">
        <f t="array" aca="1" ref="W437" ca="1">_xlfn.IFS(  OR(Q437&lt;=2, V437="Cancelled"), "BLACKLISTED", AND(P437&gt;=100000, Q437&gt;=4, O437&lt;=10, V437="Completed"), "PLATINUM", AND( P437&lt;=99999, P437&gt;=50000, Q437&gt;=3, V437= "Completed"), "GOLD", AND( P437&lt;50000, V437="Completed"), "SILVER", TRUE, "UNCLASSIFIED")</f>
        <v>#NAME?</v>
      </c>
      <c r="X437" s="19" t="str">
        <f t="shared" si="18"/>
        <v>Kavya Nair</v>
      </c>
      <c r="Y437" s="28" t="str">
        <f t="shared" si="19"/>
        <v>Kav0436Ah</v>
      </c>
      <c r="Z437" s="28" t="str">
        <f t="shared" si="20"/>
        <v>kavya.nair@company.com</v>
      </c>
    </row>
    <row r="438" spans="1:26">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c r="W438" s="24" t="e" cm="1">
        <f t="array" aca="1" ref="W438" ca="1">_xlfn.IFS(  OR(Q438&lt;=2, V438="Cancelled"), "BLACKLISTED", AND(P438&gt;=100000, Q438&gt;=4, O438&lt;=10, V438="Completed"), "PLATINUM", AND( P438&lt;=99999, P438&gt;=50000, Q438&gt;=3, V438= "Completed"), "GOLD", AND( P438&lt;50000, V438="Completed"), "SILVER", TRUE, "UNCLASSIFIED")</f>
        <v>#NAME?</v>
      </c>
      <c r="X438" s="19" t="str">
        <f t="shared" si="18"/>
        <v>Rohit Singh</v>
      </c>
      <c r="Y438" s="28" t="str">
        <f t="shared" si="19"/>
        <v>Roh0437Hy</v>
      </c>
      <c r="Z438" s="28" t="str">
        <f t="shared" si="20"/>
        <v>rohit.singh@company.com</v>
      </c>
    </row>
    <row r="439" spans="1:26">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c r="W439" s="24" t="e" cm="1">
        <f t="array" aca="1" ref="W439" ca="1">_xlfn.IFS(  OR(Q439&lt;=2, V439="Cancelled"), "BLACKLISTED", AND(P439&gt;=100000, Q439&gt;=4, O439&lt;=10, V439="Completed"), "PLATINUM", AND( P439&lt;=99999, P439&gt;=50000, Q439&gt;=3, V439= "Completed"), "GOLD", AND( P439&lt;50000, V439="Completed"), "SILVER", TRUE, "UNCLASSIFIED")</f>
        <v>#NAME?</v>
      </c>
      <c r="X439" s="19" t="str">
        <f t="shared" si="18"/>
        <v>Priya Patel</v>
      </c>
      <c r="Y439" s="28" t="str">
        <f t="shared" si="19"/>
        <v>Pri0438Ko</v>
      </c>
      <c r="Z439" s="28" t="str">
        <f t="shared" si="20"/>
        <v>priya.patel@company.com</v>
      </c>
    </row>
    <row r="440" spans="1:26">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c r="W440" s="24" t="e" cm="1">
        <f t="array" aca="1" ref="W440" ca="1">_xlfn.IFS(  OR(Q440&lt;=2, V440="Cancelled"), "BLACKLISTED", AND(P440&gt;=100000, Q440&gt;=4, O440&lt;=10, V440="Completed"), "PLATINUM", AND( P440&lt;=99999, P440&gt;=50000, Q440&gt;=3, V440= "Completed"), "GOLD", AND( P440&lt;50000, V440="Completed"), "SILVER", TRUE, "UNCLASSIFIED")</f>
        <v>#NAME?</v>
      </c>
      <c r="X440" s="19" t="str">
        <f t="shared" si="18"/>
        <v>Arjun Rao</v>
      </c>
      <c r="Y440" s="28" t="str">
        <f t="shared" si="19"/>
        <v>Arj0439Ah</v>
      </c>
      <c r="Z440" s="28" t="str">
        <f t="shared" si="20"/>
        <v>arjun.rao@company.com</v>
      </c>
    </row>
    <row r="441" spans="1:26">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c r="W441" s="24" t="e" cm="1">
        <f t="array" aca="1" ref="W441" ca="1">_xlfn.IFS(  OR(Q441&lt;=2, V441="Cancelled"), "BLACKLISTED", AND(P441&gt;=100000, Q441&gt;=4, O441&lt;=10, V441="Completed"), "PLATINUM", AND( P441&lt;=99999, P441&gt;=50000, Q441&gt;=3, V441= "Completed"), "GOLD", AND( P441&lt;50000, V441="Completed"), "SILVER", TRUE, "UNCLASSIFIED")</f>
        <v>#NAME?</v>
      </c>
      <c r="X441" s="19" t="str">
        <f t="shared" si="18"/>
        <v>Arjun Rao</v>
      </c>
      <c r="Y441" s="28" t="str">
        <f t="shared" si="19"/>
        <v>Arj0440De</v>
      </c>
      <c r="Z441" s="28" t="str">
        <f t="shared" si="20"/>
        <v>arjun.rao@company.com</v>
      </c>
    </row>
    <row r="442" spans="1:26">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c r="W442" s="24" t="e" cm="1">
        <f t="array" aca="1" ref="W442" ca="1">_xlfn.IFS(  OR(Q442&lt;=2, V442="Cancelled"), "BLACKLISTED", AND(P442&gt;=100000, Q442&gt;=4, O442&lt;=10, V442="Completed"), "PLATINUM", AND( P442&lt;=99999, P442&gt;=50000, Q442&gt;=3, V442= "Completed"), "GOLD", AND( P442&lt;50000, V442="Completed"), "SILVER", TRUE, "UNCLASSIFIED")</f>
        <v>#NAME?</v>
      </c>
      <c r="X442" s="19" t="str">
        <f t="shared" si="18"/>
        <v>Amit Sharma</v>
      </c>
      <c r="Y442" s="28" t="str">
        <f t="shared" si="19"/>
        <v>Ami0441Ah</v>
      </c>
      <c r="Z442" s="28" t="str">
        <f t="shared" si="20"/>
        <v>amit.sharma@company.com</v>
      </c>
    </row>
    <row r="443" spans="1:26">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c r="W443" s="24" t="e" cm="1">
        <f t="array" aca="1" ref="W443" ca="1">_xlfn.IFS(  OR(Q443&lt;=2, V443="Cancelled"), "BLACKLISTED", AND(P443&gt;=100000, Q443&gt;=4, O443&lt;=10, V443="Completed"), "PLATINUM", AND( P443&lt;=99999, P443&gt;=50000, Q443&gt;=3, V443= "Completed"), "GOLD", AND( P443&lt;50000, V443="Completed"), "SILVER", TRUE, "UNCLASSIFIED")</f>
        <v>#NAME?</v>
      </c>
      <c r="X443" s="19" t="str">
        <f t="shared" si="18"/>
        <v>Arjun Rao</v>
      </c>
      <c r="Y443" s="28" t="str">
        <f t="shared" si="19"/>
        <v>Arj0442Ja</v>
      </c>
      <c r="Z443" s="28" t="str">
        <f t="shared" si="20"/>
        <v>arjun.rao@company.com</v>
      </c>
    </row>
    <row r="444" spans="1:26">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c r="W444" s="24" t="e" cm="1">
        <f t="array" aca="1" ref="W444" ca="1">_xlfn.IFS(  OR(Q444&lt;=2, V444="Cancelled"), "BLACKLISTED", AND(P444&gt;=100000, Q444&gt;=4, O444&lt;=10, V444="Completed"), "PLATINUM", AND( P444&lt;=99999, P444&gt;=50000, Q444&gt;=3, V444= "Completed"), "GOLD", AND( P444&lt;50000, V444="Completed"), "SILVER", TRUE, "UNCLASSIFIED")</f>
        <v>#NAME?</v>
      </c>
      <c r="X444" s="19" t="str">
        <f t="shared" si="18"/>
        <v>Rohit Singh</v>
      </c>
      <c r="Y444" s="28" t="str">
        <f t="shared" si="19"/>
        <v>Roh0443Mu</v>
      </c>
      <c r="Z444" s="28" t="str">
        <f t="shared" si="20"/>
        <v>rohit.singh@company.com</v>
      </c>
    </row>
    <row r="445" spans="1:26">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c r="W445" s="24" t="e" cm="1">
        <f t="array" aca="1" ref="W445" ca="1">_xlfn.IFS(  OR(Q445&lt;=2, V445="Cancelled"), "BLACKLISTED", AND(P445&gt;=100000, Q445&gt;=4, O445&lt;=10, V445="Completed"), "PLATINUM", AND( P445&lt;=99999, P445&gt;=50000, Q445&gt;=3, V445= "Completed"), "GOLD", AND( P445&lt;50000, V445="Completed"), "SILVER", TRUE, "UNCLASSIFIED")</f>
        <v>#NAME?</v>
      </c>
      <c r="X445" s="19" t="str">
        <f t="shared" si="18"/>
        <v>Anita Gupta</v>
      </c>
      <c r="Y445" s="28" t="str">
        <f t="shared" si="19"/>
        <v>Ani0444Ah</v>
      </c>
      <c r="Z445" s="28" t="str">
        <f t="shared" si="20"/>
        <v>anita.gupta@company.com</v>
      </c>
    </row>
    <row r="446" spans="1:26">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c r="W446" s="24" t="e" cm="1">
        <f t="array" aca="1" ref="W446" ca="1">_xlfn.IFS(  OR(Q446&lt;=2, V446="Cancelled"), "BLACKLISTED", AND(P446&gt;=100000, Q446&gt;=4, O446&lt;=10, V446="Completed"), "PLATINUM", AND( P446&lt;=99999, P446&gt;=50000, Q446&gt;=3, V446= "Completed"), "GOLD", AND( P446&lt;50000, V446="Completed"), "SILVER", TRUE, "UNCLASSIFIED")</f>
        <v>#NAME?</v>
      </c>
      <c r="X446" s="19" t="str">
        <f t="shared" si="18"/>
        <v>Pooja Shah</v>
      </c>
      <c r="Y446" s="28" t="str">
        <f t="shared" si="19"/>
        <v>Poo0445Hy</v>
      </c>
      <c r="Z446" s="28" t="str">
        <f t="shared" si="20"/>
        <v>pooja.shah@company.com</v>
      </c>
    </row>
    <row r="447" spans="1:26">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c r="W447" s="24" t="e" cm="1">
        <f t="array" aca="1" ref="W447" ca="1">_xlfn.IFS(  OR(Q447&lt;=2, V447="Cancelled"), "BLACKLISTED", AND(P447&gt;=100000, Q447&gt;=4, O447&lt;=10, V447="Completed"), "PLATINUM", AND( P447&lt;=99999, P447&gt;=50000, Q447&gt;=3, V447= "Completed"), "GOLD", AND( P447&lt;50000, V447="Completed"), "SILVER", TRUE, "UNCLASSIFIED")</f>
        <v>#NAME?</v>
      </c>
      <c r="X447" s="19" t="str">
        <f t="shared" si="18"/>
        <v>Vikas Mehta</v>
      </c>
      <c r="Y447" s="28" t="str">
        <f t="shared" si="19"/>
        <v>Vik0446Hy</v>
      </c>
      <c r="Z447" s="28" t="str">
        <f t="shared" si="20"/>
        <v>vikas.mehta@company.com</v>
      </c>
    </row>
    <row r="448" spans="1:26">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c r="W448" s="24" t="e" cm="1">
        <f t="array" aca="1" ref="W448" ca="1">_xlfn.IFS(  OR(Q448&lt;=2, V448="Cancelled"), "BLACKLISTED", AND(P448&gt;=100000, Q448&gt;=4, O448&lt;=10, V448="Completed"), "PLATINUM", AND( P448&lt;=99999, P448&gt;=50000, Q448&gt;=3, V448= "Completed"), "GOLD", AND( P448&lt;50000, V448="Completed"), "SILVER", TRUE, "UNCLASSIFIED")</f>
        <v>#NAME?</v>
      </c>
      <c r="X448" s="19" t="str">
        <f t="shared" si="18"/>
        <v>Kavya Nair</v>
      </c>
      <c r="Y448" s="28" t="str">
        <f t="shared" si="19"/>
        <v>Kav0447Mu</v>
      </c>
      <c r="Z448" s="28" t="str">
        <f t="shared" si="20"/>
        <v>kavya.nair@company.com</v>
      </c>
    </row>
    <row r="449" spans="1:26">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c r="W449" s="24" t="e" cm="1">
        <f t="array" aca="1" ref="W449" ca="1">_xlfn.IFS(  OR(Q449&lt;=2, V449="Cancelled"), "BLACKLISTED", AND(P449&gt;=100000, Q449&gt;=4, O449&lt;=10, V449="Completed"), "PLATINUM", AND( P449&lt;=99999, P449&gt;=50000, Q449&gt;=3, V449= "Completed"), "GOLD", AND( P449&lt;50000, V449="Completed"), "SILVER", TRUE, "UNCLASSIFIED")</f>
        <v>#NAME?</v>
      </c>
      <c r="X449" s="19" t="str">
        <f t="shared" si="18"/>
        <v>Kavya Nair</v>
      </c>
      <c r="Y449" s="28" t="str">
        <f t="shared" si="19"/>
        <v>Kav0448Pu</v>
      </c>
      <c r="Z449" s="28" t="str">
        <f t="shared" si="20"/>
        <v>kavya.nair@company.com</v>
      </c>
    </row>
    <row r="450" spans="1:26">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c r="W450" s="24" t="e" cm="1">
        <f t="array" aca="1" ref="W450" ca="1">_xlfn.IFS(  OR(Q450&lt;=2, V450="Cancelled"), "BLACKLISTED", AND(P450&gt;=100000, Q450&gt;=4, O450&lt;=10, V450="Completed"), "PLATINUM", AND( P450&lt;=99999, P450&gt;=50000, Q450&gt;=3, V450= "Completed"), "GOLD", AND( P450&lt;50000, V450="Completed"), "SILVER", TRUE, "UNCLASSIFIED")</f>
        <v>#NAME?</v>
      </c>
      <c r="X450" s="19" t="str">
        <f t="shared" si="18"/>
        <v>Amit Sharma</v>
      </c>
      <c r="Y450" s="28" t="str">
        <f t="shared" si="19"/>
        <v>Ami0449Ah</v>
      </c>
      <c r="Z450" s="28" t="str">
        <f t="shared" si="20"/>
        <v>amit.sharma@company.com</v>
      </c>
    </row>
    <row r="451" spans="1:26">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c r="W451" s="24" t="e" cm="1">
        <f t="array" aca="1" ref="W451" ca="1">_xlfn.IFS(  OR(Q451&lt;=2, V451="Cancelled"), "BLACKLISTED", AND(P451&gt;=100000, Q451&gt;=4, O451&lt;=10, V451="Completed"), "PLATINUM", AND( P451&lt;=99999, P451&gt;=50000, Q451&gt;=3, V451= "Completed"), "GOLD", AND( P451&lt;50000, V451="Completed"), "SILVER", TRUE, "UNCLASSIFIED")</f>
        <v>#NAME?</v>
      </c>
      <c r="X451" s="19" t="str">
        <f t="shared" ref="X451:X501" si="21">PROPER(TRIM(F451))</f>
        <v>Amit Sharma</v>
      </c>
      <c r="Y451" s="28" t="str">
        <f t="shared" ref="Y451:Y501" si="22">LEFT(X451,3)&amp;RIGHT(A451,4)&amp;LEFT(I451,2)</f>
        <v>Ami0450Ko</v>
      </c>
      <c r="Z451" s="28" t="str">
        <f t="shared" ref="Z451:Z501" si="23">IF(IFERROR(FIND("@", T451), 0), TRIM(LOWER(T451)), "Invalid Email" )</f>
        <v>amit.sharma@company.com</v>
      </c>
    </row>
    <row r="452" spans="1:26">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c r="W452" s="24" t="e" cm="1">
        <f t="array" aca="1" ref="W452" ca="1">_xlfn.IFS(  OR(Q452&lt;=2, V452="Cancelled"), "BLACKLISTED", AND(P452&gt;=100000, Q452&gt;=4, O452&lt;=10, V452="Completed"), "PLATINUM", AND( P452&lt;=99999, P452&gt;=50000, Q452&gt;=3, V452= "Completed"), "GOLD", AND( P452&lt;50000, V452="Completed"), "SILVER", TRUE, "UNCLASSIFIED")</f>
        <v>#NAME?</v>
      </c>
      <c r="X452" s="19" t="str">
        <f t="shared" si="21"/>
        <v>Mohit Verma</v>
      </c>
      <c r="Y452" s="28" t="str">
        <f t="shared" si="22"/>
        <v>Moh0451Hy</v>
      </c>
      <c r="Z452" s="28" t="str">
        <f t="shared" si="23"/>
        <v>mohit.verma@company.com</v>
      </c>
    </row>
    <row r="453" spans="1:26">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c r="W453" s="24" t="e" cm="1">
        <f t="array" aca="1" ref="W453" ca="1">_xlfn.IFS(  OR(Q453&lt;=2, V453="Cancelled"), "BLACKLISTED", AND(P453&gt;=100000, Q453&gt;=4, O453&lt;=10, V453="Completed"), "PLATINUM", AND( P453&lt;=99999, P453&gt;=50000, Q453&gt;=3, V453= "Completed"), "GOLD", AND( P453&lt;50000, V453="Completed"), "SILVER", TRUE, "UNCLASSIFIED")</f>
        <v>#NAME?</v>
      </c>
      <c r="X453" s="19" t="str">
        <f t="shared" si="21"/>
        <v>Mohit Verma</v>
      </c>
      <c r="Y453" s="28" t="str">
        <f t="shared" si="22"/>
        <v>Moh0452De</v>
      </c>
      <c r="Z453" s="28" t="str">
        <f t="shared" si="23"/>
        <v>mohit.verma@company.com</v>
      </c>
    </row>
    <row r="454" spans="1:26">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c r="W454" s="24" t="e" cm="1">
        <f t="array" aca="1" ref="W454" ca="1">_xlfn.IFS(  OR(Q454&lt;=2, V454="Cancelled"), "BLACKLISTED", AND(P454&gt;=100000, Q454&gt;=4, O454&lt;=10, V454="Completed"), "PLATINUM", AND( P454&lt;=99999, P454&gt;=50000, Q454&gt;=3, V454= "Completed"), "GOLD", AND( P454&lt;50000, V454="Completed"), "SILVER", TRUE, "UNCLASSIFIED")</f>
        <v>#NAME?</v>
      </c>
      <c r="X454" s="19" t="str">
        <f t="shared" si="21"/>
        <v>Pooja Shah</v>
      </c>
      <c r="Y454" s="28" t="str">
        <f t="shared" si="22"/>
        <v>Poo0453Ah</v>
      </c>
      <c r="Z454" s="28" t="str">
        <f t="shared" si="23"/>
        <v>pooja.shah@company.com</v>
      </c>
    </row>
    <row r="455" spans="1:26">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c r="W455" s="24" t="e" cm="1">
        <f t="array" aca="1" ref="W455" ca="1">_xlfn.IFS(  OR(Q455&lt;=2, V455="Cancelled"), "BLACKLISTED", AND(P455&gt;=100000, Q455&gt;=4, O455&lt;=10, V455="Completed"), "PLATINUM", AND( P455&lt;=99999, P455&gt;=50000, Q455&gt;=3, V455= "Completed"), "GOLD", AND( P455&lt;50000, V455="Completed"), "SILVER", TRUE, "UNCLASSIFIED")</f>
        <v>#NAME?</v>
      </c>
      <c r="X455" s="19" t="str">
        <f t="shared" si="21"/>
        <v>Sneha Joshi</v>
      </c>
      <c r="Y455" s="28" t="str">
        <f t="shared" si="22"/>
        <v>Sne0454Ah</v>
      </c>
      <c r="Z455" s="28" t="str">
        <f t="shared" si="23"/>
        <v>sneha.joshi@company.com</v>
      </c>
    </row>
    <row r="456" spans="1:26">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c r="W456" s="24" t="e" cm="1">
        <f t="array" aca="1" ref="W456" ca="1">_xlfn.IFS(  OR(Q456&lt;=2, V456="Cancelled"), "BLACKLISTED", AND(P456&gt;=100000, Q456&gt;=4, O456&lt;=10, V456="Completed"), "PLATINUM", AND( P456&lt;=99999, P456&gt;=50000, Q456&gt;=3, V456= "Completed"), "GOLD", AND( P456&lt;50000, V456="Completed"), "SILVER", TRUE, "UNCLASSIFIED")</f>
        <v>#NAME?</v>
      </c>
      <c r="X456" s="19" t="str">
        <f t="shared" si="21"/>
        <v>Mohit Verma</v>
      </c>
      <c r="Y456" s="28" t="str">
        <f t="shared" si="22"/>
        <v>Moh0455Ko</v>
      </c>
      <c r="Z456" s="28" t="str">
        <f t="shared" si="23"/>
        <v>mohit.verma@company.com</v>
      </c>
    </row>
    <row r="457" spans="1:26">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c r="W457" s="24" t="e" cm="1">
        <f t="array" aca="1" ref="W457" ca="1">_xlfn.IFS(  OR(Q457&lt;=2, V457="Cancelled"), "BLACKLISTED", AND(P457&gt;=100000, Q457&gt;=4, O457&lt;=10, V457="Completed"), "PLATINUM", AND( P457&lt;=99999, P457&gt;=50000, Q457&gt;=3, V457= "Completed"), "GOLD", AND( P457&lt;50000, V457="Completed"), "SILVER", TRUE, "UNCLASSIFIED")</f>
        <v>#NAME?</v>
      </c>
      <c r="X457" s="19" t="str">
        <f t="shared" si="21"/>
        <v>Pooja Shah</v>
      </c>
      <c r="Y457" s="28" t="str">
        <f t="shared" si="22"/>
        <v>Poo0456Pu</v>
      </c>
      <c r="Z457" s="28" t="str">
        <f t="shared" si="23"/>
        <v>pooja.shah@company.com</v>
      </c>
    </row>
    <row r="458" spans="1:26">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c r="W458" s="24" t="e" cm="1">
        <f t="array" aca="1" ref="W458" ca="1">_xlfn.IFS(  OR(Q458&lt;=2, V458="Cancelled"), "BLACKLISTED", AND(P458&gt;=100000, Q458&gt;=4, O458&lt;=10, V458="Completed"), "PLATINUM", AND( P458&lt;=99999, P458&gt;=50000, Q458&gt;=3, V458= "Completed"), "GOLD", AND( P458&lt;50000, V458="Completed"), "SILVER", TRUE, "UNCLASSIFIED")</f>
        <v>#NAME?</v>
      </c>
      <c r="X458" s="19" t="str">
        <f t="shared" si="21"/>
        <v>Amit Sharma</v>
      </c>
      <c r="Y458" s="28" t="str">
        <f t="shared" si="22"/>
        <v>Ami0457Be</v>
      </c>
      <c r="Z458" s="28" t="str">
        <f t="shared" si="23"/>
        <v>amit.sharma@company.com</v>
      </c>
    </row>
    <row r="459" spans="1:26">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c r="W459" s="24" t="e" cm="1">
        <f t="array" aca="1" ref="W459" ca="1">_xlfn.IFS(  OR(Q459&lt;=2, V459="Cancelled"), "BLACKLISTED", AND(P459&gt;=100000, Q459&gt;=4, O459&lt;=10, V459="Completed"), "PLATINUM", AND( P459&lt;=99999, P459&gt;=50000, Q459&gt;=3, V459= "Completed"), "GOLD", AND( P459&lt;50000, V459="Completed"), "SILVER", TRUE, "UNCLASSIFIED")</f>
        <v>#NAME?</v>
      </c>
      <c r="X459" s="19" t="str">
        <f t="shared" si="21"/>
        <v>Priya Patel</v>
      </c>
      <c r="Y459" s="28" t="str">
        <f t="shared" si="22"/>
        <v>Pri0458Ah</v>
      </c>
      <c r="Z459" s="28" t="str">
        <f t="shared" si="23"/>
        <v>priya.patel@company.com</v>
      </c>
    </row>
    <row r="460" spans="1:26">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c r="W460" s="24" t="e" cm="1">
        <f t="array" aca="1" ref="W460" ca="1">_xlfn.IFS(  OR(Q460&lt;=2, V460="Cancelled"), "BLACKLISTED", AND(P460&gt;=100000, Q460&gt;=4, O460&lt;=10, V460="Completed"), "PLATINUM", AND( P460&lt;=99999, P460&gt;=50000, Q460&gt;=3, V460= "Completed"), "GOLD", AND( P460&lt;50000, V460="Completed"), "SILVER", TRUE, "UNCLASSIFIED")</f>
        <v>#NAME?</v>
      </c>
      <c r="X460" s="19" t="str">
        <f t="shared" si="21"/>
        <v>Vikas Mehta</v>
      </c>
      <c r="Y460" s="28" t="str">
        <f t="shared" si="22"/>
        <v>Vik0459Mu</v>
      </c>
      <c r="Z460" s="28" t="str">
        <f t="shared" si="23"/>
        <v>vikas.mehta@company.com</v>
      </c>
    </row>
    <row r="461" spans="1:26">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c r="W461" s="24" t="e" cm="1">
        <f t="array" aca="1" ref="W461" ca="1">_xlfn.IFS(  OR(Q461&lt;=2, V461="Cancelled"), "BLACKLISTED", AND(P461&gt;=100000, Q461&gt;=4, O461&lt;=10, V461="Completed"), "PLATINUM", AND( P461&lt;=99999, P461&gt;=50000, Q461&gt;=3, V461= "Completed"), "GOLD", AND( P461&lt;50000, V461="Completed"), "SILVER", TRUE, "UNCLASSIFIED")</f>
        <v>#NAME?</v>
      </c>
      <c r="X461" s="19" t="str">
        <f t="shared" si="21"/>
        <v>Amit Sharma</v>
      </c>
      <c r="Y461" s="28" t="str">
        <f t="shared" si="22"/>
        <v>Ami0460Be</v>
      </c>
      <c r="Z461" s="28" t="str">
        <f t="shared" si="23"/>
        <v>amit.sharma@company.com</v>
      </c>
    </row>
    <row r="462" spans="1:26">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c r="W462" s="24" t="e" cm="1">
        <f t="array" aca="1" ref="W462" ca="1">_xlfn.IFS(  OR(Q462&lt;=2, V462="Cancelled"), "BLACKLISTED", AND(P462&gt;=100000, Q462&gt;=4, O462&lt;=10, V462="Completed"), "PLATINUM", AND( P462&lt;=99999, P462&gt;=50000, Q462&gt;=3, V462= "Completed"), "GOLD", AND( P462&lt;50000, V462="Completed"), "SILVER", TRUE, "UNCLASSIFIED")</f>
        <v>#NAME?</v>
      </c>
      <c r="X462" s="19" t="str">
        <f t="shared" si="21"/>
        <v>Amit Sharma</v>
      </c>
      <c r="Y462" s="28" t="str">
        <f t="shared" si="22"/>
        <v>Ami0461De</v>
      </c>
      <c r="Z462" s="28" t="str">
        <f t="shared" si="23"/>
        <v>amit.sharma@company.com</v>
      </c>
    </row>
    <row r="463" spans="1:26">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c r="W463" s="24" t="e" cm="1">
        <f t="array" aca="1" ref="W463" ca="1">_xlfn.IFS(  OR(Q463&lt;=2, V463="Cancelled"), "BLACKLISTED", AND(P463&gt;=100000, Q463&gt;=4, O463&lt;=10, V463="Completed"), "PLATINUM", AND( P463&lt;=99999, P463&gt;=50000, Q463&gt;=3, V463= "Completed"), "GOLD", AND( P463&lt;50000, V463="Completed"), "SILVER", TRUE, "UNCLASSIFIED")</f>
        <v>#NAME?</v>
      </c>
      <c r="X463" s="19" t="str">
        <f t="shared" si="21"/>
        <v>Rohit Singh</v>
      </c>
      <c r="Y463" s="28" t="str">
        <f t="shared" si="22"/>
        <v>Roh0462De</v>
      </c>
      <c r="Z463" s="28" t="str">
        <f t="shared" si="23"/>
        <v>rohit.singh@company.com</v>
      </c>
    </row>
    <row r="464" spans="1:26">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c r="W464" s="24" t="e" cm="1">
        <f t="array" aca="1" ref="W464" ca="1">_xlfn.IFS(  OR(Q464&lt;=2, V464="Cancelled"), "BLACKLISTED", AND(P464&gt;=100000, Q464&gt;=4, O464&lt;=10, V464="Completed"), "PLATINUM", AND( P464&lt;=99999, P464&gt;=50000, Q464&gt;=3, V464= "Completed"), "GOLD", AND( P464&lt;50000, V464="Completed"), "SILVER", TRUE, "UNCLASSIFIED")</f>
        <v>#NAME?</v>
      </c>
      <c r="X464" s="19" t="str">
        <f t="shared" si="21"/>
        <v>Mohit Verma</v>
      </c>
      <c r="Y464" s="28" t="str">
        <f t="shared" si="22"/>
        <v>Moh0463Hy</v>
      </c>
      <c r="Z464" s="28" t="str">
        <f t="shared" si="23"/>
        <v>mohit.verma@company.com</v>
      </c>
    </row>
    <row r="465" spans="1:26">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c r="W465" s="24" t="e" cm="1">
        <f t="array" aca="1" ref="W465" ca="1">_xlfn.IFS(  OR(Q465&lt;=2, V465="Cancelled"), "BLACKLISTED", AND(P465&gt;=100000, Q465&gt;=4, O465&lt;=10, V465="Completed"), "PLATINUM", AND( P465&lt;=99999, P465&gt;=50000, Q465&gt;=3, V465= "Completed"), "GOLD", AND( P465&lt;50000, V465="Completed"), "SILVER", TRUE, "UNCLASSIFIED")</f>
        <v>#NAME?</v>
      </c>
      <c r="X465" s="19" t="str">
        <f t="shared" si="21"/>
        <v>Rohit Singh</v>
      </c>
      <c r="Y465" s="28" t="str">
        <f t="shared" si="22"/>
        <v>Roh0464Pu</v>
      </c>
      <c r="Z465" s="28" t="str">
        <f t="shared" si="23"/>
        <v>rohit.singh@company.com</v>
      </c>
    </row>
    <row r="466" spans="1:26">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c r="W466" s="24" t="e" cm="1">
        <f t="array" aca="1" ref="W466" ca="1">_xlfn.IFS(  OR(Q466&lt;=2, V466="Cancelled"), "BLACKLISTED", AND(P466&gt;=100000, Q466&gt;=4, O466&lt;=10, V466="Completed"), "PLATINUM", AND( P466&lt;=99999, P466&gt;=50000, Q466&gt;=3, V466= "Completed"), "GOLD", AND( P466&lt;50000, V466="Completed"), "SILVER", TRUE, "UNCLASSIFIED")</f>
        <v>#NAME?</v>
      </c>
      <c r="X466" s="19" t="str">
        <f t="shared" si="21"/>
        <v>Mohit Verma</v>
      </c>
      <c r="Y466" s="28" t="str">
        <f t="shared" si="22"/>
        <v>Moh0465Be</v>
      </c>
      <c r="Z466" s="28" t="str">
        <f t="shared" si="23"/>
        <v>mohit.verma@company.com</v>
      </c>
    </row>
    <row r="467" spans="1:26">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c r="W467" s="24" t="e" cm="1">
        <f t="array" aca="1" ref="W467" ca="1">_xlfn.IFS(  OR(Q467&lt;=2, V467="Cancelled"), "BLACKLISTED", AND(P467&gt;=100000, Q467&gt;=4, O467&lt;=10, V467="Completed"), "PLATINUM", AND( P467&lt;=99999, P467&gt;=50000, Q467&gt;=3, V467= "Completed"), "GOLD", AND( P467&lt;50000, V467="Completed"), "SILVER", TRUE, "UNCLASSIFIED")</f>
        <v>#NAME?</v>
      </c>
      <c r="X467" s="19" t="str">
        <f t="shared" si="21"/>
        <v>Arjun Rao</v>
      </c>
      <c r="Y467" s="28" t="str">
        <f t="shared" si="22"/>
        <v>Arj0466Ja</v>
      </c>
      <c r="Z467" s="28" t="str">
        <f t="shared" si="23"/>
        <v>arjun.rao@company.com</v>
      </c>
    </row>
    <row r="468" spans="1:26">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c r="W468" s="24" t="e" cm="1">
        <f t="array" aca="1" ref="W468" ca="1">_xlfn.IFS(  OR(Q468&lt;=2, V468="Cancelled"), "BLACKLISTED", AND(P468&gt;=100000, Q468&gt;=4, O468&lt;=10, V468="Completed"), "PLATINUM", AND( P468&lt;=99999, P468&gt;=50000, Q468&gt;=3, V468= "Completed"), "GOLD", AND( P468&lt;50000, V468="Completed"), "SILVER", TRUE, "UNCLASSIFIED")</f>
        <v>#NAME?</v>
      </c>
      <c r="X468" s="19" t="str">
        <f t="shared" si="21"/>
        <v>Pooja Shah</v>
      </c>
      <c r="Y468" s="28" t="str">
        <f t="shared" si="22"/>
        <v>Poo0467Pu</v>
      </c>
      <c r="Z468" s="28" t="str">
        <f t="shared" si="23"/>
        <v>pooja.shah@company.com</v>
      </c>
    </row>
    <row r="469" spans="1:26">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c r="W469" s="24" t="e" cm="1">
        <f t="array" aca="1" ref="W469" ca="1">_xlfn.IFS(  OR(Q469&lt;=2, V469="Cancelled"), "BLACKLISTED", AND(P469&gt;=100000, Q469&gt;=4, O469&lt;=10, V469="Completed"), "PLATINUM", AND( P469&lt;=99999, P469&gt;=50000, Q469&gt;=3, V469= "Completed"), "GOLD", AND( P469&lt;50000, V469="Completed"), "SILVER", TRUE, "UNCLASSIFIED")</f>
        <v>#NAME?</v>
      </c>
      <c r="X469" s="19" t="str">
        <f t="shared" si="21"/>
        <v>Kavya Nair</v>
      </c>
      <c r="Y469" s="28" t="str">
        <f t="shared" si="22"/>
        <v>Kav0468Ah</v>
      </c>
      <c r="Z469" s="28" t="str">
        <f t="shared" si="23"/>
        <v>kavya.nair@company.com</v>
      </c>
    </row>
    <row r="470" spans="1:26">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c r="W470" s="24" t="e" cm="1">
        <f t="array" aca="1" ref="W470" ca="1">_xlfn.IFS(  OR(Q470&lt;=2, V470="Cancelled"), "BLACKLISTED", AND(P470&gt;=100000, Q470&gt;=4, O470&lt;=10, V470="Completed"), "PLATINUM", AND( P470&lt;=99999, P470&gt;=50000, Q470&gt;=3, V470= "Completed"), "GOLD", AND( P470&lt;50000, V470="Completed"), "SILVER", TRUE, "UNCLASSIFIED")</f>
        <v>#NAME?</v>
      </c>
      <c r="X470" s="19" t="str">
        <f t="shared" si="21"/>
        <v>Priya Patel</v>
      </c>
      <c r="Y470" s="28" t="str">
        <f t="shared" si="22"/>
        <v>Pri0469Mu</v>
      </c>
      <c r="Z470" s="28" t="str">
        <f t="shared" si="23"/>
        <v>priya.patel@company.com</v>
      </c>
    </row>
    <row r="471" spans="1:26">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c r="W471" s="24" t="e" cm="1">
        <f t="array" aca="1" ref="W471" ca="1">_xlfn.IFS(  OR(Q471&lt;=2, V471="Cancelled"), "BLACKLISTED", AND(P471&gt;=100000, Q471&gt;=4, O471&lt;=10, V471="Completed"), "PLATINUM", AND( P471&lt;=99999, P471&gt;=50000, Q471&gt;=3, V471= "Completed"), "GOLD", AND( P471&lt;50000, V471="Completed"), "SILVER", TRUE, "UNCLASSIFIED")</f>
        <v>#NAME?</v>
      </c>
      <c r="X471" s="19" t="str">
        <f t="shared" si="21"/>
        <v>Amit Sharma</v>
      </c>
      <c r="Y471" s="28" t="str">
        <f t="shared" si="22"/>
        <v>Ami0470Pu</v>
      </c>
      <c r="Z471" s="28" t="str">
        <f t="shared" si="23"/>
        <v>amit.sharma@company.com</v>
      </c>
    </row>
    <row r="472" spans="1:26">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c r="W472" s="24" t="e" cm="1">
        <f t="array" aca="1" ref="W472" ca="1">_xlfn.IFS(  OR(Q472&lt;=2, V472="Cancelled"), "BLACKLISTED", AND(P472&gt;=100000, Q472&gt;=4, O472&lt;=10, V472="Completed"), "PLATINUM", AND( P472&lt;=99999, P472&gt;=50000, Q472&gt;=3, V472= "Completed"), "GOLD", AND( P472&lt;50000, V472="Completed"), "SILVER", TRUE, "UNCLASSIFIED")</f>
        <v>#NAME?</v>
      </c>
      <c r="X472" s="19" t="str">
        <f t="shared" si="21"/>
        <v>Kavya Nair</v>
      </c>
      <c r="Y472" s="28" t="str">
        <f t="shared" si="22"/>
        <v>Kav0471Be</v>
      </c>
      <c r="Z472" s="28" t="str">
        <f t="shared" si="23"/>
        <v>kavya.nair@company.com</v>
      </c>
    </row>
    <row r="473" spans="1:26">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c r="W473" s="24" t="e" cm="1">
        <f t="array" aca="1" ref="W473" ca="1">_xlfn.IFS(  OR(Q473&lt;=2, V473="Cancelled"), "BLACKLISTED", AND(P473&gt;=100000, Q473&gt;=4, O473&lt;=10, V473="Completed"), "PLATINUM", AND( P473&lt;=99999, P473&gt;=50000, Q473&gt;=3, V473= "Completed"), "GOLD", AND( P473&lt;50000, V473="Completed"), "SILVER", TRUE, "UNCLASSIFIED")</f>
        <v>#NAME?</v>
      </c>
      <c r="X473" s="19" t="str">
        <f t="shared" si="21"/>
        <v>Pooja Shah</v>
      </c>
      <c r="Y473" s="28" t="str">
        <f t="shared" si="22"/>
        <v>Poo0472Pu</v>
      </c>
      <c r="Z473" s="28" t="str">
        <f t="shared" si="23"/>
        <v>pooja.shah@company.com</v>
      </c>
    </row>
    <row r="474" spans="1:26">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c r="W474" s="24" t="e" cm="1">
        <f t="array" aca="1" ref="W474" ca="1">_xlfn.IFS(  OR(Q474&lt;=2, V474="Cancelled"), "BLACKLISTED", AND(P474&gt;=100000, Q474&gt;=4, O474&lt;=10, V474="Completed"), "PLATINUM", AND( P474&lt;=99999, P474&gt;=50000, Q474&gt;=3, V474= "Completed"), "GOLD", AND( P474&lt;50000, V474="Completed"), "SILVER", TRUE, "UNCLASSIFIED")</f>
        <v>#NAME?</v>
      </c>
      <c r="X474" s="19" t="str">
        <f t="shared" si="21"/>
        <v>Sneha Joshi</v>
      </c>
      <c r="Y474" s="28" t="str">
        <f t="shared" si="22"/>
        <v>Sne0473De</v>
      </c>
      <c r="Z474" s="28" t="str">
        <f t="shared" si="23"/>
        <v>sneha.joshi@company.com</v>
      </c>
    </row>
    <row r="475" spans="1:26">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c r="W475" s="24" t="e" cm="1">
        <f t="array" aca="1" ref="W475" ca="1">_xlfn.IFS(  OR(Q475&lt;=2, V475="Cancelled"), "BLACKLISTED", AND(P475&gt;=100000, Q475&gt;=4, O475&lt;=10, V475="Completed"), "PLATINUM", AND( P475&lt;=99999, P475&gt;=50000, Q475&gt;=3, V475= "Completed"), "GOLD", AND( P475&lt;50000, V475="Completed"), "SILVER", TRUE, "UNCLASSIFIED")</f>
        <v>#NAME?</v>
      </c>
      <c r="X475" s="19" t="str">
        <f t="shared" si="21"/>
        <v>Mohit Verma</v>
      </c>
      <c r="Y475" s="28" t="str">
        <f t="shared" si="22"/>
        <v>Moh0474De</v>
      </c>
      <c r="Z475" s="28" t="str">
        <f t="shared" si="23"/>
        <v>mohit.verma@company.com</v>
      </c>
    </row>
    <row r="476" spans="1:26">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c r="W476" s="24" t="e" cm="1">
        <f t="array" aca="1" ref="W476" ca="1">_xlfn.IFS(  OR(Q476&lt;=2, V476="Cancelled"), "BLACKLISTED", AND(P476&gt;=100000, Q476&gt;=4, O476&lt;=10, V476="Completed"), "PLATINUM", AND( P476&lt;=99999, P476&gt;=50000, Q476&gt;=3, V476= "Completed"), "GOLD", AND( P476&lt;50000, V476="Completed"), "SILVER", TRUE, "UNCLASSIFIED")</f>
        <v>#NAME?</v>
      </c>
      <c r="X476" s="19" t="str">
        <f t="shared" si="21"/>
        <v>Amit Sharma</v>
      </c>
      <c r="Y476" s="28" t="str">
        <f t="shared" si="22"/>
        <v>Ami0475Mu</v>
      </c>
      <c r="Z476" s="28" t="str">
        <f t="shared" si="23"/>
        <v>amit.sharma@company.com</v>
      </c>
    </row>
    <row r="477" spans="1:26">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c r="W477" s="24" t="e" cm="1">
        <f t="array" aca="1" ref="W477" ca="1">_xlfn.IFS(  OR(Q477&lt;=2, V477="Cancelled"), "BLACKLISTED", AND(P477&gt;=100000, Q477&gt;=4, O477&lt;=10, V477="Completed"), "PLATINUM", AND( P477&lt;=99999, P477&gt;=50000, Q477&gt;=3, V477= "Completed"), "GOLD", AND( P477&lt;50000, V477="Completed"), "SILVER", TRUE, "UNCLASSIFIED")</f>
        <v>#NAME?</v>
      </c>
      <c r="X477" s="19" t="str">
        <f t="shared" si="21"/>
        <v>Rohit Singh</v>
      </c>
      <c r="Y477" s="28" t="str">
        <f t="shared" si="22"/>
        <v>Roh0476Ko</v>
      </c>
      <c r="Z477" s="28" t="str">
        <f t="shared" si="23"/>
        <v>rohit.singh@company.com</v>
      </c>
    </row>
    <row r="478" spans="1:26">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c r="W478" s="24" t="e" cm="1">
        <f t="array" aca="1" ref="W478" ca="1">_xlfn.IFS(  OR(Q478&lt;=2, V478="Cancelled"), "BLACKLISTED", AND(P478&gt;=100000, Q478&gt;=4, O478&lt;=10, V478="Completed"), "PLATINUM", AND( P478&lt;=99999, P478&gt;=50000, Q478&gt;=3, V478= "Completed"), "GOLD", AND( P478&lt;50000, V478="Completed"), "SILVER", TRUE, "UNCLASSIFIED")</f>
        <v>#NAME?</v>
      </c>
      <c r="X478" s="19" t="str">
        <f t="shared" si="21"/>
        <v>Pooja Shah</v>
      </c>
      <c r="Y478" s="28" t="str">
        <f t="shared" si="22"/>
        <v>Poo0477Mu</v>
      </c>
      <c r="Z478" s="28" t="str">
        <f t="shared" si="23"/>
        <v>pooja.shah@company.com</v>
      </c>
    </row>
    <row r="479" spans="1:26">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c r="W479" s="24" t="e" cm="1">
        <f t="array" aca="1" ref="W479" ca="1">_xlfn.IFS(  OR(Q479&lt;=2, V479="Cancelled"), "BLACKLISTED", AND(P479&gt;=100000, Q479&gt;=4, O479&lt;=10, V479="Completed"), "PLATINUM", AND( P479&lt;=99999, P479&gt;=50000, Q479&gt;=3, V479= "Completed"), "GOLD", AND( P479&lt;50000, V479="Completed"), "SILVER", TRUE, "UNCLASSIFIED")</f>
        <v>#NAME?</v>
      </c>
      <c r="X479" s="19" t="str">
        <f t="shared" si="21"/>
        <v>Kavya Nair</v>
      </c>
      <c r="Y479" s="28" t="str">
        <f t="shared" si="22"/>
        <v>Kav0478Be</v>
      </c>
      <c r="Z479" s="28" t="str">
        <f t="shared" si="23"/>
        <v>kavya.nair@company.com</v>
      </c>
    </row>
    <row r="480" spans="1:26">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c r="W480" s="24" t="e" cm="1">
        <f t="array" aca="1" ref="W480" ca="1">_xlfn.IFS(  OR(Q480&lt;=2, V480="Cancelled"), "BLACKLISTED", AND(P480&gt;=100000, Q480&gt;=4, O480&lt;=10, V480="Completed"), "PLATINUM", AND( P480&lt;=99999, P480&gt;=50000, Q480&gt;=3, V480= "Completed"), "GOLD", AND( P480&lt;50000, V480="Completed"), "SILVER", TRUE, "UNCLASSIFIED")</f>
        <v>#NAME?</v>
      </c>
      <c r="X480" s="19" t="str">
        <f t="shared" si="21"/>
        <v>Anita Gupta</v>
      </c>
      <c r="Y480" s="28" t="str">
        <f t="shared" si="22"/>
        <v>Ani0479Ko</v>
      </c>
      <c r="Z480" s="28" t="str">
        <f t="shared" si="23"/>
        <v>anita.gupta@company.com</v>
      </c>
    </row>
    <row r="481" spans="1:26">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c r="W481" s="24" t="e" cm="1">
        <f t="array" aca="1" ref="W481" ca="1">_xlfn.IFS(  OR(Q481&lt;=2, V481="Cancelled"), "BLACKLISTED", AND(P481&gt;=100000, Q481&gt;=4, O481&lt;=10, V481="Completed"), "PLATINUM", AND( P481&lt;=99999, P481&gt;=50000, Q481&gt;=3, V481= "Completed"), "GOLD", AND( P481&lt;50000, V481="Completed"), "SILVER", TRUE, "UNCLASSIFIED")</f>
        <v>#NAME?</v>
      </c>
      <c r="X481" s="19" t="str">
        <f t="shared" si="21"/>
        <v>Rohit Singh</v>
      </c>
      <c r="Y481" s="28" t="str">
        <f t="shared" si="22"/>
        <v>Roh0480Ah</v>
      </c>
      <c r="Z481" s="28" t="str">
        <f t="shared" si="23"/>
        <v>rohit.singh@company.com</v>
      </c>
    </row>
    <row r="482" spans="1:26">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c r="W482" s="24" t="e" cm="1">
        <f t="array" aca="1" ref="W482" ca="1">_xlfn.IFS(  OR(Q482&lt;=2, V482="Cancelled"), "BLACKLISTED", AND(P482&gt;=100000, Q482&gt;=4, O482&lt;=10, V482="Completed"), "PLATINUM", AND( P482&lt;=99999, P482&gt;=50000, Q482&gt;=3, V482= "Completed"), "GOLD", AND( P482&lt;50000, V482="Completed"), "SILVER", TRUE, "UNCLASSIFIED")</f>
        <v>#NAME?</v>
      </c>
      <c r="X482" s="19" t="str">
        <f t="shared" si="21"/>
        <v>Kavya Nair</v>
      </c>
      <c r="Y482" s="28" t="str">
        <f t="shared" si="22"/>
        <v>Kav0481Be</v>
      </c>
      <c r="Z482" s="28" t="str">
        <f t="shared" si="23"/>
        <v>kavya.nair@company.com</v>
      </c>
    </row>
    <row r="483" spans="1:26">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c r="W483" s="24" t="e" cm="1">
        <f t="array" aca="1" ref="W483" ca="1">_xlfn.IFS(  OR(Q483&lt;=2, V483="Cancelled"), "BLACKLISTED", AND(P483&gt;=100000, Q483&gt;=4, O483&lt;=10, V483="Completed"), "PLATINUM", AND( P483&lt;=99999, P483&gt;=50000, Q483&gt;=3, V483= "Completed"), "GOLD", AND( P483&lt;50000, V483="Completed"), "SILVER", TRUE, "UNCLASSIFIED")</f>
        <v>#NAME?</v>
      </c>
      <c r="X483" s="19" t="str">
        <f t="shared" si="21"/>
        <v>Rohit Singh</v>
      </c>
      <c r="Y483" s="28" t="str">
        <f t="shared" si="22"/>
        <v>Roh0482Ko</v>
      </c>
      <c r="Z483" s="28" t="str">
        <f t="shared" si="23"/>
        <v>rohit.singh@company.com</v>
      </c>
    </row>
    <row r="484" spans="1:26">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c r="W484" s="24" t="e" cm="1">
        <f t="array" aca="1" ref="W484" ca="1">_xlfn.IFS(  OR(Q484&lt;=2, V484="Cancelled"), "BLACKLISTED", AND(P484&gt;=100000, Q484&gt;=4, O484&lt;=10, V484="Completed"), "PLATINUM", AND( P484&lt;=99999, P484&gt;=50000, Q484&gt;=3, V484= "Completed"), "GOLD", AND( P484&lt;50000, V484="Completed"), "SILVER", TRUE, "UNCLASSIFIED")</f>
        <v>#NAME?</v>
      </c>
      <c r="X484" s="19" t="str">
        <f t="shared" si="21"/>
        <v>Mohit Verma</v>
      </c>
      <c r="Y484" s="28" t="str">
        <f t="shared" si="22"/>
        <v>Moh0483Ko</v>
      </c>
      <c r="Z484" s="28" t="str">
        <f t="shared" si="23"/>
        <v>mohit.verma@company.com</v>
      </c>
    </row>
    <row r="485" spans="1:26">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c r="W485" s="24" t="e" cm="1">
        <f t="array" aca="1" ref="W485" ca="1">_xlfn.IFS(  OR(Q485&lt;=2, V485="Cancelled"), "BLACKLISTED", AND(P485&gt;=100000, Q485&gt;=4, O485&lt;=10, V485="Completed"), "PLATINUM", AND( P485&lt;=99999, P485&gt;=50000, Q485&gt;=3, V485= "Completed"), "GOLD", AND( P485&lt;50000, V485="Completed"), "SILVER", TRUE, "UNCLASSIFIED")</f>
        <v>#NAME?</v>
      </c>
      <c r="X485" s="19" t="str">
        <f t="shared" si="21"/>
        <v>Kavya Nair</v>
      </c>
      <c r="Y485" s="28" t="str">
        <f t="shared" si="22"/>
        <v>Kav0484Hy</v>
      </c>
      <c r="Z485" s="28" t="str">
        <f t="shared" si="23"/>
        <v>kavya.nair@company.com</v>
      </c>
    </row>
    <row r="486" spans="1:26">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c r="W486" s="24" t="e" cm="1">
        <f t="array" aca="1" ref="W486" ca="1">_xlfn.IFS(  OR(Q486&lt;=2, V486="Cancelled"), "BLACKLISTED", AND(P486&gt;=100000, Q486&gt;=4, O486&lt;=10, V486="Completed"), "PLATINUM", AND( P486&lt;=99999, P486&gt;=50000, Q486&gt;=3, V486= "Completed"), "GOLD", AND( P486&lt;50000, V486="Completed"), "SILVER", TRUE, "UNCLASSIFIED")</f>
        <v>#NAME?</v>
      </c>
      <c r="X486" s="19" t="str">
        <f t="shared" si="21"/>
        <v>Amit Sharma</v>
      </c>
      <c r="Y486" s="28" t="str">
        <f t="shared" si="22"/>
        <v>Ami0485Ah</v>
      </c>
      <c r="Z486" s="28" t="str">
        <f t="shared" si="23"/>
        <v>amit.sharma@company.com</v>
      </c>
    </row>
    <row r="487" spans="1:26">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c r="W487" s="24" t="e" cm="1">
        <f t="array" aca="1" ref="W487" ca="1">_xlfn.IFS(  OR(Q487&lt;=2, V487="Cancelled"), "BLACKLISTED", AND(P487&gt;=100000, Q487&gt;=4, O487&lt;=10, V487="Completed"), "PLATINUM", AND( P487&lt;=99999, P487&gt;=50000, Q487&gt;=3, V487= "Completed"), "GOLD", AND( P487&lt;50000, V487="Completed"), "SILVER", TRUE, "UNCLASSIFIED")</f>
        <v>#NAME?</v>
      </c>
      <c r="X487" s="19" t="str">
        <f t="shared" si="21"/>
        <v>Priya Patel</v>
      </c>
      <c r="Y487" s="28" t="str">
        <f t="shared" si="22"/>
        <v>Pri0486Ja</v>
      </c>
      <c r="Z487" s="28" t="str">
        <f t="shared" si="23"/>
        <v>priya.patel@company.com</v>
      </c>
    </row>
    <row r="488" spans="1:26">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c r="W488" s="24" t="e" cm="1">
        <f t="array" aca="1" ref="W488" ca="1">_xlfn.IFS(  OR(Q488&lt;=2, V488="Cancelled"), "BLACKLISTED", AND(P488&gt;=100000, Q488&gt;=4, O488&lt;=10, V488="Completed"), "PLATINUM", AND( P488&lt;=99999, P488&gt;=50000, Q488&gt;=3, V488= "Completed"), "GOLD", AND( P488&lt;50000, V488="Completed"), "SILVER", TRUE, "UNCLASSIFIED")</f>
        <v>#NAME?</v>
      </c>
      <c r="X488" s="19" t="str">
        <f t="shared" si="21"/>
        <v>Sneha Joshi</v>
      </c>
      <c r="Y488" s="28" t="str">
        <f t="shared" si="22"/>
        <v>Sne0487Ko</v>
      </c>
      <c r="Z488" s="28" t="str">
        <f t="shared" si="23"/>
        <v>sneha.joshi@company.com</v>
      </c>
    </row>
    <row r="489" spans="1:26">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c r="W489" s="24" t="e" cm="1">
        <f t="array" aca="1" ref="W489" ca="1">_xlfn.IFS(  OR(Q489&lt;=2, V489="Cancelled"), "BLACKLISTED", AND(P489&gt;=100000, Q489&gt;=4, O489&lt;=10, V489="Completed"), "PLATINUM", AND( P489&lt;=99999, P489&gt;=50000, Q489&gt;=3, V489= "Completed"), "GOLD", AND( P489&lt;50000, V489="Completed"), "SILVER", TRUE, "UNCLASSIFIED")</f>
        <v>#NAME?</v>
      </c>
      <c r="X489" s="19" t="str">
        <f t="shared" si="21"/>
        <v>Pooja Shah</v>
      </c>
      <c r="Y489" s="28" t="str">
        <f t="shared" si="22"/>
        <v>Poo0488Ko</v>
      </c>
      <c r="Z489" s="28" t="str">
        <f t="shared" si="23"/>
        <v>pooja.shah@company.com</v>
      </c>
    </row>
    <row r="490" spans="1:26">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c r="W490" s="24" t="e" cm="1">
        <f t="array" aca="1" ref="W490" ca="1">_xlfn.IFS(  OR(Q490&lt;=2, V490="Cancelled"), "BLACKLISTED", AND(P490&gt;=100000, Q490&gt;=4, O490&lt;=10, V490="Completed"), "PLATINUM", AND( P490&lt;=99999, P490&gt;=50000, Q490&gt;=3, V490= "Completed"), "GOLD", AND( P490&lt;50000, V490="Completed"), "SILVER", TRUE, "UNCLASSIFIED")</f>
        <v>#NAME?</v>
      </c>
      <c r="X490" s="19" t="str">
        <f t="shared" si="21"/>
        <v>Anita Gupta</v>
      </c>
      <c r="Y490" s="28" t="str">
        <f t="shared" si="22"/>
        <v>Ani0489Pu</v>
      </c>
      <c r="Z490" s="28" t="str">
        <f t="shared" si="23"/>
        <v>anita.gupta@company.com</v>
      </c>
    </row>
    <row r="491" spans="1:26">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c r="W491" s="24" t="e" cm="1">
        <f t="array" aca="1" ref="W491" ca="1">_xlfn.IFS(  OR(Q491&lt;=2, V491="Cancelled"), "BLACKLISTED", AND(P491&gt;=100000, Q491&gt;=4, O491&lt;=10, V491="Completed"), "PLATINUM", AND( P491&lt;=99999, P491&gt;=50000, Q491&gt;=3, V491= "Completed"), "GOLD", AND( P491&lt;50000, V491="Completed"), "SILVER", TRUE, "UNCLASSIFIED")</f>
        <v>#NAME?</v>
      </c>
      <c r="X491" s="19" t="str">
        <f t="shared" si="21"/>
        <v>Amit Sharma</v>
      </c>
      <c r="Y491" s="28" t="str">
        <f t="shared" si="22"/>
        <v>Ami0490Hy</v>
      </c>
      <c r="Z491" s="28" t="str">
        <f t="shared" si="23"/>
        <v>amit.sharma@company.com</v>
      </c>
    </row>
    <row r="492" spans="1:26">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c r="W492" s="24" t="e" cm="1">
        <f t="array" aca="1" ref="W492" ca="1">_xlfn.IFS(  OR(Q492&lt;=2, V492="Cancelled"), "BLACKLISTED", AND(P492&gt;=100000, Q492&gt;=4, O492&lt;=10, V492="Completed"), "PLATINUM", AND( P492&lt;=99999, P492&gt;=50000, Q492&gt;=3, V492= "Completed"), "GOLD", AND( P492&lt;50000, V492="Completed"), "SILVER", TRUE, "UNCLASSIFIED")</f>
        <v>#NAME?</v>
      </c>
      <c r="X492" s="19" t="str">
        <f t="shared" si="21"/>
        <v>Priya Patel</v>
      </c>
      <c r="Y492" s="28" t="str">
        <f t="shared" si="22"/>
        <v>Pri0491Pu</v>
      </c>
      <c r="Z492" s="28" t="str">
        <f t="shared" si="23"/>
        <v>priya.patel@company.com</v>
      </c>
    </row>
    <row r="493" spans="1:26">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c r="W493" s="24" t="e" cm="1">
        <f t="array" aca="1" ref="W493" ca="1">_xlfn.IFS(  OR(Q493&lt;=2, V493="Cancelled"), "BLACKLISTED", AND(P493&gt;=100000, Q493&gt;=4, O493&lt;=10, V493="Completed"), "PLATINUM", AND( P493&lt;=99999, P493&gt;=50000, Q493&gt;=3, V493= "Completed"), "GOLD", AND( P493&lt;50000, V493="Completed"), "SILVER", TRUE, "UNCLASSIFIED")</f>
        <v>#NAME?</v>
      </c>
      <c r="X493" s="19" t="str">
        <f t="shared" si="21"/>
        <v>Arjun Rao</v>
      </c>
      <c r="Y493" s="28" t="str">
        <f t="shared" si="22"/>
        <v>Arj0492De</v>
      </c>
      <c r="Z493" s="28" t="str">
        <f t="shared" si="23"/>
        <v>arjun.rao@company.com</v>
      </c>
    </row>
    <row r="494" spans="1:26">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c r="W494" s="24" t="e" cm="1">
        <f t="array" aca="1" ref="W494" ca="1">_xlfn.IFS(  OR(Q494&lt;=2, V494="Cancelled"), "BLACKLISTED", AND(P494&gt;=100000, Q494&gt;=4, O494&lt;=10, V494="Completed"), "PLATINUM", AND( P494&lt;=99999, P494&gt;=50000, Q494&gt;=3, V494= "Completed"), "GOLD", AND( P494&lt;50000, V494="Completed"), "SILVER", TRUE, "UNCLASSIFIED")</f>
        <v>#NAME?</v>
      </c>
      <c r="X494" s="19" t="str">
        <f t="shared" si="21"/>
        <v>Rohit Singh</v>
      </c>
      <c r="Y494" s="28" t="str">
        <f t="shared" si="22"/>
        <v>Roh0493Hy</v>
      </c>
      <c r="Z494" s="28" t="str">
        <f t="shared" si="23"/>
        <v>rohit.singh@company.com</v>
      </c>
    </row>
    <row r="495" spans="1:26">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c r="W495" s="24" t="e" cm="1">
        <f t="array" aca="1" ref="W495" ca="1">_xlfn.IFS(  OR(Q495&lt;=2, V495="Cancelled"), "BLACKLISTED", AND(P495&gt;=100000, Q495&gt;=4, O495&lt;=10, V495="Completed"), "PLATINUM", AND( P495&lt;=99999, P495&gt;=50000, Q495&gt;=3, V495= "Completed"), "GOLD", AND( P495&lt;50000, V495="Completed"), "SILVER", TRUE, "UNCLASSIFIED")</f>
        <v>#NAME?</v>
      </c>
      <c r="X495" s="19" t="str">
        <f t="shared" si="21"/>
        <v>Arjun Rao</v>
      </c>
      <c r="Y495" s="28" t="str">
        <f t="shared" si="22"/>
        <v>Arj0494Ah</v>
      </c>
      <c r="Z495" s="28" t="str">
        <f t="shared" si="23"/>
        <v>arjun.rao@company.com</v>
      </c>
    </row>
    <row r="496" spans="1:26">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c r="W496" s="24" t="e" cm="1">
        <f t="array" aca="1" ref="W496" ca="1">_xlfn.IFS(  OR(Q496&lt;=2, V496="Cancelled"), "BLACKLISTED", AND(P496&gt;=100000, Q496&gt;=4, O496&lt;=10, V496="Completed"), "PLATINUM", AND( P496&lt;=99999, P496&gt;=50000, Q496&gt;=3, V496= "Completed"), "GOLD", AND( P496&lt;50000, V496="Completed"), "SILVER", TRUE, "UNCLASSIFIED")</f>
        <v>#NAME?</v>
      </c>
      <c r="X496" s="19" t="str">
        <f t="shared" si="21"/>
        <v>Mohit Verma</v>
      </c>
      <c r="Y496" s="28" t="str">
        <f t="shared" si="22"/>
        <v>Moh0495Pu</v>
      </c>
      <c r="Z496" s="28" t="str">
        <f t="shared" si="23"/>
        <v>mohit.verma@company.com</v>
      </c>
    </row>
    <row r="497" spans="1:26">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c r="W497" s="24" t="e" cm="1">
        <f t="array" aca="1" ref="W497" ca="1">_xlfn.IFS(  OR(Q497&lt;=2, V497="Cancelled"), "BLACKLISTED", AND(P497&gt;=100000, Q497&gt;=4, O497&lt;=10, V497="Completed"), "PLATINUM", AND( P497&lt;=99999, P497&gt;=50000, Q497&gt;=3, V497= "Completed"), "GOLD", AND( P497&lt;50000, V497="Completed"), "SILVER", TRUE, "UNCLASSIFIED")</f>
        <v>#NAME?</v>
      </c>
      <c r="X497" s="19" t="str">
        <f t="shared" si="21"/>
        <v>Anita Gupta</v>
      </c>
      <c r="Y497" s="28" t="str">
        <f t="shared" si="22"/>
        <v>Ani0496Ja</v>
      </c>
      <c r="Z497" s="28" t="str">
        <f t="shared" si="23"/>
        <v>anita.gupta@company.com</v>
      </c>
    </row>
    <row r="498" spans="1:26">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c r="W498" s="24" t="e" cm="1">
        <f t="array" aca="1" ref="W498" ca="1">_xlfn.IFS(  OR(Q498&lt;=2, V498="Cancelled"), "BLACKLISTED", AND(P498&gt;=100000, Q498&gt;=4, O498&lt;=10, V498="Completed"), "PLATINUM", AND( P498&lt;=99999, P498&gt;=50000, Q498&gt;=3, V498= "Completed"), "GOLD", AND( P498&lt;50000, V498="Completed"), "SILVER", TRUE, "UNCLASSIFIED")</f>
        <v>#NAME?</v>
      </c>
      <c r="X498" s="19" t="str">
        <f t="shared" si="21"/>
        <v>Arjun Rao</v>
      </c>
      <c r="Y498" s="28" t="str">
        <f t="shared" si="22"/>
        <v>Arj0497Ja</v>
      </c>
      <c r="Z498" s="28" t="str">
        <f t="shared" si="23"/>
        <v>arjun.rao@company.com</v>
      </c>
    </row>
    <row r="499" spans="1:26">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c r="W499" s="24" t="e" cm="1">
        <f t="array" aca="1" ref="W499" ca="1">_xlfn.IFS(  OR(Q499&lt;=2, V499="Cancelled"), "BLACKLISTED", AND(P499&gt;=100000, Q499&gt;=4, O499&lt;=10, V499="Completed"), "PLATINUM", AND( P499&lt;=99999, P499&gt;=50000, Q499&gt;=3, V499= "Completed"), "GOLD", AND( P499&lt;50000, V499="Completed"), "SILVER", TRUE, "UNCLASSIFIED")</f>
        <v>#NAME?</v>
      </c>
      <c r="X499" s="19" t="str">
        <f t="shared" si="21"/>
        <v>Vikas Mehta</v>
      </c>
      <c r="Y499" s="28" t="str">
        <f t="shared" si="22"/>
        <v>Vik0498De</v>
      </c>
      <c r="Z499" s="28" t="str">
        <f t="shared" si="23"/>
        <v>Invalid Email</v>
      </c>
    </row>
    <row r="500" spans="1:26">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c r="W500" s="24" t="e" cm="1">
        <f t="array" aca="1" ref="W500" ca="1">_xlfn.IFS(  OR(Q500&lt;=2, V500="Cancelled"), "BLACKLISTED", AND(P500&gt;=100000, Q500&gt;=4, O500&lt;=10, V500="Completed"), "PLATINUM", AND( P500&lt;=99999, P500&gt;=50000, Q500&gt;=3, V500= "Completed"), "GOLD", AND( P500&lt;50000, V500="Completed"), "SILVER", TRUE, "UNCLASSIFIED")</f>
        <v>#NAME?</v>
      </c>
      <c r="X500" s="19" t="str">
        <f t="shared" si="21"/>
        <v>Priya Patel</v>
      </c>
      <c r="Y500" s="28" t="str">
        <f t="shared" si="22"/>
        <v>Pri0499Mu</v>
      </c>
      <c r="Z500" s="28" t="str">
        <f t="shared" si="23"/>
        <v>priya.patel@company.com</v>
      </c>
    </row>
    <row r="501" spans="1:26">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c r="W501" s="24" t="e" cm="1">
        <f t="array" aca="1" ref="W501" ca="1">_xlfn.IFS(  OR(Q501&lt;=2, V501="Cancelled"), "BLACKLISTED", AND(P501&gt;=100000, Q501&gt;=4, O501&lt;=10, V501="Completed"), "PLATINUM", AND( P501&lt;=99999, P501&gt;=50000, Q501&gt;=3, V501= "Completed"), "GOLD", AND( P501&lt;50000, V501="Completed"), "SILVER", TRUE, "UNCLASSIFIED")</f>
        <v>#NAME?</v>
      </c>
      <c r="X501" s="19" t="str">
        <f t="shared" si="21"/>
        <v>Priya Patel</v>
      </c>
      <c r="Y501" s="28" t="str">
        <f t="shared" si="22"/>
        <v>Pri0500Be</v>
      </c>
      <c r="Z501" s="28" t="str">
        <f t="shared" si="23"/>
        <v>priya.patel@company.com</v>
      </c>
    </row>
  </sheetData>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336D26D3-8CE8-4655-8720-72DF82A687DC}">
            <xm:f>NOT(ISERROR(SEARCH($W$3,W3)))</xm:f>
            <xm:f>$W$3</xm:f>
            <x14:dxf>
              <font>
                <color theme="0"/>
              </font>
              <fill>
                <patternFill patternType="solid">
                  <bgColor theme="2" tint="-0.89999084444715716"/>
                </patternFill>
              </fill>
            </x14:dxf>
          </x14:cfRule>
          <xm:sqref>W3:W501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workbookViewId="0">
      <selection activeCell="Z8" sqref="Z8"/>
    </sheetView>
  </sheetViews>
  <sheetFormatPr defaultRowHeight="14.25"/>
  <cols>
    <col min="8" max="8" width="11.125" style="34" bestFit="1" customWidth="1"/>
    <col min="21" max="21" width="12" bestFit="1" customWidth="1"/>
    <col min="23" max="23" width="21.75" style="40" bestFit="1" customWidth="1"/>
    <col min="24" max="24" width="13.75" style="29" bestFit="1" customWidth="1"/>
    <col min="25" max="25" width="15.75" style="29" bestFit="1" customWidth="1"/>
    <col min="26" max="26" width="26.625" style="41" bestFit="1" customWidth="1"/>
  </cols>
  <sheetData>
    <row r="1" spans="1:26" ht="15">
      <c r="A1" s="1" t="s">
        <v>0</v>
      </c>
      <c r="B1" s="2" t="s">
        <v>1</v>
      </c>
      <c r="C1" s="2" t="s">
        <v>2</v>
      </c>
      <c r="D1" s="2" t="s">
        <v>3</v>
      </c>
      <c r="E1" s="2" t="s">
        <v>4</v>
      </c>
      <c r="F1" s="2" t="s">
        <v>5</v>
      </c>
      <c r="G1" s="2" t="s">
        <v>6</v>
      </c>
      <c r="H1" s="30" t="s">
        <v>7</v>
      </c>
      <c r="I1" s="2" t="s">
        <v>8</v>
      </c>
      <c r="J1" s="2" t="s">
        <v>9</v>
      </c>
      <c r="K1" s="2" t="s">
        <v>10</v>
      </c>
      <c r="L1" s="2" t="s">
        <v>11</v>
      </c>
      <c r="M1" s="2" t="s">
        <v>12</v>
      </c>
      <c r="N1" s="2" t="s">
        <v>13</v>
      </c>
      <c r="O1" s="14" t="s">
        <v>14</v>
      </c>
      <c r="P1" s="2" t="s">
        <v>15</v>
      </c>
      <c r="Q1" s="2" t="s">
        <v>16</v>
      </c>
      <c r="R1" s="2" t="s">
        <v>17</v>
      </c>
      <c r="S1" s="2" t="s">
        <v>18</v>
      </c>
      <c r="T1" s="2" t="s">
        <v>19</v>
      </c>
      <c r="U1" s="2" t="s">
        <v>20</v>
      </c>
      <c r="V1" s="20" t="s">
        <v>21</v>
      </c>
      <c r="W1" s="46" t="s">
        <v>23</v>
      </c>
      <c r="X1" s="43" t="s">
        <v>2097</v>
      </c>
      <c r="Y1" s="43" t="s">
        <v>2098</v>
      </c>
      <c r="Z1" s="44" t="s">
        <v>2099</v>
      </c>
    </row>
    <row r="2" spans="1:26">
      <c r="A2" s="3" t="s">
        <v>26</v>
      </c>
      <c r="B2" s="4" t="s">
        <v>27</v>
      </c>
      <c r="C2" s="4" t="s">
        <v>28</v>
      </c>
      <c r="D2" s="4" t="s">
        <v>29</v>
      </c>
      <c r="E2" s="4" t="s">
        <v>30</v>
      </c>
      <c r="F2" s="4" t="s">
        <v>31</v>
      </c>
      <c r="G2" s="4" t="s">
        <v>32</v>
      </c>
      <c r="H2" s="31" t="s">
        <v>33</v>
      </c>
      <c r="I2" s="4" t="s">
        <v>34</v>
      </c>
      <c r="J2" s="4" t="s">
        <v>35</v>
      </c>
      <c r="K2" s="4" t="s">
        <v>36</v>
      </c>
      <c r="L2" s="4" t="s">
        <v>37</v>
      </c>
      <c r="M2" s="4">
        <v>4</v>
      </c>
      <c r="N2" s="4">
        <v>2200</v>
      </c>
      <c r="O2" s="15">
        <v>10</v>
      </c>
      <c r="P2" s="4">
        <v>7920</v>
      </c>
      <c r="Q2" s="4">
        <v>4</v>
      </c>
      <c r="R2" s="4" t="s">
        <v>38</v>
      </c>
      <c r="S2" s="4" t="s">
        <v>39</v>
      </c>
      <c r="T2" s="5" t="s">
        <v>40</v>
      </c>
      <c r="U2" s="6" t="s">
        <v>41</v>
      </c>
      <c r="V2" s="21" t="s">
        <v>42</v>
      </c>
      <c r="W2" s="40" t="str">
        <f t="shared" ref="W2:W65" si="0">PROPER(TRIM(F2))</f>
        <v>Kavya Nair</v>
      </c>
      <c r="X2" s="35">
        <f ca="1">IFERROR(DATEDIF(H2, TODAY(), "y"), " ")</f>
        <v>49</v>
      </c>
      <c r="Y2" s="29">
        <f>IFERROR(DATEDIF(D2, E2, "D"), " ")</f>
        <v>4</v>
      </c>
      <c r="Z2" s="41" t="e" cm="1">
        <f t="array" aca="1" ref="Z2" ca="1">_xlfn.IFS(Y2&lt;=5, "On time", AND(Y2&gt;5, Y2&lt;&gt;" "), "Delayed", Y2=" ", "pending" )</f>
        <v>#NAME?</v>
      </c>
    </row>
    <row r="3" spans="1:26">
      <c r="A3" s="7" t="s">
        <v>43</v>
      </c>
      <c r="B3" s="8" t="s">
        <v>27</v>
      </c>
      <c r="C3" s="8" t="s">
        <v>44</v>
      </c>
      <c r="D3" s="8" t="s">
        <v>45</v>
      </c>
      <c r="E3" s="8" t="s">
        <v>46</v>
      </c>
      <c r="F3" s="8" t="s">
        <v>31</v>
      </c>
      <c r="G3" s="8" t="s">
        <v>32</v>
      </c>
      <c r="H3" s="32" t="s">
        <v>47</v>
      </c>
      <c r="I3" s="8" t="s">
        <v>48</v>
      </c>
      <c r="J3" s="8" t="s">
        <v>49</v>
      </c>
      <c r="K3" s="8" t="s">
        <v>50</v>
      </c>
      <c r="L3" s="8" t="s">
        <v>51</v>
      </c>
      <c r="M3" s="8">
        <v>17</v>
      </c>
      <c r="N3" s="8">
        <v>12000</v>
      </c>
      <c r="O3" s="16">
        <v>10</v>
      </c>
      <c r="P3" s="8">
        <v>183600</v>
      </c>
      <c r="Q3" s="8">
        <v>1</v>
      </c>
      <c r="R3" s="8" t="s">
        <v>52</v>
      </c>
      <c r="S3" s="8" t="s">
        <v>53</v>
      </c>
      <c r="T3" s="8" t="s">
        <v>54</v>
      </c>
      <c r="U3" s="9" t="s">
        <v>55</v>
      </c>
      <c r="V3" s="22" t="s">
        <v>42</v>
      </c>
      <c r="W3" s="40" t="str">
        <f t="shared" si="0"/>
        <v>Kavya Nair</v>
      </c>
      <c r="X3" s="35">
        <f t="shared" ref="X3:X66" ca="1" si="1">IFERROR(DATEDIF(H3, TODAY(), "y"), " ")</f>
        <v>25</v>
      </c>
      <c r="Y3" s="29">
        <f t="shared" ref="Y3:Y66" si="2">IFERROR(DATEDIF(D3, E3, "D"), " ")</f>
        <v>7</v>
      </c>
      <c r="Z3" s="41" t="e" cm="1">
        <f t="array" aca="1" ref="Z3" ca="1">_xlfn.IFS(Y3&lt;=5, "On time", AND(Y3&gt;5, Y3&lt;&gt;" "), "Delayed", Y3=" ", "pending" )</f>
        <v>#NAME?</v>
      </c>
    </row>
    <row r="4" spans="1:26">
      <c r="A4" s="3" t="s">
        <v>56</v>
      </c>
      <c r="B4" s="4" t="s">
        <v>57</v>
      </c>
      <c r="C4" s="4" t="s">
        <v>58</v>
      </c>
      <c r="D4" s="4" t="s">
        <v>59</v>
      </c>
      <c r="E4" s="4" t="s">
        <v>60</v>
      </c>
      <c r="F4" s="4" t="s">
        <v>61</v>
      </c>
      <c r="G4" s="4" t="s">
        <v>32</v>
      </c>
      <c r="H4" s="31" t="s">
        <v>62</v>
      </c>
      <c r="I4" s="4" t="s">
        <v>63</v>
      </c>
      <c r="J4" s="4" t="s">
        <v>35</v>
      </c>
      <c r="K4" s="4" t="s">
        <v>50</v>
      </c>
      <c r="L4" s="4" t="s">
        <v>64</v>
      </c>
      <c r="M4" s="4">
        <v>5</v>
      </c>
      <c r="N4" s="4">
        <v>55000</v>
      </c>
      <c r="O4" s="15">
        <v>5</v>
      </c>
      <c r="P4" s="4">
        <v>261250</v>
      </c>
      <c r="Q4" s="4">
        <v>3</v>
      </c>
      <c r="R4" s="4" t="s">
        <v>52</v>
      </c>
      <c r="S4" s="4" t="s">
        <v>65</v>
      </c>
      <c r="T4" s="4" t="s">
        <v>66</v>
      </c>
      <c r="U4" s="6" t="s">
        <v>67</v>
      </c>
      <c r="V4" s="21" t="s">
        <v>68</v>
      </c>
      <c r="W4" s="40" t="str">
        <f t="shared" si="0"/>
        <v>Pooja Shah</v>
      </c>
      <c r="X4" s="35">
        <f t="shared" ca="1" si="1"/>
        <v>31</v>
      </c>
      <c r="Y4" s="29">
        <f t="shared" si="2"/>
        <v>11</v>
      </c>
      <c r="Z4" s="41" t="e" cm="1">
        <f t="array" aca="1" ref="Z4" ca="1">_xlfn.IFS(Y4&lt;=5, "On time", AND(Y4&gt;5, Y4&lt;&gt;" "), "Delayed", Y4=" ", "pending" )</f>
        <v>#NAME?</v>
      </c>
    </row>
    <row r="5" spans="1:26">
      <c r="A5" s="7" t="s">
        <v>43</v>
      </c>
      <c r="B5" s="8" t="s">
        <v>27</v>
      </c>
      <c r="C5" s="8" t="s">
        <v>28</v>
      </c>
      <c r="D5" s="8" t="s">
        <v>69</v>
      </c>
      <c r="E5" s="8" t="s">
        <v>70</v>
      </c>
      <c r="F5" s="8" t="s">
        <v>31</v>
      </c>
      <c r="G5" s="8" t="s">
        <v>32</v>
      </c>
      <c r="H5" s="32" t="s">
        <v>71</v>
      </c>
      <c r="I5" s="8" t="s">
        <v>63</v>
      </c>
      <c r="J5" s="8" t="s">
        <v>35</v>
      </c>
      <c r="K5" s="8" t="s">
        <v>36</v>
      </c>
      <c r="L5" s="8" t="s">
        <v>37</v>
      </c>
      <c r="M5" s="8">
        <v>5</v>
      </c>
      <c r="N5" s="8">
        <v>2200</v>
      </c>
      <c r="O5" s="16">
        <v>5</v>
      </c>
      <c r="P5" s="8">
        <v>10450</v>
      </c>
      <c r="Q5" s="8">
        <v>5</v>
      </c>
      <c r="R5" s="8" t="s">
        <v>52</v>
      </c>
      <c r="S5" s="8" t="s">
        <v>65</v>
      </c>
      <c r="T5" s="10" t="s">
        <v>54</v>
      </c>
      <c r="U5" s="9" t="s">
        <v>72</v>
      </c>
      <c r="V5" s="22" t="s">
        <v>73</v>
      </c>
      <c r="W5" s="40" t="str">
        <f t="shared" si="0"/>
        <v>Kavya Nair</v>
      </c>
      <c r="X5" s="35">
        <f t="shared" ca="1" si="1"/>
        <v>22</v>
      </c>
      <c r="Y5" s="29">
        <f t="shared" si="2"/>
        <v>12</v>
      </c>
      <c r="Z5" s="41" t="e" cm="1">
        <f t="array" aca="1" ref="Z5" ca="1">_xlfn.IFS(Y5&lt;=5, "On time", AND(Y5&gt;5, Y5&lt;&gt;" "), "Delayed", Y5=" ", "pending" )</f>
        <v>#NAME?</v>
      </c>
    </row>
    <row r="6" spans="1:26">
      <c r="A6" s="3" t="s">
        <v>74</v>
      </c>
      <c r="B6" s="4" t="s">
        <v>75</v>
      </c>
      <c r="C6" s="4" t="s">
        <v>76</v>
      </c>
      <c r="D6" s="4" t="s">
        <v>77</v>
      </c>
      <c r="E6" s="4" t="s">
        <v>78</v>
      </c>
      <c r="F6" s="4" t="s">
        <v>79</v>
      </c>
      <c r="G6" s="4" t="s">
        <v>80</v>
      </c>
      <c r="H6" s="31" t="s">
        <v>81</v>
      </c>
      <c r="I6" s="4" t="s">
        <v>48</v>
      </c>
      <c r="J6" s="4" t="s">
        <v>49</v>
      </c>
      <c r="K6" s="4" t="s">
        <v>50</v>
      </c>
      <c r="L6" s="4" t="s">
        <v>82</v>
      </c>
      <c r="M6" s="4">
        <v>8</v>
      </c>
      <c r="N6" s="4">
        <v>1200</v>
      </c>
      <c r="O6" s="15">
        <v>5</v>
      </c>
      <c r="P6" s="4">
        <v>9120</v>
      </c>
      <c r="Q6" s="4">
        <v>2</v>
      </c>
      <c r="R6" s="4" t="s">
        <v>83</v>
      </c>
      <c r="S6" s="4" t="s">
        <v>65</v>
      </c>
      <c r="T6" s="4" t="s">
        <v>84</v>
      </c>
      <c r="U6" s="6" t="s">
        <v>85</v>
      </c>
      <c r="V6" s="21" t="s">
        <v>68</v>
      </c>
      <c r="W6" s="40" t="str">
        <f t="shared" si="0"/>
        <v>Mohit Verma</v>
      </c>
      <c r="X6" s="35">
        <f t="shared" ca="1" si="1"/>
        <v>50</v>
      </c>
      <c r="Y6" s="29">
        <f t="shared" si="2"/>
        <v>10</v>
      </c>
      <c r="Z6" s="41" t="e" cm="1">
        <f t="array" aca="1" ref="Z6" ca="1">_xlfn.IFS(Y6&lt;=5, "On time", AND(Y6&gt;5, Y6&lt;&gt;" "), "Delayed", Y6=" ", "pending" )</f>
        <v>#NAME?</v>
      </c>
    </row>
    <row r="7" spans="1:26">
      <c r="A7" s="7" t="s">
        <v>86</v>
      </c>
      <c r="B7" s="8" t="s">
        <v>87</v>
      </c>
      <c r="C7" s="8" t="s">
        <v>28</v>
      </c>
      <c r="D7" s="8" t="s">
        <v>88</v>
      </c>
      <c r="E7" s="8" t="s">
        <v>89</v>
      </c>
      <c r="F7" s="8" t="s">
        <v>90</v>
      </c>
      <c r="G7" s="8" t="s">
        <v>80</v>
      </c>
      <c r="H7" s="32" t="s">
        <v>91</v>
      </c>
      <c r="I7" s="8" t="s">
        <v>34</v>
      </c>
      <c r="J7" s="8" t="s">
        <v>35</v>
      </c>
      <c r="K7" s="8" t="s">
        <v>36</v>
      </c>
      <c r="L7" s="8" t="s">
        <v>37</v>
      </c>
      <c r="M7" s="8">
        <v>4</v>
      </c>
      <c r="N7" s="8">
        <v>2200</v>
      </c>
      <c r="O7" s="16">
        <v>0</v>
      </c>
      <c r="P7" s="8">
        <v>8800</v>
      </c>
      <c r="Q7" s="8">
        <v>1</v>
      </c>
      <c r="R7" s="8" t="s">
        <v>92</v>
      </c>
      <c r="S7" s="8" t="s">
        <v>39</v>
      </c>
      <c r="T7" s="8" t="s">
        <v>93</v>
      </c>
      <c r="U7" s="9" t="s">
        <v>94</v>
      </c>
      <c r="V7" s="22" t="s">
        <v>42</v>
      </c>
      <c r="W7" s="40" t="str">
        <f t="shared" si="0"/>
        <v>Arjun Rao</v>
      </c>
      <c r="X7" s="35">
        <f t="shared" ca="1" si="1"/>
        <v>38</v>
      </c>
      <c r="Y7" s="29">
        <f t="shared" si="2"/>
        <v>8</v>
      </c>
      <c r="Z7" s="41" t="e" cm="1">
        <f t="array" aca="1" ref="Z7" ca="1">_xlfn.IFS(Y7&lt;=5, "On time", AND(Y7&gt;5, Y7&lt;&gt;" "), "Delayed", Y7=" ", "pending" )</f>
        <v>#NAME?</v>
      </c>
    </row>
    <row r="8" spans="1:26">
      <c r="A8" s="3" t="s">
        <v>95</v>
      </c>
      <c r="B8" s="4" t="s">
        <v>27</v>
      </c>
      <c r="C8" s="4" t="s">
        <v>96</v>
      </c>
      <c r="D8" s="4" t="s">
        <v>97</v>
      </c>
      <c r="E8" s="4" t="s">
        <v>98</v>
      </c>
      <c r="F8" s="4" t="s">
        <v>99</v>
      </c>
      <c r="G8" s="4" t="s">
        <v>32</v>
      </c>
      <c r="H8" s="31" t="s">
        <v>100</v>
      </c>
      <c r="I8" s="4" t="s">
        <v>34</v>
      </c>
      <c r="J8" s="4" t="s">
        <v>35</v>
      </c>
      <c r="K8" s="4" t="s">
        <v>36</v>
      </c>
      <c r="L8" s="4" t="s">
        <v>101</v>
      </c>
      <c r="M8" s="4">
        <v>2</v>
      </c>
      <c r="N8" s="4">
        <v>3500</v>
      </c>
      <c r="O8" s="15">
        <v>5</v>
      </c>
      <c r="P8" s="4">
        <v>6650</v>
      </c>
      <c r="Q8" s="4">
        <v>1</v>
      </c>
      <c r="R8" s="4" t="s">
        <v>92</v>
      </c>
      <c r="S8" s="4" t="s">
        <v>39</v>
      </c>
      <c r="T8" s="4" t="s">
        <v>54</v>
      </c>
      <c r="U8" s="6" t="s">
        <v>102</v>
      </c>
      <c r="V8" s="21" t="s">
        <v>42</v>
      </c>
      <c r="W8" s="40" t="str">
        <f t="shared" si="0"/>
        <v>Kavya Nair</v>
      </c>
      <c r="X8" s="35">
        <f t="shared" ca="1" si="1"/>
        <v>23</v>
      </c>
      <c r="Y8" s="29" t="str">
        <f t="shared" si="2"/>
        <v xml:space="preserve"> </v>
      </c>
      <c r="Z8" s="41" t="e" cm="1">
        <f t="array" aca="1" ref="Z8" ca="1">_xlfn.IFS(Y8&lt;=5, "On time", AND(Y8&gt;5, Y8&lt;&gt;" "), "Delayed", Y8=" ", "pending" )</f>
        <v>#NAME?</v>
      </c>
    </row>
    <row r="9" spans="1:26">
      <c r="A9" s="7" t="s">
        <v>103</v>
      </c>
      <c r="B9" s="8" t="s">
        <v>104</v>
      </c>
      <c r="C9" s="8" t="s">
        <v>44</v>
      </c>
      <c r="D9" s="8" t="s">
        <v>105</v>
      </c>
      <c r="E9" s="8" t="s">
        <v>106</v>
      </c>
      <c r="F9" s="8" t="s">
        <v>107</v>
      </c>
      <c r="G9" s="8" t="s">
        <v>32</v>
      </c>
      <c r="H9" s="32" t="s">
        <v>108</v>
      </c>
      <c r="I9" s="8" t="s">
        <v>109</v>
      </c>
      <c r="J9" s="8" t="s">
        <v>110</v>
      </c>
      <c r="K9" s="8" t="s">
        <v>50</v>
      </c>
      <c r="L9" s="8" t="s">
        <v>51</v>
      </c>
      <c r="M9" s="8">
        <v>14</v>
      </c>
      <c r="N9" s="8">
        <v>12000</v>
      </c>
      <c r="O9" s="16">
        <v>15</v>
      </c>
      <c r="P9" s="8">
        <v>142800</v>
      </c>
      <c r="Q9" s="8">
        <v>4</v>
      </c>
      <c r="R9" s="8" t="s">
        <v>52</v>
      </c>
      <c r="S9" s="8" t="s">
        <v>39</v>
      </c>
      <c r="T9" s="10" t="s">
        <v>111</v>
      </c>
      <c r="U9" s="9" t="s">
        <v>112</v>
      </c>
      <c r="V9" s="22" t="s">
        <v>42</v>
      </c>
      <c r="W9" s="40" t="str">
        <f t="shared" si="0"/>
        <v>Priya Patel</v>
      </c>
      <c r="X9" s="35">
        <f t="shared" ca="1" si="1"/>
        <v>31</v>
      </c>
      <c r="Y9" s="29">
        <f t="shared" si="2"/>
        <v>6</v>
      </c>
      <c r="Z9" s="41" t="e" cm="1">
        <f t="array" aca="1" ref="Z9" ca="1">_xlfn.IFS(Y9&lt;=5, "On time", AND(Y9&gt;5, Y9&lt;&gt;" "), "Delayed", Y9=" ", "pending" )</f>
        <v>#NAME?</v>
      </c>
    </row>
    <row r="10" spans="1:26">
      <c r="A10" s="3" t="s">
        <v>113</v>
      </c>
      <c r="B10" s="4" t="s">
        <v>27</v>
      </c>
      <c r="C10" s="4" t="s">
        <v>44</v>
      </c>
      <c r="D10" s="4" t="s">
        <v>114</v>
      </c>
      <c r="E10" s="4" t="s">
        <v>115</v>
      </c>
      <c r="F10" s="4" t="s">
        <v>116</v>
      </c>
      <c r="G10" s="4" t="s">
        <v>32</v>
      </c>
      <c r="H10" s="31"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W10" s="40" t="str">
        <f t="shared" si="0"/>
        <v>Kavya Nair</v>
      </c>
      <c r="X10" s="35">
        <f t="shared" ca="1" si="1"/>
        <v>29</v>
      </c>
      <c r="Y10" s="29">
        <f t="shared" si="2"/>
        <v>2</v>
      </c>
      <c r="Z10" s="41" t="e" cm="1">
        <f t="array" aca="1" ref="Z10" ca="1">_xlfn.IFS(Y10&lt;=5, "On time", AND(Y10&gt;5, Y10&lt;&gt;" "), "Delayed", Y10=" ", "pending" )</f>
        <v>#NAME?</v>
      </c>
    </row>
    <row r="11" spans="1:26">
      <c r="A11" s="7" t="s">
        <v>121</v>
      </c>
      <c r="B11" s="8" t="s">
        <v>104</v>
      </c>
      <c r="C11" s="8" t="s">
        <v>122</v>
      </c>
      <c r="D11" s="8" t="s">
        <v>123</v>
      </c>
      <c r="E11" s="8" t="s">
        <v>124</v>
      </c>
      <c r="F11" s="8" t="s">
        <v>107</v>
      </c>
      <c r="G11" s="8" t="s">
        <v>32</v>
      </c>
      <c r="H11" s="32"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W11" s="40" t="str">
        <f t="shared" si="0"/>
        <v>Priya Patel</v>
      </c>
      <c r="X11" s="35">
        <f t="shared" ca="1" si="1"/>
        <v>36</v>
      </c>
      <c r="Y11" s="29">
        <f t="shared" si="2"/>
        <v>2</v>
      </c>
      <c r="Z11" s="41" t="e" cm="1">
        <f t="array" aca="1" ref="Z11" ca="1">_xlfn.IFS(Y11&lt;=5, "On time", AND(Y11&gt;5, Y11&lt;&gt;" "), "Delayed", Y11=" ", "pending" )</f>
        <v>#NAME?</v>
      </c>
    </row>
    <row r="12" spans="1:26">
      <c r="A12" s="3" t="s">
        <v>130</v>
      </c>
      <c r="B12" s="4" t="s">
        <v>131</v>
      </c>
      <c r="C12" s="4" t="s">
        <v>28</v>
      </c>
      <c r="D12" s="4" t="s">
        <v>132</v>
      </c>
      <c r="E12" s="4" t="s">
        <v>133</v>
      </c>
      <c r="F12" s="4" t="s">
        <v>134</v>
      </c>
      <c r="G12" s="4" t="s">
        <v>80</v>
      </c>
      <c r="H12" s="31"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c r="W12" s="40" t="str">
        <f t="shared" si="0"/>
        <v>Rohit Singh</v>
      </c>
      <c r="X12" s="35">
        <f t="shared" ca="1" si="1"/>
        <v>44</v>
      </c>
      <c r="Y12" s="29">
        <f t="shared" si="2"/>
        <v>4</v>
      </c>
      <c r="Z12" s="41" t="e" cm="1">
        <f t="array" aca="1" ref="Z12" ca="1">_xlfn.IFS(Y12&lt;=5, "On time", AND(Y12&gt;5, Y12&lt;&gt;" "), "Delayed", Y12=" ", "pending" )</f>
        <v>#NAME?</v>
      </c>
    </row>
    <row r="13" spans="1:26">
      <c r="A13" s="7" t="s">
        <v>138</v>
      </c>
      <c r="B13" s="8" t="s">
        <v>27</v>
      </c>
      <c r="C13" s="8" t="s">
        <v>96</v>
      </c>
      <c r="D13" s="8" t="s">
        <v>139</v>
      </c>
      <c r="E13" s="8" t="s">
        <v>140</v>
      </c>
      <c r="F13" s="8" t="s">
        <v>31</v>
      </c>
      <c r="G13" s="8" t="s">
        <v>32</v>
      </c>
      <c r="H13" s="32"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W13" s="40" t="str">
        <f t="shared" si="0"/>
        <v>Kavya Nair</v>
      </c>
      <c r="X13" s="35">
        <f t="shared" ca="1" si="1"/>
        <v>44</v>
      </c>
      <c r="Y13" s="29">
        <f t="shared" si="2"/>
        <v>7</v>
      </c>
      <c r="Z13" s="41" t="e" cm="1">
        <f t="array" aca="1" ref="Z13" ca="1">_xlfn.IFS(Y13&lt;=5, "On time", AND(Y13&gt;5, Y13&lt;&gt;" "), "Delayed", Y13=" ", "pending" )</f>
        <v>#NAME?</v>
      </c>
    </row>
    <row r="14" spans="1:26">
      <c r="A14" s="3" t="s">
        <v>144</v>
      </c>
      <c r="B14" s="4" t="s">
        <v>104</v>
      </c>
      <c r="C14" s="4" t="s">
        <v>28</v>
      </c>
      <c r="D14" s="4" t="s">
        <v>145</v>
      </c>
      <c r="E14" s="4" t="s">
        <v>146</v>
      </c>
      <c r="F14" s="4" t="s">
        <v>107</v>
      </c>
      <c r="G14" s="4" t="s">
        <v>32</v>
      </c>
      <c r="H14" s="31"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W14" s="40" t="str">
        <f t="shared" si="0"/>
        <v>Priya Patel</v>
      </c>
      <c r="X14" s="35">
        <f t="shared" ca="1" si="1"/>
        <v>34</v>
      </c>
      <c r="Y14" s="29">
        <f t="shared" si="2"/>
        <v>5</v>
      </c>
      <c r="Z14" s="41" t="e" cm="1">
        <f t="array" aca="1" ref="Z14" ca="1">_xlfn.IFS(Y14&lt;=5, "On time", AND(Y14&gt;5, Y14&lt;&gt;" "), "Delayed", Y14=" ", "pending" )</f>
        <v>#NAME?</v>
      </c>
    </row>
    <row r="15" spans="1:26">
      <c r="A15" s="7" t="s">
        <v>150</v>
      </c>
      <c r="B15" s="8" t="s">
        <v>131</v>
      </c>
      <c r="C15" s="8" t="s">
        <v>28</v>
      </c>
      <c r="D15" s="8" t="s">
        <v>151</v>
      </c>
      <c r="E15" s="8" t="s">
        <v>152</v>
      </c>
      <c r="F15" s="8" t="s">
        <v>153</v>
      </c>
      <c r="G15" s="8" t="s">
        <v>80</v>
      </c>
      <c r="H15" s="32"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c r="W15" s="40" t="str">
        <f t="shared" si="0"/>
        <v>Rohit Singh</v>
      </c>
      <c r="X15" s="35">
        <f t="shared" ca="1" si="1"/>
        <v>24</v>
      </c>
      <c r="Y15" s="29">
        <f t="shared" si="2"/>
        <v>4</v>
      </c>
      <c r="Z15" s="41" t="e" cm="1">
        <f t="array" aca="1" ref="Z15" ca="1">_xlfn.IFS(Y15&lt;=5, "On time", AND(Y15&gt;5, Y15&lt;&gt;" "), "Delayed", Y15=" ", "pending" )</f>
        <v>#NAME?</v>
      </c>
    </row>
    <row r="16" spans="1:26">
      <c r="A16" s="3" t="s">
        <v>158</v>
      </c>
      <c r="B16" s="4" t="s">
        <v>27</v>
      </c>
      <c r="C16" s="4" t="s">
        <v>96</v>
      </c>
      <c r="D16" s="4" t="s">
        <v>159</v>
      </c>
      <c r="E16" s="4" t="s">
        <v>160</v>
      </c>
      <c r="F16" s="4" t="s">
        <v>161</v>
      </c>
      <c r="G16" s="4" t="s">
        <v>32</v>
      </c>
      <c r="H16" s="31"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W16" s="40" t="str">
        <f t="shared" si="0"/>
        <v>Kavya Nair</v>
      </c>
      <c r="X16" s="35">
        <f t="shared" ca="1" si="1"/>
        <v>25</v>
      </c>
      <c r="Y16" s="29">
        <f t="shared" si="2"/>
        <v>12</v>
      </c>
      <c r="Z16" s="41" t="e" cm="1">
        <f t="array" aca="1" ref="Z16" ca="1">_xlfn.IFS(Y16&lt;=5, "On time", AND(Y16&gt;5, Y16&lt;&gt;" "), "Delayed", Y16=" ", "pending" )</f>
        <v>#NAME?</v>
      </c>
    </row>
    <row r="17" spans="1:26">
      <c r="A17" s="7" t="s">
        <v>164</v>
      </c>
      <c r="B17" s="8" t="s">
        <v>57</v>
      </c>
      <c r="C17" s="8" t="s">
        <v>76</v>
      </c>
      <c r="D17" s="8" t="s">
        <v>165</v>
      </c>
      <c r="E17" s="8" t="s">
        <v>166</v>
      </c>
      <c r="F17" s="8" t="s">
        <v>167</v>
      </c>
      <c r="G17" s="8" t="s">
        <v>32</v>
      </c>
      <c r="H17" s="32"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W17" s="40" t="str">
        <f t="shared" si="0"/>
        <v>Pooja Shah</v>
      </c>
      <c r="X17" s="35">
        <f t="shared" ca="1" si="1"/>
        <v>24</v>
      </c>
      <c r="Y17" s="29">
        <f t="shared" si="2"/>
        <v>3</v>
      </c>
      <c r="Z17" s="41" t="e" cm="1">
        <f t="array" aca="1" ref="Z17" ca="1">_xlfn.IFS(Y17&lt;=5, "On time", AND(Y17&gt;5, Y17&lt;&gt;" "), "Delayed", Y17=" ", "pending" )</f>
        <v>#NAME?</v>
      </c>
    </row>
    <row r="18" spans="1:26">
      <c r="A18" s="3" t="s">
        <v>171</v>
      </c>
      <c r="B18" s="4" t="s">
        <v>172</v>
      </c>
      <c r="C18" s="4" t="s">
        <v>173</v>
      </c>
      <c r="D18" s="4" t="s">
        <v>174</v>
      </c>
      <c r="E18" s="4" t="s">
        <v>175</v>
      </c>
      <c r="F18" s="4" t="s">
        <v>176</v>
      </c>
      <c r="G18" s="4" t="s">
        <v>32</v>
      </c>
      <c r="H18" s="31"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c r="W18" s="40" t="str">
        <f t="shared" si="0"/>
        <v>Amit Sharma</v>
      </c>
      <c r="X18" s="35">
        <f t="shared" ca="1" si="1"/>
        <v>24</v>
      </c>
      <c r="Y18" s="29">
        <f t="shared" si="2"/>
        <v>9</v>
      </c>
      <c r="Z18" s="41" t="e" cm="1">
        <f t="array" aca="1" ref="Z18" ca="1">_xlfn.IFS(Y18&lt;=5, "On time", AND(Y18&gt;5, Y18&lt;&gt;" "), "Delayed", Y18=" ", "pending" )</f>
        <v>#NAME?</v>
      </c>
    </row>
    <row r="19" spans="1:26">
      <c r="A19" s="7" t="s">
        <v>181</v>
      </c>
      <c r="B19" s="8" t="s">
        <v>87</v>
      </c>
      <c r="C19" s="8" t="s">
        <v>173</v>
      </c>
      <c r="D19" s="8" t="s">
        <v>182</v>
      </c>
      <c r="E19" s="8" t="s">
        <v>183</v>
      </c>
      <c r="F19" s="8" t="s">
        <v>184</v>
      </c>
      <c r="G19" s="8" t="s">
        <v>80</v>
      </c>
      <c r="H19" s="32"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c r="W19" s="40" t="str">
        <f t="shared" si="0"/>
        <v>Arjun Rao</v>
      </c>
      <c r="X19" s="35">
        <f t="shared" ca="1" si="1"/>
        <v>36</v>
      </c>
      <c r="Y19" s="29">
        <f t="shared" si="2"/>
        <v>5</v>
      </c>
      <c r="Z19" s="41" t="e" cm="1">
        <f t="array" aca="1" ref="Z19" ca="1">_xlfn.IFS(Y19&lt;=5, "On time", AND(Y19&gt;5, Y19&lt;&gt;" "), "Delayed", Y19=" ", "pending" )</f>
        <v>#NAME?</v>
      </c>
    </row>
    <row r="20" spans="1:26">
      <c r="A20" s="3" t="s">
        <v>187</v>
      </c>
      <c r="B20" s="4" t="s">
        <v>87</v>
      </c>
      <c r="C20" s="4" t="s">
        <v>188</v>
      </c>
      <c r="D20" s="4" t="s">
        <v>189</v>
      </c>
      <c r="E20" s="4" t="s">
        <v>190</v>
      </c>
      <c r="F20" s="4" t="s">
        <v>191</v>
      </c>
      <c r="G20" s="4" t="s">
        <v>80</v>
      </c>
      <c r="H20" s="31"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c r="W20" s="40" t="str">
        <f t="shared" si="0"/>
        <v>Arjun Rao</v>
      </c>
      <c r="X20" s="35">
        <f t="shared" ca="1" si="1"/>
        <v>34</v>
      </c>
      <c r="Y20" s="29">
        <f t="shared" si="2"/>
        <v>3</v>
      </c>
      <c r="Z20" s="41" t="e" cm="1">
        <f t="array" aca="1" ref="Z20" ca="1">_xlfn.IFS(Y20&lt;=5, "On time", AND(Y20&gt;5, Y20&lt;&gt;" "), "Delayed", Y20=" ", "pending" )</f>
        <v>#NAME?</v>
      </c>
    </row>
    <row r="21" spans="1:26">
      <c r="A21" s="7" t="s">
        <v>196</v>
      </c>
      <c r="B21" s="8" t="s">
        <v>27</v>
      </c>
      <c r="C21" s="8" t="s">
        <v>58</v>
      </c>
      <c r="D21" s="8" t="s">
        <v>197</v>
      </c>
      <c r="E21" s="8" t="s">
        <v>198</v>
      </c>
      <c r="F21" s="8" t="s">
        <v>31</v>
      </c>
      <c r="G21" s="8" t="s">
        <v>32</v>
      </c>
      <c r="H21" s="32"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c r="W21" s="40" t="str">
        <f t="shared" si="0"/>
        <v>Kavya Nair</v>
      </c>
      <c r="X21" s="35">
        <f t="shared" ca="1" si="1"/>
        <v>36</v>
      </c>
      <c r="Y21" s="29">
        <f t="shared" si="2"/>
        <v>8</v>
      </c>
      <c r="Z21" s="41" t="e" cm="1">
        <f t="array" aca="1" ref="Z21" ca="1">_xlfn.IFS(Y21&lt;=5, "On time", AND(Y21&gt;5, Y21&lt;&gt;" "), "Delayed", Y21=" ", "pending" )</f>
        <v>#NAME?</v>
      </c>
    </row>
    <row r="22" spans="1:26">
      <c r="A22" s="3" t="s">
        <v>201</v>
      </c>
      <c r="B22" s="4" t="s">
        <v>131</v>
      </c>
      <c r="C22" s="4" t="s">
        <v>188</v>
      </c>
      <c r="D22" s="4" t="s">
        <v>202</v>
      </c>
      <c r="E22" s="4" t="s">
        <v>203</v>
      </c>
      <c r="F22" s="4" t="s">
        <v>204</v>
      </c>
      <c r="G22" s="4" t="s">
        <v>80</v>
      </c>
      <c r="H22" s="31"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c r="W22" s="40" t="str">
        <f t="shared" si="0"/>
        <v>Rohit Singh</v>
      </c>
      <c r="X22" s="35">
        <f t="shared" ca="1" si="1"/>
        <v>24</v>
      </c>
      <c r="Y22" s="29">
        <f t="shared" si="2"/>
        <v>9</v>
      </c>
      <c r="Z22" s="41" t="e" cm="1">
        <f t="array" aca="1" ref="Z22" ca="1">_xlfn.IFS(Y22&lt;=5, "On time", AND(Y22&gt;5, Y22&lt;&gt;" "), "Delayed", Y22=" ", "pending" )</f>
        <v>#NAME?</v>
      </c>
    </row>
    <row r="23" spans="1:26">
      <c r="A23" s="7" t="s">
        <v>208</v>
      </c>
      <c r="B23" s="8" t="s">
        <v>27</v>
      </c>
      <c r="C23" s="8" t="s">
        <v>96</v>
      </c>
      <c r="D23" s="8" t="s">
        <v>209</v>
      </c>
      <c r="E23" s="8" t="s">
        <v>210</v>
      </c>
      <c r="F23" s="8" t="s">
        <v>116</v>
      </c>
      <c r="G23" s="8" t="s">
        <v>32</v>
      </c>
      <c r="H23" s="32"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c r="W23" s="40" t="str">
        <f t="shared" si="0"/>
        <v>Kavya Nair</v>
      </c>
      <c r="X23" s="35">
        <f t="shared" ca="1" si="1"/>
        <v>21</v>
      </c>
      <c r="Y23" s="29">
        <f t="shared" si="2"/>
        <v>5</v>
      </c>
      <c r="Z23" s="41" t="e" cm="1">
        <f t="array" aca="1" ref="Z23" ca="1">_xlfn.IFS(Y23&lt;=5, "On time", AND(Y23&gt;5, Y23&lt;&gt;" "), "Delayed", Y23=" ", "pending" )</f>
        <v>#NAME?</v>
      </c>
    </row>
    <row r="24" spans="1:26">
      <c r="A24" s="3" t="s">
        <v>213</v>
      </c>
      <c r="B24" s="4" t="s">
        <v>104</v>
      </c>
      <c r="C24" s="4" t="s">
        <v>188</v>
      </c>
      <c r="D24" s="4" t="s">
        <v>106</v>
      </c>
      <c r="E24" s="4" t="s">
        <v>214</v>
      </c>
      <c r="F24" s="4" t="s">
        <v>107</v>
      </c>
      <c r="G24" s="4" t="s">
        <v>32</v>
      </c>
      <c r="H24" s="31"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c r="W24" s="40" t="str">
        <f t="shared" si="0"/>
        <v>Priya Patel</v>
      </c>
      <c r="X24" s="35">
        <f t="shared" ca="1" si="1"/>
        <v>42</v>
      </c>
      <c r="Y24" s="29">
        <f t="shared" si="2"/>
        <v>11</v>
      </c>
      <c r="Z24" s="41" t="e" cm="1">
        <f t="array" aca="1" ref="Z24" ca="1">_xlfn.IFS(Y24&lt;=5, "On time", AND(Y24&gt;5, Y24&lt;&gt;" "), "Delayed", Y24=" ", "pending" )</f>
        <v>#NAME?</v>
      </c>
    </row>
    <row r="25" spans="1:26">
      <c r="A25" s="7" t="s">
        <v>218</v>
      </c>
      <c r="B25" s="8" t="s">
        <v>75</v>
      </c>
      <c r="C25" s="8" t="s">
        <v>58</v>
      </c>
      <c r="D25" s="8" t="s">
        <v>219</v>
      </c>
      <c r="E25" s="8" t="s">
        <v>220</v>
      </c>
      <c r="F25" s="8" t="s">
        <v>221</v>
      </c>
      <c r="G25" s="8" t="s">
        <v>80</v>
      </c>
      <c r="H25" s="32"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c r="W25" s="40" t="str">
        <f t="shared" si="0"/>
        <v>Mohit Verma</v>
      </c>
      <c r="X25" s="35">
        <f t="shared" ca="1" si="1"/>
        <v>48</v>
      </c>
      <c r="Y25" s="29">
        <f t="shared" si="2"/>
        <v>10</v>
      </c>
      <c r="Z25" s="41" t="e" cm="1">
        <f t="array" aca="1" ref="Z25" ca="1">_xlfn.IFS(Y25&lt;=5, "On time", AND(Y25&gt;5, Y25&lt;&gt;" "), "Delayed", Y25=" ", "pending" )</f>
        <v>#NAME?</v>
      </c>
    </row>
    <row r="26" spans="1:26">
      <c r="A26" s="3" t="s">
        <v>224</v>
      </c>
      <c r="B26" s="4" t="s">
        <v>225</v>
      </c>
      <c r="C26" s="4" t="s">
        <v>226</v>
      </c>
      <c r="D26" s="4" t="s">
        <v>227</v>
      </c>
      <c r="E26" s="4" t="s">
        <v>228</v>
      </c>
      <c r="F26" s="4" t="s">
        <v>229</v>
      </c>
      <c r="G26" s="4" t="s">
        <v>80</v>
      </c>
      <c r="H26" s="31"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c r="W26" s="40" t="str">
        <f t="shared" si="0"/>
        <v>Vikas Mehta</v>
      </c>
      <c r="X26" s="35">
        <f t="shared" ca="1" si="1"/>
        <v>34</v>
      </c>
      <c r="Y26" s="29">
        <f t="shared" si="2"/>
        <v>11</v>
      </c>
      <c r="Z26" s="41" t="e" cm="1">
        <f t="array" aca="1" ref="Z26" ca="1">_xlfn.IFS(Y26&lt;=5, "On time", AND(Y26&gt;5, Y26&lt;&gt;" "), "Delayed", Y26=" ", "pending" )</f>
        <v>#NAME?</v>
      </c>
    </row>
    <row r="27" spans="1:26">
      <c r="A27" s="7" t="s">
        <v>234</v>
      </c>
      <c r="B27" s="8" t="s">
        <v>87</v>
      </c>
      <c r="C27" s="8" t="s">
        <v>226</v>
      </c>
      <c r="D27" s="8" t="s">
        <v>235</v>
      </c>
      <c r="E27" s="8" t="s">
        <v>236</v>
      </c>
      <c r="F27" s="8" t="s">
        <v>184</v>
      </c>
      <c r="G27" s="8" t="s">
        <v>80</v>
      </c>
      <c r="H27" s="32"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c r="W27" s="40" t="str">
        <f t="shared" si="0"/>
        <v>Arjun Rao</v>
      </c>
      <c r="X27" s="35">
        <f t="shared" ca="1" si="1"/>
        <v>48</v>
      </c>
      <c r="Y27" s="29">
        <f t="shared" si="2"/>
        <v>8</v>
      </c>
      <c r="Z27" s="41" t="e" cm="1">
        <f t="array" aca="1" ref="Z27" ca="1">_xlfn.IFS(Y27&lt;=5, "On time", AND(Y27&gt;5, Y27&lt;&gt;" "), "Delayed", Y27=" ", "pending" )</f>
        <v>#NAME?</v>
      </c>
    </row>
    <row r="28" spans="1:26">
      <c r="A28" s="3" t="s">
        <v>239</v>
      </c>
      <c r="B28" s="4" t="s">
        <v>75</v>
      </c>
      <c r="C28" s="4" t="s">
        <v>96</v>
      </c>
      <c r="D28" s="4" t="s">
        <v>240</v>
      </c>
      <c r="E28" s="4" t="s">
        <v>241</v>
      </c>
      <c r="F28" s="4" t="s">
        <v>221</v>
      </c>
      <c r="G28" s="4" t="s">
        <v>80</v>
      </c>
      <c r="H28" s="31"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c r="W28" s="40" t="str">
        <f t="shared" si="0"/>
        <v>Mohit Verma</v>
      </c>
      <c r="X28" s="35">
        <f t="shared" ca="1" si="1"/>
        <v>34</v>
      </c>
      <c r="Y28" s="29">
        <f t="shared" si="2"/>
        <v>3</v>
      </c>
      <c r="Z28" s="41" t="e" cm="1">
        <f t="array" aca="1" ref="Z28" ca="1">_xlfn.IFS(Y28&lt;=5, "On time", AND(Y28&gt;5, Y28&lt;&gt;" "), "Delayed", Y28=" ", "pending" )</f>
        <v>#NAME?</v>
      </c>
    </row>
    <row r="29" spans="1:26">
      <c r="A29" s="7" t="s">
        <v>244</v>
      </c>
      <c r="B29" s="8" t="s">
        <v>27</v>
      </c>
      <c r="C29" s="8" t="s">
        <v>76</v>
      </c>
      <c r="D29" s="8" t="s">
        <v>245</v>
      </c>
      <c r="E29" s="8" t="s">
        <v>246</v>
      </c>
      <c r="F29" s="8" t="s">
        <v>31</v>
      </c>
      <c r="G29" s="8" t="s">
        <v>32</v>
      </c>
      <c r="H29" s="32"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c r="W29" s="40" t="str">
        <f t="shared" si="0"/>
        <v>Kavya Nair</v>
      </c>
      <c r="X29" s="35">
        <f t="shared" ca="1" si="1"/>
        <v>22</v>
      </c>
      <c r="Y29" s="29">
        <f t="shared" si="2"/>
        <v>7</v>
      </c>
      <c r="Z29" s="41" t="e" cm="1">
        <f t="array" aca="1" ref="Z29" ca="1">_xlfn.IFS(Y29&lt;=5, "On time", AND(Y29&gt;5, Y29&lt;&gt;" "), "Delayed", Y29=" ", "pending" )</f>
        <v>#NAME?</v>
      </c>
    </row>
    <row r="30" spans="1:26">
      <c r="A30" s="3" t="s">
        <v>249</v>
      </c>
      <c r="B30" s="4" t="s">
        <v>131</v>
      </c>
      <c r="C30" s="4" t="s">
        <v>173</v>
      </c>
      <c r="D30" s="4" t="s">
        <v>250</v>
      </c>
      <c r="E30" s="4" t="s">
        <v>251</v>
      </c>
      <c r="F30" s="4" t="s">
        <v>204</v>
      </c>
      <c r="G30" s="4" t="s">
        <v>80</v>
      </c>
      <c r="H30" s="31"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c r="W30" s="40" t="str">
        <f t="shared" si="0"/>
        <v>Rohit Singh</v>
      </c>
      <c r="X30" s="35">
        <f t="shared" ca="1" si="1"/>
        <v>24</v>
      </c>
      <c r="Y30" s="29">
        <f t="shared" si="2"/>
        <v>12</v>
      </c>
      <c r="Z30" s="41" t="e" cm="1">
        <f t="array" aca="1" ref="Z30" ca="1">_xlfn.IFS(Y30&lt;=5, "On time", AND(Y30&gt;5, Y30&lt;&gt;" "), "Delayed", Y30=" ", "pending" )</f>
        <v>#NAME?</v>
      </c>
    </row>
    <row r="31" spans="1:26">
      <c r="A31" s="7" t="s">
        <v>254</v>
      </c>
      <c r="B31" s="8" t="s">
        <v>255</v>
      </c>
      <c r="C31" s="8" t="s">
        <v>122</v>
      </c>
      <c r="D31" s="8" t="s">
        <v>256</v>
      </c>
      <c r="E31" s="8" t="s">
        <v>257</v>
      </c>
      <c r="F31" s="8" t="s">
        <v>258</v>
      </c>
      <c r="G31" s="8" t="s">
        <v>32</v>
      </c>
      <c r="H31" s="32"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c r="W31" s="40" t="str">
        <f t="shared" si="0"/>
        <v>Sneha Joshi</v>
      </c>
      <c r="X31" s="35">
        <f t="shared" ca="1" si="1"/>
        <v>45</v>
      </c>
      <c r="Y31" s="29">
        <f t="shared" si="2"/>
        <v>5</v>
      </c>
      <c r="Z31" s="41" t="e" cm="1">
        <f t="array" aca="1" ref="Z31" ca="1">_xlfn.IFS(Y31&lt;=5, "On time", AND(Y31&gt;5, Y31&lt;&gt;" "), "Delayed", Y31=" ", "pending" )</f>
        <v>#NAME?</v>
      </c>
    </row>
    <row r="32" spans="1:26">
      <c r="A32" s="3" t="s">
        <v>262</v>
      </c>
      <c r="B32" s="4" t="s">
        <v>27</v>
      </c>
      <c r="C32" s="4" t="s">
        <v>263</v>
      </c>
      <c r="D32" s="4" t="s">
        <v>264</v>
      </c>
      <c r="E32" s="4" t="s">
        <v>265</v>
      </c>
      <c r="F32" s="4" t="s">
        <v>31</v>
      </c>
      <c r="G32" s="4" t="s">
        <v>32</v>
      </c>
      <c r="H32" s="31"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c r="W32" s="40" t="str">
        <f t="shared" si="0"/>
        <v>Kavya Nair</v>
      </c>
      <c r="X32" s="35">
        <f t="shared" ca="1" si="1"/>
        <v>30</v>
      </c>
      <c r="Y32" s="29">
        <f t="shared" si="2"/>
        <v>10</v>
      </c>
      <c r="Z32" s="41" t="e" cm="1">
        <f t="array" aca="1" ref="Z32" ca="1">_xlfn.IFS(Y32&lt;=5, "On time", AND(Y32&gt;5, Y32&lt;&gt;" "), "Delayed", Y32=" ", "pending" )</f>
        <v>#NAME?</v>
      </c>
    </row>
    <row r="33" spans="1:26">
      <c r="A33" s="7" t="s">
        <v>269</v>
      </c>
      <c r="B33" s="8" t="s">
        <v>104</v>
      </c>
      <c r="C33" s="8" t="s">
        <v>44</v>
      </c>
      <c r="D33" s="8" t="s">
        <v>270</v>
      </c>
      <c r="E33" s="8" t="s">
        <v>271</v>
      </c>
      <c r="F33" s="8" t="s">
        <v>272</v>
      </c>
      <c r="G33" s="8" t="s">
        <v>32</v>
      </c>
      <c r="H33" s="32"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c r="W33" s="40" t="str">
        <f t="shared" si="0"/>
        <v>Priya Patel</v>
      </c>
      <c r="X33" s="35">
        <f t="shared" ca="1" si="1"/>
        <v>49</v>
      </c>
      <c r="Y33" s="29">
        <f t="shared" si="2"/>
        <v>12</v>
      </c>
      <c r="Z33" s="41" t="e" cm="1">
        <f t="array" aca="1" ref="Z33" ca="1">_xlfn.IFS(Y33&lt;=5, "On time", AND(Y33&gt;5, Y33&lt;&gt;" "), "Delayed", Y33=" ", "pending" )</f>
        <v>#NAME?</v>
      </c>
    </row>
    <row r="34" spans="1:26">
      <c r="A34" s="3" t="s">
        <v>275</v>
      </c>
      <c r="B34" s="4" t="s">
        <v>255</v>
      </c>
      <c r="C34" s="4" t="s">
        <v>28</v>
      </c>
      <c r="D34" s="4" t="s">
        <v>276</v>
      </c>
      <c r="E34" s="4" t="s">
        <v>140</v>
      </c>
      <c r="F34" s="4" t="s">
        <v>258</v>
      </c>
      <c r="G34" s="4" t="s">
        <v>32</v>
      </c>
      <c r="H34" s="31"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c r="W34" s="40" t="str">
        <f t="shared" si="0"/>
        <v>Sneha Joshi</v>
      </c>
      <c r="X34" s="35">
        <f t="shared" ca="1" si="1"/>
        <v>37</v>
      </c>
      <c r="Y34" s="29">
        <f t="shared" si="2"/>
        <v>8</v>
      </c>
      <c r="Z34" s="41" t="e" cm="1">
        <f t="array" aca="1" ref="Z34" ca="1">_xlfn.IFS(Y34&lt;=5, "On time", AND(Y34&gt;5, Y34&lt;&gt;" "), "Delayed", Y34=" ", "pending" )</f>
        <v>#NAME?</v>
      </c>
    </row>
    <row r="35" spans="1:26">
      <c r="A35" s="7" t="s">
        <v>279</v>
      </c>
      <c r="B35" s="8" t="s">
        <v>87</v>
      </c>
      <c r="C35" s="8" t="s">
        <v>226</v>
      </c>
      <c r="D35" s="8" t="s">
        <v>235</v>
      </c>
      <c r="E35" s="8" t="s">
        <v>280</v>
      </c>
      <c r="F35" s="8" t="s">
        <v>184</v>
      </c>
      <c r="G35" s="8" t="s">
        <v>80</v>
      </c>
      <c r="H35" s="32"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c r="W35" s="40" t="str">
        <f t="shared" si="0"/>
        <v>Arjun Rao</v>
      </c>
      <c r="X35" s="35">
        <f t="shared" ca="1" si="1"/>
        <v>22</v>
      </c>
      <c r="Y35" s="29">
        <f t="shared" si="2"/>
        <v>10</v>
      </c>
      <c r="Z35" s="41" t="e" cm="1">
        <f t="array" aca="1" ref="Z35" ca="1">_xlfn.IFS(Y35&lt;=5, "On time", AND(Y35&gt;5, Y35&lt;&gt;" "), "Delayed", Y35=" ", "pending" )</f>
        <v>#NAME?</v>
      </c>
    </row>
    <row r="36" spans="1:26">
      <c r="A36" s="3" t="s">
        <v>284</v>
      </c>
      <c r="B36" s="4" t="s">
        <v>131</v>
      </c>
      <c r="C36" s="4" t="s">
        <v>263</v>
      </c>
      <c r="D36" s="4" t="s">
        <v>285</v>
      </c>
      <c r="E36" s="4" t="s">
        <v>286</v>
      </c>
      <c r="F36" s="4" t="s">
        <v>204</v>
      </c>
      <c r="G36" s="4" t="s">
        <v>80</v>
      </c>
      <c r="H36" s="31"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c r="W36" s="40" t="str">
        <f t="shared" si="0"/>
        <v>Rohit Singh</v>
      </c>
      <c r="X36" s="35">
        <f t="shared" ca="1" si="1"/>
        <v>30</v>
      </c>
      <c r="Y36" s="29">
        <f t="shared" si="2"/>
        <v>10</v>
      </c>
      <c r="Z36" s="41" t="e" cm="1">
        <f t="array" aca="1" ref="Z36" ca="1">_xlfn.IFS(Y36&lt;=5, "On time", AND(Y36&gt;5, Y36&lt;&gt;" "), "Delayed", Y36=" ", "pending" )</f>
        <v>#NAME?</v>
      </c>
    </row>
    <row r="37" spans="1:26">
      <c r="A37" s="7" t="s">
        <v>289</v>
      </c>
      <c r="B37" s="8" t="s">
        <v>131</v>
      </c>
      <c r="C37" s="8" t="s">
        <v>76</v>
      </c>
      <c r="D37" s="8" t="s">
        <v>290</v>
      </c>
      <c r="E37" s="8" t="s">
        <v>291</v>
      </c>
      <c r="F37" s="8" t="s">
        <v>204</v>
      </c>
      <c r="G37" s="8" t="s">
        <v>80</v>
      </c>
      <c r="H37" s="32"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c r="W37" s="40" t="str">
        <f t="shared" si="0"/>
        <v>Rohit Singh</v>
      </c>
      <c r="X37" s="35">
        <f t="shared" ca="1" si="1"/>
        <v>47</v>
      </c>
      <c r="Y37" s="29">
        <f t="shared" si="2"/>
        <v>7</v>
      </c>
      <c r="Z37" s="41" t="e" cm="1">
        <f t="array" aca="1" ref="Z37" ca="1">_xlfn.IFS(Y37&lt;=5, "On time", AND(Y37&gt;5, Y37&lt;&gt;" "), "Delayed", Y37=" ", "pending" )</f>
        <v>#NAME?</v>
      </c>
    </row>
    <row r="38" spans="1:26">
      <c r="A38" s="3" t="s">
        <v>294</v>
      </c>
      <c r="B38" s="4" t="s">
        <v>75</v>
      </c>
      <c r="C38" s="4" t="s">
        <v>58</v>
      </c>
      <c r="D38" s="4" t="s">
        <v>295</v>
      </c>
      <c r="E38" s="4" t="s">
        <v>296</v>
      </c>
      <c r="F38" s="4" t="s">
        <v>221</v>
      </c>
      <c r="G38" s="4" t="s">
        <v>80</v>
      </c>
      <c r="H38" s="31"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c r="W38" s="40" t="str">
        <f t="shared" si="0"/>
        <v>Mohit Verma</v>
      </c>
      <c r="X38" s="35">
        <f t="shared" ca="1" si="1"/>
        <v>45</v>
      </c>
      <c r="Y38" s="29">
        <f t="shared" si="2"/>
        <v>9</v>
      </c>
      <c r="Z38" s="41" t="e" cm="1">
        <f t="array" aca="1" ref="Z38" ca="1">_xlfn.IFS(Y38&lt;=5, "On time", AND(Y38&gt;5, Y38&lt;&gt;" "), "Delayed", Y38=" ", "pending" )</f>
        <v>#NAME?</v>
      </c>
    </row>
    <row r="39" spans="1:26">
      <c r="A39" s="7" t="s">
        <v>301</v>
      </c>
      <c r="B39" s="8" t="s">
        <v>255</v>
      </c>
      <c r="C39" s="8" t="s">
        <v>96</v>
      </c>
      <c r="D39" s="8" t="s">
        <v>302</v>
      </c>
      <c r="E39" s="8" t="s">
        <v>246</v>
      </c>
      <c r="F39" s="8" t="s">
        <v>258</v>
      </c>
      <c r="G39" s="8" t="s">
        <v>32</v>
      </c>
      <c r="H39" s="32"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c r="W39" s="40" t="str">
        <f t="shared" si="0"/>
        <v>Sneha Joshi</v>
      </c>
      <c r="X39" s="35">
        <f t="shared" ca="1" si="1"/>
        <v>46</v>
      </c>
      <c r="Y39" s="29">
        <f t="shared" si="2"/>
        <v>12</v>
      </c>
      <c r="Z39" s="41" t="e" cm="1">
        <f t="array" aca="1" ref="Z39" ca="1">_xlfn.IFS(Y39&lt;=5, "On time", AND(Y39&gt;5, Y39&lt;&gt;" "), "Delayed", Y39=" ", "pending" )</f>
        <v>#NAME?</v>
      </c>
    </row>
    <row r="40" spans="1:26">
      <c r="A40" s="3" t="s">
        <v>305</v>
      </c>
      <c r="B40" s="4" t="s">
        <v>27</v>
      </c>
      <c r="C40" s="4" t="s">
        <v>226</v>
      </c>
      <c r="D40" s="4" t="s">
        <v>306</v>
      </c>
      <c r="E40" s="4" t="s">
        <v>307</v>
      </c>
      <c r="F40" s="4" t="s">
        <v>31</v>
      </c>
      <c r="G40" s="4" t="s">
        <v>32</v>
      </c>
      <c r="H40" s="31"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c r="W40" s="40" t="str">
        <f t="shared" si="0"/>
        <v>Kavya Nair</v>
      </c>
      <c r="X40" s="35">
        <f t="shared" ca="1" si="1"/>
        <v>47</v>
      </c>
      <c r="Y40" s="29">
        <f t="shared" si="2"/>
        <v>6</v>
      </c>
      <c r="Z40" s="41" t="e" cm="1">
        <f t="array" aca="1" ref="Z40" ca="1">_xlfn.IFS(Y40&lt;=5, "On time", AND(Y40&gt;5, Y40&lt;&gt;" "), "Delayed", Y40=" ", "pending" )</f>
        <v>#NAME?</v>
      </c>
    </row>
    <row r="41" spans="1:26">
      <c r="A41" s="7" t="s">
        <v>311</v>
      </c>
      <c r="B41" s="8" t="s">
        <v>57</v>
      </c>
      <c r="C41" s="8" t="s">
        <v>173</v>
      </c>
      <c r="D41" s="8" t="s">
        <v>312</v>
      </c>
      <c r="E41" s="8" t="s">
        <v>313</v>
      </c>
      <c r="F41" s="8" t="s">
        <v>167</v>
      </c>
      <c r="G41" s="8" t="s">
        <v>32</v>
      </c>
      <c r="H41" s="32"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c r="W41" s="40" t="str">
        <f t="shared" si="0"/>
        <v>Pooja Shah</v>
      </c>
      <c r="X41" s="35">
        <f t="shared" ca="1" si="1"/>
        <v>34</v>
      </c>
      <c r="Y41" s="29">
        <f t="shared" si="2"/>
        <v>10</v>
      </c>
      <c r="Z41" s="41" t="e" cm="1">
        <f t="array" aca="1" ref="Z41" ca="1">_xlfn.IFS(Y41&lt;=5, "On time", AND(Y41&gt;5, Y41&lt;&gt;" "), "Delayed", Y41=" ", "pending" )</f>
        <v>#NAME?</v>
      </c>
    </row>
    <row r="42" spans="1:26">
      <c r="A42" s="3" t="s">
        <v>316</v>
      </c>
      <c r="B42" s="4" t="s">
        <v>87</v>
      </c>
      <c r="C42" s="4" t="s">
        <v>122</v>
      </c>
      <c r="D42" s="4" t="s">
        <v>317</v>
      </c>
      <c r="E42" s="4" t="s">
        <v>318</v>
      </c>
      <c r="F42" s="4" t="s">
        <v>184</v>
      </c>
      <c r="G42" s="4" t="s">
        <v>80</v>
      </c>
      <c r="H42" s="31"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c r="W42" s="40" t="str">
        <f t="shared" si="0"/>
        <v>Arjun Rao</v>
      </c>
      <c r="X42" s="35">
        <f t="shared" ca="1" si="1"/>
        <v>32</v>
      </c>
      <c r="Y42" s="29">
        <f t="shared" si="2"/>
        <v>2</v>
      </c>
      <c r="Z42" s="41" t="e" cm="1">
        <f t="array" aca="1" ref="Z42" ca="1">_xlfn.IFS(Y42&lt;=5, "On time", AND(Y42&gt;5, Y42&lt;&gt;" "), "Delayed", Y42=" ", "pending" )</f>
        <v>#NAME?</v>
      </c>
    </row>
    <row r="43" spans="1:26">
      <c r="A43" s="7" t="s">
        <v>321</v>
      </c>
      <c r="B43" s="8" t="s">
        <v>57</v>
      </c>
      <c r="C43" s="8" t="s">
        <v>96</v>
      </c>
      <c r="D43" s="8" t="s">
        <v>322</v>
      </c>
      <c r="E43" s="8" t="s">
        <v>264</v>
      </c>
      <c r="F43" s="8" t="s">
        <v>167</v>
      </c>
      <c r="G43" s="8" t="s">
        <v>32</v>
      </c>
      <c r="H43" s="32"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c r="W43" s="40" t="str">
        <f t="shared" si="0"/>
        <v>Pooja Shah</v>
      </c>
      <c r="X43" s="35">
        <f t="shared" ca="1" si="1"/>
        <v>37</v>
      </c>
      <c r="Y43" s="29">
        <f t="shared" si="2"/>
        <v>12</v>
      </c>
      <c r="Z43" s="41" t="e" cm="1">
        <f t="array" aca="1" ref="Z43" ca="1">_xlfn.IFS(Y43&lt;=5, "On time", AND(Y43&gt;5, Y43&lt;&gt;" "), "Delayed", Y43=" ", "pending" )</f>
        <v>#NAME?</v>
      </c>
    </row>
    <row r="44" spans="1:26">
      <c r="A44" s="3" t="s">
        <v>325</v>
      </c>
      <c r="B44" s="4" t="s">
        <v>75</v>
      </c>
      <c r="C44" s="4" t="s">
        <v>173</v>
      </c>
      <c r="D44" s="4" t="s">
        <v>326</v>
      </c>
      <c r="E44" s="4" t="s">
        <v>327</v>
      </c>
      <c r="F44" s="4" t="s">
        <v>221</v>
      </c>
      <c r="G44" s="4" t="s">
        <v>80</v>
      </c>
      <c r="H44" s="31"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c r="W44" s="40" t="str">
        <f t="shared" si="0"/>
        <v>Mohit Verma</v>
      </c>
      <c r="X44" s="35">
        <f t="shared" ca="1" si="1"/>
        <v>25</v>
      </c>
      <c r="Y44" s="29">
        <f t="shared" si="2"/>
        <v>6</v>
      </c>
      <c r="Z44" s="41" t="e" cm="1">
        <f t="array" aca="1" ref="Z44" ca="1">_xlfn.IFS(Y44&lt;=5, "On time", AND(Y44&gt;5, Y44&lt;&gt;" "), "Delayed", Y44=" ", "pending" )</f>
        <v>#NAME?</v>
      </c>
    </row>
    <row r="45" spans="1:26">
      <c r="A45" s="7" t="s">
        <v>330</v>
      </c>
      <c r="B45" s="8" t="s">
        <v>331</v>
      </c>
      <c r="C45" s="8" t="s">
        <v>263</v>
      </c>
      <c r="D45" s="8" t="s">
        <v>332</v>
      </c>
      <c r="E45" s="8" t="s">
        <v>333</v>
      </c>
      <c r="F45" s="8" t="s">
        <v>334</v>
      </c>
      <c r="G45" s="8" t="s">
        <v>80</v>
      </c>
      <c r="H45" s="32"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c r="W45" s="40" t="str">
        <f t="shared" si="0"/>
        <v>Amit Sharma</v>
      </c>
      <c r="X45" s="35">
        <f t="shared" ca="1" si="1"/>
        <v>34</v>
      </c>
      <c r="Y45" s="29">
        <f t="shared" si="2"/>
        <v>1</v>
      </c>
      <c r="Z45" s="41" t="e" cm="1">
        <f t="array" aca="1" ref="Z45" ca="1">_xlfn.IFS(Y45&lt;=5, "On time", AND(Y45&gt;5, Y45&lt;&gt;" "), "Delayed", Y45=" ", "pending" )</f>
        <v>#NAME?</v>
      </c>
    </row>
    <row r="46" spans="1:26">
      <c r="A46" s="3" t="s">
        <v>338</v>
      </c>
      <c r="B46" s="4" t="s">
        <v>255</v>
      </c>
      <c r="C46" s="4" t="s">
        <v>28</v>
      </c>
      <c r="D46" s="4" t="s">
        <v>339</v>
      </c>
      <c r="E46" s="4" t="s">
        <v>340</v>
      </c>
      <c r="F46" s="4" t="s">
        <v>258</v>
      </c>
      <c r="G46" s="4" t="s">
        <v>32</v>
      </c>
      <c r="H46" s="31"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c r="W46" s="40" t="str">
        <f t="shared" si="0"/>
        <v>Sneha Joshi</v>
      </c>
      <c r="X46" s="35">
        <f t="shared" ca="1" si="1"/>
        <v>37</v>
      </c>
      <c r="Y46" s="29">
        <f t="shared" si="2"/>
        <v>3</v>
      </c>
      <c r="Z46" s="41" t="e" cm="1">
        <f t="array" aca="1" ref="Z46" ca="1">_xlfn.IFS(Y46&lt;=5, "On time", AND(Y46&gt;5, Y46&lt;&gt;" "), "Delayed", Y46=" ", "pending" )</f>
        <v>#NAME?</v>
      </c>
    </row>
    <row r="47" spans="1:26">
      <c r="A47" s="7" t="s">
        <v>343</v>
      </c>
      <c r="B47" s="8" t="s">
        <v>75</v>
      </c>
      <c r="C47" s="8" t="s">
        <v>96</v>
      </c>
      <c r="D47" s="8" t="s">
        <v>344</v>
      </c>
      <c r="E47" s="8" t="s">
        <v>345</v>
      </c>
      <c r="F47" s="8" t="s">
        <v>221</v>
      </c>
      <c r="G47" s="8" t="s">
        <v>80</v>
      </c>
      <c r="H47" s="32"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c r="W47" s="40" t="str">
        <f t="shared" si="0"/>
        <v>Mohit Verma</v>
      </c>
      <c r="X47" s="35">
        <f t="shared" ca="1" si="1"/>
        <v>23</v>
      </c>
      <c r="Y47" s="29">
        <f t="shared" si="2"/>
        <v>10</v>
      </c>
      <c r="Z47" s="41" t="e" cm="1">
        <f t="array" aca="1" ref="Z47" ca="1">_xlfn.IFS(Y47&lt;=5, "On time", AND(Y47&gt;5, Y47&lt;&gt;" "), "Delayed", Y47=" ", "pending" )</f>
        <v>#NAME?</v>
      </c>
    </row>
    <row r="48" spans="1:26">
      <c r="A48" s="3" t="s">
        <v>348</v>
      </c>
      <c r="B48" s="4" t="s">
        <v>255</v>
      </c>
      <c r="C48" s="4" t="s">
        <v>188</v>
      </c>
      <c r="D48" s="4" t="s">
        <v>349</v>
      </c>
      <c r="E48" s="4" t="s">
        <v>350</v>
      </c>
      <c r="F48" s="4" t="s">
        <v>258</v>
      </c>
      <c r="G48" s="4" t="s">
        <v>32</v>
      </c>
      <c r="H48" s="31"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c r="W48" s="40" t="str">
        <f t="shared" si="0"/>
        <v>Sneha Joshi</v>
      </c>
      <c r="X48" s="35">
        <f t="shared" ca="1" si="1"/>
        <v>26</v>
      </c>
      <c r="Y48" s="29">
        <f t="shared" si="2"/>
        <v>3</v>
      </c>
      <c r="Z48" s="41" t="e" cm="1">
        <f t="array" aca="1" ref="Z48" ca="1">_xlfn.IFS(Y48&lt;=5, "On time", AND(Y48&gt;5, Y48&lt;&gt;" "), "Delayed", Y48=" ", "pending" )</f>
        <v>#NAME?</v>
      </c>
    </row>
    <row r="49" spans="1:26">
      <c r="A49" s="7" t="s">
        <v>354</v>
      </c>
      <c r="B49" s="8" t="s">
        <v>255</v>
      </c>
      <c r="C49" s="8" t="s">
        <v>188</v>
      </c>
      <c r="D49" s="8" t="s">
        <v>355</v>
      </c>
      <c r="E49" s="8" t="s">
        <v>356</v>
      </c>
      <c r="F49" s="8" t="s">
        <v>258</v>
      </c>
      <c r="G49" s="8" t="s">
        <v>32</v>
      </c>
      <c r="H49" s="32"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c r="W49" s="40" t="str">
        <f t="shared" si="0"/>
        <v>Sneha Joshi</v>
      </c>
      <c r="X49" s="35">
        <f t="shared" ca="1" si="1"/>
        <v>27</v>
      </c>
      <c r="Y49" s="29">
        <f t="shared" si="2"/>
        <v>6</v>
      </c>
      <c r="Z49" s="41" t="e" cm="1">
        <f t="array" aca="1" ref="Z49" ca="1">_xlfn.IFS(Y49&lt;=5, "On time", AND(Y49&gt;5, Y49&lt;&gt;" "), "Delayed", Y49=" ", "pending" )</f>
        <v>#NAME?</v>
      </c>
    </row>
    <row r="50" spans="1:26">
      <c r="A50" s="3" t="s">
        <v>359</v>
      </c>
      <c r="B50" s="4" t="s">
        <v>75</v>
      </c>
      <c r="C50" s="4" t="s">
        <v>44</v>
      </c>
      <c r="D50" s="4" t="s">
        <v>360</v>
      </c>
      <c r="E50" s="4"/>
      <c r="F50" s="4" t="s">
        <v>221</v>
      </c>
      <c r="G50" s="4" t="s">
        <v>80</v>
      </c>
      <c r="H50" s="31"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c r="W50" s="40" t="str">
        <f t="shared" si="0"/>
        <v>Mohit Verma</v>
      </c>
      <c r="X50" s="35">
        <f t="shared" ca="1" si="1"/>
        <v>30</v>
      </c>
      <c r="Y50" s="29" t="str">
        <f t="shared" si="2"/>
        <v xml:space="preserve"> </v>
      </c>
      <c r="Z50" s="41" t="e" cm="1">
        <f t="array" aca="1" ref="Z50" ca="1">_xlfn.IFS(Y50&lt;=5, "On time", AND(Y50&gt;5, Y50&lt;&gt;" "), "Delayed", Y50=" ", "pending" )</f>
        <v>#NAME?</v>
      </c>
    </row>
    <row r="51" spans="1:26">
      <c r="A51" s="7" t="s">
        <v>363</v>
      </c>
      <c r="B51" s="8" t="s">
        <v>172</v>
      </c>
      <c r="C51" s="8" t="s">
        <v>76</v>
      </c>
      <c r="D51" s="8" t="s">
        <v>360</v>
      </c>
      <c r="E51" s="8" t="s">
        <v>364</v>
      </c>
      <c r="F51" s="8" t="s">
        <v>365</v>
      </c>
      <c r="G51" s="8" t="s">
        <v>32</v>
      </c>
      <c r="H51" s="32"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c r="W51" s="40" t="str">
        <f t="shared" si="0"/>
        <v>Anita Gupta</v>
      </c>
      <c r="X51" s="35">
        <f t="shared" ca="1" si="1"/>
        <v>39</v>
      </c>
      <c r="Y51" s="29">
        <f t="shared" si="2"/>
        <v>2</v>
      </c>
      <c r="Z51" s="41" t="e" cm="1">
        <f t="array" aca="1" ref="Z51" ca="1">_xlfn.IFS(Y51&lt;=5, "On time", AND(Y51&gt;5, Y51&lt;&gt;" "), "Delayed", Y51=" ", "pending" )</f>
        <v>#NAME?</v>
      </c>
    </row>
    <row r="52" spans="1:26">
      <c r="A52" s="3" t="s">
        <v>368</v>
      </c>
      <c r="B52" s="4" t="s">
        <v>57</v>
      </c>
      <c r="C52" s="4" t="s">
        <v>28</v>
      </c>
      <c r="D52" s="4" t="s">
        <v>369</v>
      </c>
      <c r="E52" s="4" t="s">
        <v>370</v>
      </c>
      <c r="F52" s="4" t="s">
        <v>371</v>
      </c>
      <c r="G52" s="4" t="s">
        <v>32</v>
      </c>
      <c r="H52" s="31"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c r="W52" s="40" t="str">
        <f t="shared" si="0"/>
        <v>Pooja Shah</v>
      </c>
      <c r="X52" s="35">
        <f t="shared" ca="1" si="1"/>
        <v>47</v>
      </c>
      <c r="Y52" s="29">
        <f t="shared" si="2"/>
        <v>10</v>
      </c>
      <c r="Z52" s="41" t="e" cm="1">
        <f t="array" aca="1" ref="Z52" ca="1">_xlfn.IFS(Y52&lt;=5, "On time", AND(Y52&gt;5, Y52&lt;&gt;" "), "Delayed", Y52=" ", "pending" )</f>
        <v>#NAME?</v>
      </c>
    </row>
    <row r="53" spans="1:26">
      <c r="A53" s="7" t="s">
        <v>374</v>
      </c>
      <c r="B53" s="8" t="s">
        <v>104</v>
      </c>
      <c r="C53" s="8" t="s">
        <v>122</v>
      </c>
      <c r="D53" s="8" t="s">
        <v>375</v>
      </c>
      <c r="E53" s="8" t="s">
        <v>376</v>
      </c>
      <c r="F53" s="8" t="s">
        <v>107</v>
      </c>
      <c r="G53" s="8" t="s">
        <v>32</v>
      </c>
      <c r="H53" s="32"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c r="W53" s="40" t="str">
        <f t="shared" si="0"/>
        <v>Priya Patel</v>
      </c>
      <c r="X53" s="35">
        <f t="shared" ca="1" si="1"/>
        <v>25</v>
      </c>
      <c r="Y53" s="29">
        <f t="shared" si="2"/>
        <v>3</v>
      </c>
      <c r="Z53" s="41" t="e" cm="1">
        <f t="array" aca="1" ref="Z53" ca="1">_xlfn.IFS(Y53&lt;=5, "On time", AND(Y53&gt;5, Y53&lt;&gt;" "), "Delayed", Y53=" ", "pending" )</f>
        <v>#NAME?</v>
      </c>
    </row>
    <row r="54" spans="1:26">
      <c r="A54" s="3" t="s">
        <v>379</v>
      </c>
      <c r="B54" s="4" t="s">
        <v>225</v>
      </c>
      <c r="C54" s="4" t="s">
        <v>58</v>
      </c>
      <c r="D54" s="4" t="s">
        <v>380</v>
      </c>
      <c r="E54" s="4" t="s">
        <v>381</v>
      </c>
      <c r="F54" s="4" t="s">
        <v>229</v>
      </c>
      <c r="G54" s="4" t="s">
        <v>80</v>
      </c>
      <c r="H54" s="31"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c r="W54" s="40" t="str">
        <f t="shared" si="0"/>
        <v>Vikas Mehta</v>
      </c>
      <c r="X54" s="35">
        <f t="shared" ca="1" si="1"/>
        <v>50</v>
      </c>
      <c r="Y54" s="29">
        <f t="shared" si="2"/>
        <v>4</v>
      </c>
      <c r="Z54" s="41" t="e" cm="1">
        <f t="array" aca="1" ref="Z54" ca="1">_xlfn.IFS(Y54&lt;=5, "On time", AND(Y54&gt;5, Y54&lt;&gt;" "), "Delayed", Y54=" ", "pending" )</f>
        <v>#NAME?</v>
      </c>
    </row>
    <row r="55" spans="1:26">
      <c r="A55" s="7" t="s">
        <v>384</v>
      </c>
      <c r="B55" s="8" t="s">
        <v>27</v>
      </c>
      <c r="C55" s="8" t="s">
        <v>188</v>
      </c>
      <c r="D55" s="8" t="s">
        <v>385</v>
      </c>
      <c r="E55" s="8" t="s">
        <v>386</v>
      </c>
      <c r="F55" s="8" t="s">
        <v>31</v>
      </c>
      <c r="G55" s="8" t="s">
        <v>32</v>
      </c>
      <c r="H55" s="32"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c r="W55" s="40" t="str">
        <f t="shared" si="0"/>
        <v>Kavya Nair</v>
      </c>
      <c r="X55" s="35">
        <f t="shared" ca="1" si="1"/>
        <v>51</v>
      </c>
      <c r="Y55" s="29">
        <f t="shared" si="2"/>
        <v>9</v>
      </c>
      <c r="Z55" s="41" t="e" cm="1">
        <f t="array" aca="1" ref="Z55" ca="1">_xlfn.IFS(Y55&lt;=5, "On time", AND(Y55&gt;5, Y55&lt;&gt;" "), "Delayed", Y55=" ", "pending" )</f>
        <v>#NAME?</v>
      </c>
    </row>
    <row r="56" spans="1:26">
      <c r="A56" s="3" t="s">
        <v>389</v>
      </c>
      <c r="B56" s="4" t="s">
        <v>131</v>
      </c>
      <c r="C56" s="4" t="s">
        <v>122</v>
      </c>
      <c r="D56" s="4" t="s">
        <v>390</v>
      </c>
      <c r="E56" s="4" t="s">
        <v>391</v>
      </c>
      <c r="F56" s="4" t="s">
        <v>392</v>
      </c>
      <c r="G56" s="4" t="s">
        <v>80</v>
      </c>
      <c r="H56" s="31"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c r="W56" s="40" t="str">
        <f t="shared" si="0"/>
        <v>Rohit Singh</v>
      </c>
      <c r="X56" s="35">
        <f t="shared" ca="1" si="1"/>
        <v>49</v>
      </c>
      <c r="Y56" s="29">
        <f t="shared" si="2"/>
        <v>5</v>
      </c>
      <c r="Z56" s="41" t="e" cm="1">
        <f t="array" aca="1" ref="Z56" ca="1">_xlfn.IFS(Y56&lt;=5, "On time", AND(Y56&gt;5, Y56&lt;&gt;" "), "Delayed", Y56=" ", "pending" )</f>
        <v>#NAME?</v>
      </c>
    </row>
    <row r="57" spans="1:26">
      <c r="A57" s="7" t="s">
        <v>395</v>
      </c>
      <c r="B57" s="8" t="s">
        <v>331</v>
      </c>
      <c r="C57" s="8" t="s">
        <v>122</v>
      </c>
      <c r="D57" s="8" t="s">
        <v>396</v>
      </c>
      <c r="E57" s="8" t="s">
        <v>397</v>
      </c>
      <c r="F57" s="8" t="s">
        <v>398</v>
      </c>
      <c r="G57" s="8" t="s">
        <v>80</v>
      </c>
      <c r="H57" s="32"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c r="W57" s="40" t="str">
        <f t="shared" si="0"/>
        <v>Amit Sharma</v>
      </c>
      <c r="X57" s="35">
        <f t="shared" ca="1" si="1"/>
        <v>46</v>
      </c>
      <c r="Y57" s="29">
        <f t="shared" si="2"/>
        <v>1</v>
      </c>
      <c r="Z57" s="41" t="e" cm="1">
        <f t="array" aca="1" ref="Z57" ca="1">_xlfn.IFS(Y57&lt;=5, "On time", AND(Y57&gt;5, Y57&lt;&gt;" "), "Delayed", Y57=" ", "pending" )</f>
        <v>#NAME?</v>
      </c>
    </row>
    <row r="58" spans="1:26">
      <c r="A58" s="3" t="s">
        <v>401</v>
      </c>
      <c r="B58" s="4" t="s">
        <v>331</v>
      </c>
      <c r="C58" s="4" t="s">
        <v>188</v>
      </c>
      <c r="D58" s="4" t="s">
        <v>402</v>
      </c>
      <c r="E58" s="4" t="s">
        <v>403</v>
      </c>
      <c r="F58" s="4" t="s">
        <v>398</v>
      </c>
      <c r="G58" s="4" t="s">
        <v>80</v>
      </c>
      <c r="H58" s="31"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c r="W58" s="40" t="str">
        <f t="shared" si="0"/>
        <v>Amit Sharma</v>
      </c>
      <c r="X58" s="35">
        <f t="shared" ca="1" si="1"/>
        <v>47</v>
      </c>
      <c r="Y58" s="29">
        <f t="shared" si="2"/>
        <v>6</v>
      </c>
      <c r="Z58" s="41" t="e" cm="1">
        <f t="array" aca="1" ref="Z58" ca="1">_xlfn.IFS(Y58&lt;=5, "On time", AND(Y58&gt;5, Y58&lt;&gt;" "), "Delayed", Y58=" ", "pending" )</f>
        <v>#NAME?</v>
      </c>
    </row>
    <row r="59" spans="1:26">
      <c r="A59" s="7" t="s">
        <v>407</v>
      </c>
      <c r="B59" s="8" t="s">
        <v>131</v>
      </c>
      <c r="C59" s="8" t="s">
        <v>263</v>
      </c>
      <c r="D59" s="8" t="s">
        <v>245</v>
      </c>
      <c r="E59" s="8" t="s">
        <v>408</v>
      </c>
      <c r="F59" s="8" t="s">
        <v>204</v>
      </c>
      <c r="G59" s="8" t="s">
        <v>80</v>
      </c>
      <c r="H59" s="32"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c r="W59" s="40" t="str">
        <f t="shared" si="0"/>
        <v>Rohit Singh</v>
      </c>
      <c r="X59" s="35">
        <f t="shared" ca="1" si="1"/>
        <v>51</v>
      </c>
      <c r="Y59" s="29">
        <f t="shared" si="2"/>
        <v>6</v>
      </c>
      <c r="Z59" s="41" t="e" cm="1">
        <f t="array" aca="1" ref="Z59" ca="1">_xlfn.IFS(Y59&lt;=5, "On time", AND(Y59&gt;5, Y59&lt;&gt;" "), "Delayed", Y59=" ", "pending" )</f>
        <v>#NAME?</v>
      </c>
    </row>
    <row r="60" spans="1:26">
      <c r="A60" s="3" t="s">
        <v>411</v>
      </c>
      <c r="B60" s="4" t="s">
        <v>87</v>
      </c>
      <c r="C60" s="4" t="s">
        <v>226</v>
      </c>
      <c r="D60" s="4" t="s">
        <v>412</v>
      </c>
      <c r="E60" s="4" t="s">
        <v>265</v>
      </c>
      <c r="F60" s="4" t="s">
        <v>184</v>
      </c>
      <c r="G60" s="4" t="s">
        <v>80</v>
      </c>
      <c r="H60" s="31"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c r="W60" s="40" t="str">
        <f t="shared" si="0"/>
        <v>Arjun Rao</v>
      </c>
      <c r="X60" s="35">
        <f t="shared" ca="1" si="1"/>
        <v>37</v>
      </c>
      <c r="Y60" s="29">
        <f t="shared" si="2"/>
        <v>11</v>
      </c>
      <c r="Z60" s="41" t="e" cm="1">
        <f t="array" aca="1" ref="Z60" ca="1">_xlfn.IFS(Y60&lt;=5, "On time", AND(Y60&gt;5, Y60&lt;&gt;" "), "Delayed", Y60=" ", "pending" )</f>
        <v>#NAME?</v>
      </c>
    </row>
    <row r="61" spans="1:26">
      <c r="A61" s="7" t="s">
        <v>416</v>
      </c>
      <c r="B61" s="8" t="s">
        <v>225</v>
      </c>
      <c r="C61" s="8" t="s">
        <v>188</v>
      </c>
      <c r="D61" s="8" t="s">
        <v>417</v>
      </c>
      <c r="E61" s="8" t="s">
        <v>418</v>
      </c>
      <c r="F61" s="8" t="s">
        <v>229</v>
      </c>
      <c r="G61" s="8" t="s">
        <v>80</v>
      </c>
      <c r="H61" s="32"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c r="W61" s="40" t="str">
        <f t="shared" si="0"/>
        <v>Vikas Mehta</v>
      </c>
      <c r="X61" s="35">
        <f t="shared" ca="1" si="1"/>
        <v>47</v>
      </c>
      <c r="Y61" s="29">
        <f t="shared" si="2"/>
        <v>1</v>
      </c>
      <c r="Z61" s="41" t="e" cm="1">
        <f t="array" aca="1" ref="Z61" ca="1">_xlfn.IFS(Y61&lt;=5, "On time", AND(Y61&gt;5, Y61&lt;&gt;" "), "Delayed", Y61=" ", "pending" )</f>
        <v>#NAME?</v>
      </c>
    </row>
    <row r="62" spans="1:26">
      <c r="A62" s="3" t="s">
        <v>422</v>
      </c>
      <c r="B62" s="4" t="s">
        <v>27</v>
      </c>
      <c r="C62" s="4" t="s">
        <v>226</v>
      </c>
      <c r="D62" s="4" t="s">
        <v>227</v>
      </c>
      <c r="E62" s="4" t="s">
        <v>360</v>
      </c>
      <c r="F62" s="4" t="s">
        <v>31</v>
      </c>
      <c r="G62" s="4" t="s">
        <v>32</v>
      </c>
      <c r="H62" s="31"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c r="W62" s="40" t="str">
        <f t="shared" si="0"/>
        <v>Kavya Nair</v>
      </c>
      <c r="X62" s="35">
        <f t="shared" ca="1" si="1"/>
        <v>22</v>
      </c>
      <c r="Y62" s="29">
        <f t="shared" si="2"/>
        <v>10</v>
      </c>
      <c r="Z62" s="41" t="e" cm="1">
        <f t="array" aca="1" ref="Z62" ca="1">_xlfn.IFS(Y62&lt;=5, "On time", AND(Y62&gt;5, Y62&lt;&gt;" "), "Delayed", Y62=" ", "pending" )</f>
        <v>#NAME?</v>
      </c>
    </row>
    <row r="63" spans="1:26">
      <c r="A63" s="7" t="s">
        <v>425</v>
      </c>
      <c r="B63" s="8" t="s">
        <v>104</v>
      </c>
      <c r="C63" s="8" t="s">
        <v>226</v>
      </c>
      <c r="D63" s="8" t="s">
        <v>426</v>
      </c>
      <c r="E63" s="8" t="s">
        <v>375</v>
      </c>
      <c r="F63" s="8" t="s">
        <v>107</v>
      </c>
      <c r="G63" s="8" t="s">
        <v>32</v>
      </c>
      <c r="H63" s="32"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c r="W63" s="40" t="str">
        <f t="shared" si="0"/>
        <v>Priya Patel</v>
      </c>
      <c r="X63" s="35">
        <f t="shared" ca="1" si="1"/>
        <v>42</v>
      </c>
      <c r="Y63" s="29">
        <f t="shared" si="2"/>
        <v>9</v>
      </c>
      <c r="Z63" s="41" t="e" cm="1">
        <f t="array" aca="1" ref="Z63" ca="1">_xlfn.IFS(Y63&lt;=5, "On time", AND(Y63&gt;5, Y63&lt;&gt;" "), "Delayed", Y63=" ", "pending" )</f>
        <v>#NAME?</v>
      </c>
    </row>
    <row r="64" spans="1:26">
      <c r="A64" s="3" t="s">
        <v>429</v>
      </c>
      <c r="B64" s="4" t="s">
        <v>57</v>
      </c>
      <c r="C64" s="4" t="s">
        <v>263</v>
      </c>
      <c r="D64" s="4" t="s">
        <v>430</v>
      </c>
      <c r="E64" s="4" t="s">
        <v>431</v>
      </c>
      <c r="F64" s="4" t="s">
        <v>167</v>
      </c>
      <c r="G64" s="4" t="s">
        <v>32</v>
      </c>
      <c r="H64" s="31"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c r="W64" s="40" t="str">
        <f t="shared" si="0"/>
        <v>Pooja Shah</v>
      </c>
      <c r="X64" s="35">
        <f t="shared" ca="1" si="1"/>
        <v>30</v>
      </c>
      <c r="Y64" s="29">
        <f t="shared" si="2"/>
        <v>7</v>
      </c>
      <c r="Z64" s="41" t="e" cm="1">
        <f t="array" aca="1" ref="Z64" ca="1">_xlfn.IFS(Y64&lt;=5, "On time", AND(Y64&gt;5, Y64&lt;&gt;" "), "Delayed", Y64=" ", "pending" )</f>
        <v>#NAME?</v>
      </c>
    </row>
    <row r="65" spans="1:26">
      <c r="A65" s="7" t="s">
        <v>434</v>
      </c>
      <c r="B65" s="8" t="s">
        <v>255</v>
      </c>
      <c r="C65" s="8" t="s">
        <v>188</v>
      </c>
      <c r="D65" s="8" t="s">
        <v>435</v>
      </c>
      <c r="E65" s="8" t="s">
        <v>417</v>
      </c>
      <c r="F65" s="8" t="s">
        <v>258</v>
      </c>
      <c r="G65" s="8" t="s">
        <v>32</v>
      </c>
      <c r="H65" s="32"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c r="W65" s="40" t="str">
        <f t="shared" si="0"/>
        <v>Sneha Joshi</v>
      </c>
      <c r="X65" s="35">
        <f t="shared" ca="1" si="1"/>
        <v>22</v>
      </c>
      <c r="Y65" s="29">
        <f t="shared" si="2"/>
        <v>4</v>
      </c>
      <c r="Z65" s="41" t="e" cm="1">
        <f t="array" aca="1" ref="Z65" ca="1">_xlfn.IFS(Y65&lt;=5, "On time", AND(Y65&gt;5, Y65&lt;&gt;" "), "Delayed", Y65=" ", "pending" )</f>
        <v>#NAME?</v>
      </c>
    </row>
    <row r="66" spans="1:26">
      <c r="A66" s="3" t="s">
        <v>438</v>
      </c>
      <c r="B66" s="4" t="s">
        <v>57</v>
      </c>
      <c r="C66" s="4" t="s">
        <v>263</v>
      </c>
      <c r="D66" s="4" t="s">
        <v>439</v>
      </c>
      <c r="E66" s="4" t="s">
        <v>440</v>
      </c>
      <c r="F66" s="4" t="s">
        <v>167</v>
      </c>
      <c r="G66" s="4" t="s">
        <v>32</v>
      </c>
      <c r="H66" s="31"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c r="W66" s="40" t="str">
        <f t="shared" ref="W66:W129" si="3">PROPER(TRIM(F66))</f>
        <v>Pooja Shah</v>
      </c>
      <c r="X66" s="35">
        <f t="shared" ca="1" si="1"/>
        <v>33</v>
      </c>
      <c r="Y66" s="29">
        <f t="shared" si="2"/>
        <v>3</v>
      </c>
      <c r="Z66" s="41" t="e" cm="1">
        <f t="array" aca="1" ref="Z66" ca="1">_xlfn.IFS(Y66&lt;=5, "On time", AND(Y66&gt;5, Y66&lt;&gt;" "), "Delayed", Y66=" ", "pending" )</f>
        <v>#NAME?</v>
      </c>
    </row>
    <row r="67" spans="1:26">
      <c r="A67" s="7" t="s">
        <v>443</v>
      </c>
      <c r="B67" s="8" t="s">
        <v>104</v>
      </c>
      <c r="C67" s="8" t="s">
        <v>28</v>
      </c>
      <c r="D67" s="8" t="s">
        <v>444</v>
      </c>
      <c r="E67" s="8" t="s">
        <v>445</v>
      </c>
      <c r="F67" s="8" t="s">
        <v>107</v>
      </c>
      <c r="G67" s="8" t="s">
        <v>32</v>
      </c>
      <c r="H67" s="32"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c r="W67" s="40" t="str">
        <f t="shared" si="3"/>
        <v>Priya Patel</v>
      </c>
      <c r="X67" s="35">
        <f t="shared" ref="X67:X130" ca="1" si="4">IFERROR(DATEDIF(H67, TODAY(), "y"), " ")</f>
        <v>39</v>
      </c>
      <c r="Y67" s="29">
        <f t="shared" ref="Y67:Y130" si="5">IFERROR(DATEDIF(D67, E67, "D"), " ")</f>
        <v>1</v>
      </c>
      <c r="Z67" s="41" t="e" cm="1">
        <f t="array" aca="1" ref="Z67" ca="1">_xlfn.IFS(Y67&lt;=5, "On time", AND(Y67&gt;5, Y67&lt;&gt;" "), "Delayed", Y67=" ", "pending" )</f>
        <v>#NAME?</v>
      </c>
    </row>
    <row r="68" spans="1:26">
      <c r="A68" s="3" t="s">
        <v>448</v>
      </c>
      <c r="B68" s="4" t="s">
        <v>27</v>
      </c>
      <c r="C68" s="4" t="s">
        <v>263</v>
      </c>
      <c r="D68" s="4" t="s">
        <v>449</v>
      </c>
      <c r="E68" s="4" t="s">
        <v>450</v>
      </c>
      <c r="F68" s="4" t="s">
        <v>31</v>
      </c>
      <c r="G68" s="4" t="s">
        <v>32</v>
      </c>
      <c r="H68" s="31"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c r="W68" s="40" t="str">
        <f t="shared" si="3"/>
        <v>Kavya Nair</v>
      </c>
      <c r="X68" s="35">
        <f t="shared" ca="1" si="4"/>
        <v>41</v>
      </c>
      <c r="Y68" s="29">
        <f t="shared" si="5"/>
        <v>4</v>
      </c>
      <c r="Z68" s="41" t="e" cm="1">
        <f t="array" aca="1" ref="Z68" ca="1">_xlfn.IFS(Y68&lt;=5, "On time", AND(Y68&gt;5, Y68&lt;&gt;" "), "Delayed", Y68=" ", "pending" )</f>
        <v>#NAME?</v>
      </c>
    </row>
    <row r="69" spans="1:26">
      <c r="A69" s="7" t="s">
        <v>453</v>
      </c>
      <c r="B69" s="8" t="s">
        <v>255</v>
      </c>
      <c r="C69" s="8" t="s">
        <v>96</v>
      </c>
      <c r="D69" s="8" t="s">
        <v>454</v>
      </c>
      <c r="E69" s="8" t="s">
        <v>327</v>
      </c>
      <c r="F69" s="8" t="s">
        <v>258</v>
      </c>
      <c r="G69" s="8" t="s">
        <v>32</v>
      </c>
      <c r="H69" s="32"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c r="W69" s="40" t="str">
        <f t="shared" si="3"/>
        <v>Sneha Joshi</v>
      </c>
      <c r="X69" s="35">
        <f t="shared" ca="1" si="4"/>
        <v>46</v>
      </c>
      <c r="Y69" s="29">
        <f t="shared" si="5"/>
        <v>5</v>
      </c>
      <c r="Z69" s="41" t="e" cm="1">
        <f t="array" aca="1" ref="Z69" ca="1">_xlfn.IFS(Y69&lt;=5, "On time", AND(Y69&gt;5, Y69&lt;&gt;" "), "Delayed", Y69=" ", "pending" )</f>
        <v>#NAME?</v>
      </c>
    </row>
    <row r="70" spans="1:26">
      <c r="A70" s="3" t="s">
        <v>457</v>
      </c>
      <c r="B70" s="4" t="s">
        <v>57</v>
      </c>
      <c r="C70" s="4" t="s">
        <v>173</v>
      </c>
      <c r="D70" s="4" t="s">
        <v>458</v>
      </c>
      <c r="E70" s="4" t="s">
        <v>459</v>
      </c>
      <c r="F70" s="4" t="s">
        <v>167</v>
      </c>
      <c r="G70" s="4" t="s">
        <v>32</v>
      </c>
      <c r="H70" s="31"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c r="W70" s="40" t="str">
        <f t="shared" si="3"/>
        <v>Pooja Shah</v>
      </c>
      <c r="X70" s="35">
        <f t="shared" ca="1" si="4"/>
        <v>49</v>
      </c>
      <c r="Y70" s="29">
        <f t="shared" si="5"/>
        <v>5</v>
      </c>
      <c r="Z70" s="41" t="e" cm="1">
        <f t="array" aca="1" ref="Z70" ca="1">_xlfn.IFS(Y70&lt;=5, "On time", AND(Y70&gt;5, Y70&lt;&gt;" "), "Delayed", Y70=" ", "pending" )</f>
        <v>#NAME?</v>
      </c>
    </row>
    <row r="71" spans="1:26">
      <c r="A71" s="7" t="s">
        <v>462</v>
      </c>
      <c r="B71" s="8" t="s">
        <v>27</v>
      </c>
      <c r="C71" s="8" t="s">
        <v>58</v>
      </c>
      <c r="D71" s="8" t="s">
        <v>370</v>
      </c>
      <c r="E71" s="8" t="s">
        <v>463</v>
      </c>
      <c r="F71" s="8" t="s">
        <v>31</v>
      </c>
      <c r="G71" s="8" t="s">
        <v>32</v>
      </c>
      <c r="H71" s="32"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c r="W71" s="40" t="str">
        <f t="shared" si="3"/>
        <v>Kavya Nair</v>
      </c>
      <c r="X71" s="35">
        <f t="shared" ca="1" si="4"/>
        <v>26</v>
      </c>
      <c r="Y71" s="29">
        <f t="shared" si="5"/>
        <v>3</v>
      </c>
      <c r="Z71" s="41" t="e" cm="1">
        <f t="array" aca="1" ref="Z71" ca="1">_xlfn.IFS(Y71&lt;=5, "On time", AND(Y71&gt;5, Y71&lt;&gt;" "), "Delayed", Y71=" ", "pending" )</f>
        <v>#NAME?</v>
      </c>
    </row>
    <row r="72" spans="1:26">
      <c r="A72" s="3" t="s">
        <v>466</v>
      </c>
      <c r="B72" s="4" t="s">
        <v>172</v>
      </c>
      <c r="C72" s="4" t="s">
        <v>44</v>
      </c>
      <c r="D72" s="4" t="s">
        <v>467</v>
      </c>
      <c r="E72" s="4" t="s">
        <v>468</v>
      </c>
      <c r="F72" s="4" t="s">
        <v>365</v>
      </c>
      <c r="G72" s="4" t="s">
        <v>32</v>
      </c>
      <c r="H72" s="31"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c r="W72" s="40" t="str">
        <f t="shared" si="3"/>
        <v>Anita Gupta</v>
      </c>
      <c r="X72" s="35">
        <f t="shared" ca="1" si="4"/>
        <v>39</v>
      </c>
      <c r="Y72" s="29">
        <f t="shared" si="5"/>
        <v>10</v>
      </c>
      <c r="Z72" s="41" t="e" cm="1">
        <f t="array" aca="1" ref="Z72" ca="1">_xlfn.IFS(Y72&lt;=5, "On time", AND(Y72&gt;5, Y72&lt;&gt;" "), "Delayed", Y72=" ", "pending" )</f>
        <v>#NAME?</v>
      </c>
    </row>
    <row r="73" spans="1:26">
      <c r="A73" s="7" t="s">
        <v>472</v>
      </c>
      <c r="B73" s="8" t="s">
        <v>131</v>
      </c>
      <c r="C73" s="8" t="s">
        <v>263</v>
      </c>
      <c r="D73" s="8" t="s">
        <v>473</v>
      </c>
      <c r="E73" s="8" t="s">
        <v>450</v>
      </c>
      <c r="F73" s="8" t="s">
        <v>204</v>
      </c>
      <c r="G73" s="8" t="s">
        <v>80</v>
      </c>
      <c r="H73" s="32"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c r="W73" s="40" t="str">
        <f t="shared" si="3"/>
        <v>Rohit Singh</v>
      </c>
      <c r="X73" s="35">
        <f t="shared" ca="1" si="4"/>
        <v>42</v>
      </c>
      <c r="Y73" s="29">
        <f t="shared" si="5"/>
        <v>6</v>
      </c>
      <c r="Z73" s="41" t="e" cm="1">
        <f t="array" aca="1" ref="Z73" ca="1">_xlfn.IFS(Y73&lt;=5, "On time", AND(Y73&gt;5, Y73&lt;&gt;" "), "Delayed", Y73=" ", "pending" )</f>
        <v>#NAME?</v>
      </c>
    </row>
    <row r="74" spans="1:26">
      <c r="A74" s="3" t="s">
        <v>476</v>
      </c>
      <c r="B74" s="4" t="s">
        <v>27</v>
      </c>
      <c r="C74" s="4" t="s">
        <v>76</v>
      </c>
      <c r="D74" s="4" t="s">
        <v>477</v>
      </c>
      <c r="E74" s="4" t="s">
        <v>478</v>
      </c>
      <c r="F74" s="4" t="s">
        <v>31</v>
      </c>
      <c r="G74" s="4" t="s">
        <v>32</v>
      </c>
      <c r="H74" s="31"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c r="W74" s="40" t="str">
        <f t="shared" si="3"/>
        <v>Kavya Nair</v>
      </c>
      <c r="X74" s="35">
        <f t="shared" ca="1" si="4"/>
        <v>44</v>
      </c>
      <c r="Y74" s="29">
        <f t="shared" si="5"/>
        <v>10</v>
      </c>
      <c r="Z74" s="41" t="e" cm="1">
        <f t="array" aca="1" ref="Z74" ca="1">_xlfn.IFS(Y74&lt;=5, "On time", AND(Y74&gt;5, Y74&lt;&gt;" "), "Delayed", Y74=" ", "pending" )</f>
        <v>#NAME?</v>
      </c>
    </row>
    <row r="75" spans="1:26">
      <c r="A75" s="7" t="s">
        <v>481</v>
      </c>
      <c r="B75" s="8" t="s">
        <v>57</v>
      </c>
      <c r="C75" s="8" t="s">
        <v>28</v>
      </c>
      <c r="D75" s="8" t="s">
        <v>482</v>
      </c>
      <c r="E75" s="8" t="s">
        <v>483</v>
      </c>
      <c r="F75" s="8" t="s">
        <v>167</v>
      </c>
      <c r="G75" s="8" t="s">
        <v>32</v>
      </c>
      <c r="H75" s="32" t="s">
        <v>484</v>
      </c>
      <c r="I75" s="8"/>
      <c r="J75" s="8" t="s">
        <v>35</v>
      </c>
      <c r="K75" s="8" t="s">
        <v>36</v>
      </c>
      <c r="L75" s="8" t="s">
        <v>37</v>
      </c>
      <c r="M75" s="8">
        <v>1</v>
      </c>
      <c r="N75" s="8">
        <v>2200</v>
      </c>
      <c r="O75" s="16">
        <v>15</v>
      </c>
      <c r="P75" s="8">
        <v>1870</v>
      </c>
      <c r="Q75" s="8">
        <v>4</v>
      </c>
      <c r="R75" s="8" t="s">
        <v>83</v>
      </c>
      <c r="S75" s="8" t="s">
        <v>65</v>
      </c>
      <c r="T75" s="8" t="s">
        <v>66</v>
      </c>
      <c r="U75" s="9" t="s">
        <v>485</v>
      </c>
      <c r="V75" s="22" t="s">
        <v>42</v>
      </c>
      <c r="W75" s="40" t="str">
        <f t="shared" si="3"/>
        <v>Pooja Shah</v>
      </c>
      <c r="X75" s="35">
        <f t="shared" ca="1" si="4"/>
        <v>46</v>
      </c>
      <c r="Y75" s="29">
        <f t="shared" si="5"/>
        <v>12</v>
      </c>
      <c r="Z75" s="41" t="e" cm="1">
        <f t="array" aca="1" ref="Z75" ca="1">_xlfn.IFS(Y75&lt;=5, "On time", AND(Y75&gt;5, Y75&lt;&gt;" "), "Delayed", Y75=" ", "pending" )</f>
        <v>#NAME?</v>
      </c>
    </row>
    <row r="76" spans="1:26">
      <c r="A76" s="3" t="s">
        <v>486</v>
      </c>
      <c r="B76" s="4" t="s">
        <v>131</v>
      </c>
      <c r="C76" s="4" t="s">
        <v>76</v>
      </c>
      <c r="D76" s="4" t="s">
        <v>487</v>
      </c>
      <c r="E76" s="4" t="s">
        <v>488</v>
      </c>
      <c r="F76" s="4" t="s">
        <v>204</v>
      </c>
      <c r="G76" s="4" t="s">
        <v>80</v>
      </c>
      <c r="H76" s="31"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c r="W76" s="40" t="str">
        <f t="shared" si="3"/>
        <v>Rohit Singh</v>
      </c>
      <c r="X76" s="35">
        <f t="shared" ca="1" si="4"/>
        <v>43</v>
      </c>
      <c r="Y76" s="29">
        <f t="shared" si="5"/>
        <v>2</v>
      </c>
      <c r="Z76" s="41" t="e" cm="1">
        <f t="array" aca="1" ref="Z76" ca="1">_xlfn.IFS(Y76&lt;=5, "On time", AND(Y76&gt;5, Y76&lt;&gt;" "), "Delayed", Y76=" ", "pending" )</f>
        <v>#NAME?</v>
      </c>
    </row>
    <row r="77" spans="1:26">
      <c r="A77" s="7" t="s">
        <v>491</v>
      </c>
      <c r="B77" s="8" t="s">
        <v>27</v>
      </c>
      <c r="C77" s="8" t="s">
        <v>96</v>
      </c>
      <c r="D77" s="8" t="s">
        <v>492</v>
      </c>
      <c r="E77" s="8" t="s">
        <v>493</v>
      </c>
      <c r="F77" s="8" t="s">
        <v>31</v>
      </c>
      <c r="G77" s="8" t="s">
        <v>32</v>
      </c>
      <c r="H77" s="32"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c r="W77" s="40" t="str">
        <f t="shared" si="3"/>
        <v>Kavya Nair</v>
      </c>
      <c r="X77" s="35">
        <f t="shared" ca="1" si="4"/>
        <v>46</v>
      </c>
      <c r="Y77" s="29">
        <f t="shared" si="5"/>
        <v>10</v>
      </c>
      <c r="Z77" s="41" t="e" cm="1">
        <f t="array" aca="1" ref="Z77" ca="1">_xlfn.IFS(Y77&lt;=5, "On time", AND(Y77&gt;5, Y77&lt;&gt;" "), "Delayed", Y77=" ", "pending" )</f>
        <v>#NAME?</v>
      </c>
    </row>
    <row r="78" spans="1:26">
      <c r="A78" s="3" t="s">
        <v>496</v>
      </c>
      <c r="B78" s="4" t="s">
        <v>87</v>
      </c>
      <c r="C78" s="4" t="s">
        <v>188</v>
      </c>
      <c r="D78" s="4" t="s">
        <v>497</v>
      </c>
      <c r="E78" s="4" t="s">
        <v>408</v>
      </c>
      <c r="F78" s="4" t="s">
        <v>184</v>
      </c>
      <c r="G78" s="4" t="s">
        <v>80</v>
      </c>
      <c r="H78" s="31"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c r="W78" s="40" t="str">
        <f t="shared" si="3"/>
        <v>Arjun Rao</v>
      </c>
      <c r="X78" s="35">
        <f t="shared" ca="1" si="4"/>
        <v>45</v>
      </c>
      <c r="Y78" s="29">
        <f t="shared" si="5"/>
        <v>2</v>
      </c>
      <c r="Z78" s="41" t="e" cm="1">
        <f t="array" aca="1" ref="Z78" ca="1">_xlfn.IFS(Y78&lt;=5, "On time", AND(Y78&gt;5, Y78&lt;&gt;" "), "Delayed", Y78=" ", "pending" )</f>
        <v>#NAME?</v>
      </c>
    </row>
    <row r="79" spans="1:26">
      <c r="A79" s="7" t="s">
        <v>500</v>
      </c>
      <c r="B79" s="8" t="s">
        <v>225</v>
      </c>
      <c r="C79" s="8" t="s">
        <v>188</v>
      </c>
      <c r="D79" s="8" t="s">
        <v>501</v>
      </c>
      <c r="E79" s="8" t="s">
        <v>502</v>
      </c>
      <c r="F79" s="8" t="s">
        <v>229</v>
      </c>
      <c r="G79" s="8" t="s">
        <v>80</v>
      </c>
      <c r="H79" s="32"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c r="W79" s="40" t="str">
        <f t="shared" si="3"/>
        <v>Vikas Mehta</v>
      </c>
      <c r="X79" s="35">
        <f t="shared" ca="1" si="4"/>
        <v>41</v>
      </c>
      <c r="Y79" s="29">
        <f t="shared" si="5"/>
        <v>9</v>
      </c>
      <c r="Z79" s="41" t="e" cm="1">
        <f t="array" aca="1" ref="Z79" ca="1">_xlfn.IFS(Y79&lt;=5, "On time", AND(Y79&gt;5, Y79&lt;&gt;" "), "Delayed", Y79=" ", "pending" )</f>
        <v>#NAME?</v>
      </c>
    </row>
    <row r="80" spans="1:26">
      <c r="A80" s="3" t="s">
        <v>505</v>
      </c>
      <c r="B80" s="4" t="s">
        <v>75</v>
      </c>
      <c r="C80" s="4" t="s">
        <v>76</v>
      </c>
      <c r="D80" s="4" t="s">
        <v>506</v>
      </c>
      <c r="E80" s="4" t="s">
        <v>507</v>
      </c>
      <c r="F80" s="4" t="s">
        <v>221</v>
      </c>
      <c r="G80" s="4" t="s">
        <v>80</v>
      </c>
      <c r="H80" s="31"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c r="W80" s="40" t="str">
        <f t="shared" si="3"/>
        <v>Mohit Verma</v>
      </c>
      <c r="X80" s="35">
        <f t="shared" ca="1" si="4"/>
        <v>27</v>
      </c>
      <c r="Y80" s="29">
        <f t="shared" si="5"/>
        <v>1</v>
      </c>
      <c r="Z80" s="41" t="e" cm="1">
        <f t="array" aca="1" ref="Z80" ca="1">_xlfn.IFS(Y80&lt;=5, "On time", AND(Y80&gt;5, Y80&lt;&gt;" "), "Delayed", Y80=" ", "pending" )</f>
        <v>#NAME?</v>
      </c>
    </row>
    <row r="81" spans="1:26">
      <c r="A81" s="7" t="s">
        <v>510</v>
      </c>
      <c r="B81" s="8" t="s">
        <v>131</v>
      </c>
      <c r="C81" s="8" t="s">
        <v>122</v>
      </c>
      <c r="D81" s="8" t="s">
        <v>511</v>
      </c>
      <c r="E81" s="8" t="s">
        <v>512</v>
      </c>
      <c r="F81" s="8" t="s">
        <v>204</v>
      </c>
      <c r="G81" s="8" t="s">
        <v>80</v>
      </c>
      <c r="H81" s="32"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c r="W81" s="40" t="str">
        <f t="shared" si="3"/>
        <v>Rohit Singh</v>
      </c>
      <c r="X81" s="35">
        <f t="shared" ca="1" si="4"/>
        <v>43</v>
      </c>
      <c r="Y81" s="29">
        <f t="shared" si="5"/>
        <v>4</v>
      </c>
      <c r="Z81" s="41" t="e" cm="1">
        <f t="array" aca="1" ref="Z81" ca="1">_xlfn.IFS(Y81&lt;=5, "On time", AND(Y81&gt;5, Y81&lt;&gt;" "), "Delayed", Y81=" ", "pending" )</f>
        <v>#NAME?</v>
      </c>
    </row>
    <row r="82" spans="1:26">
      <c r="A82" s="3" t="s">
        <v>515</v>
      </c>
      <c r="B82" s="4" t="s">
        <v>331</v>
      </c>
      <c r="C82" s="4" t="s">
        <v>263</v>
      </c>
      <c r="D82" s="4" t="s">
        <v>516</v>
      </c>
      <c r="E82" s="4" t="s">
        <v>517</v>
      </c>
      <c r="F82" s="4" t="s">
        <v>398</v>
      </c>
      <c r="G82" s="4" t="s">
        <v>80</v>
      </c>
      <c r="H82" s="31"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c r="W82" s="40" t="str">
        <f t="shared" si="3"/>
        <v>Amit Sharma</v>
      </c>
      <c r="X82" s="35">
        <f t="shared" ca="1" si="4"/>
        <v>37</v>
      </c>
      <c r="Y82" s="29">
        <f t="shared" si="5"/>
        <v>6</v>
      </c>
      <c r="Z82" s="41" t="e" cm="1">
        <f t="array" aca="1" ref="Z82" ca="1">_xlfn.IFS(Y82&lt;=5, "On time", AND(Y82&gt;5, Y82&lt;&gt;" "), "Delayed", Y82=" ", "pending" )</f>
        <v>#NAME?</v>
      </c>
    </row>
    <row r="83" spans="1:26">
      <c r="A83" s="7" t="s">
        <v>520</v>
      </c>
      <c r="B83" s="8" t="s">
        <v>225</v>
      </c>
      <c r="C83" s="8" t="s">
        <v>96</v>
      </c>
      <c r="D83" s="8" t="s">
        <v>521</v>
      </c>
      <c r="E83" s="8" t="s">
        <v>522</v>
      </c>
      <c r="F83" s="8" t="s">
        <v>229</v>
      </c>
      <c r="G83" s="8" t="s">
        <v>80</v>
      </c>
      <c r="H83" s="32"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c r="W83" s="40" t="str">
        <f t="shared" si="3"/>
        <v>Vikas Mehta</v>
      </c>
      <c r="X83" s="35">
        <f t="shared" ca="1" si="4"/>
        <v>44</v>
      </c>
      <c r="Y83" s="29">
        <f t="shared" si="5"/>
        <v>8</v>
      </c>
      <c r="Z83" s="41" t="e" cm="1">
        <f t="array" aca="1" ref="Z83" ca="1">_xlfn.IFS(Y83&lt;=5, "On time", AND(Y83&gt;5, Y83&lt;&gt;" "), "Delayed", Y83=" ", "pending" )</f>
        <v>#NAME?</v>
      </c>
    </row>
    <row r="84" spans="1:26">
      <c r="A84" s="3" t="s">
        <v>525</v>
      </c>
      <c r="B84" s="4" t="s">
        <v>131</v>
      </c>
      <c r="C84" s="4" t="s">
        <v>122</v>
      </c>
      <c r="D84" s="4" t="s">
        <v>132</v>
      </c>
      <c r="E84" s="4" t="s">
        <v>77</v>
      </c>
      <c r="F84" s="4" t="s">
        <v>204</v>
      </c>
      <c r="G84" s="4" t="s">
        <v>80</v>
      </c>
      <c r="H84" s="31"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c r="W84" s="40" t="str">
        <f t="shared" si="3"/>
        <v>Rohit Singh</v>
      </c>
      <c r="X84" s="35">
        <f t="shared" ca="1" si="4"/>
        <v>25</v>
      </c>
      <c r="Y84" s="29">
        <f t="shared" si="5"/>
        <v>8</v>
      </c>
      <c r="Z84" s="41" t="e" cm="1">
        <f t="array" aca="1" ref="Z84" ca="1">_xlfn.IFS(Y84&lt;=5, "On time", AND(Y84&gt;5, Y84&lt;&gt;" "), "Delayed", Y84=" ", "pending" )</f>
        <v>#NAME?</v>
      </c>
    </row>
    <row r="85" spans="1:26">
      <c r="A85" s="7" t="s">
        <v>528</v>
      </c>
      <c r="B85" s="8" t="s">
        <v>131</v>
      </c>
      <c r="C85" s="8" t="s">
        <v>76</v>
      </c>
      <c r="D85" s="8" t="s">
        <v>529</v>
      </c>
      <c r="E85" s="8" t="s">
        <v>530</v>
      </c>
      <c r="F85" s="8" t="s">
        <v>204</v>
      </c>
      <c r="G85" s="8" t="s">
        <v>80</v>
      </c>
      <c r="H85" s="32"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c r="W85" s="40" t="str">
        <f t="shared" si="3"/>
        <v>Rohit Singh</v>
      </c>
      <c r="X85" s="35">
        <f t="shared" ca="1" si="4"/>
        <v>43</v>
      </c>
      <c r="Y85" s="29">
        <f t="shared" si="5"/>
        <v>3</v>
      </c>
      <c r="Z85" s="41" t="e" cm="1">
        <f t="array" aca="1" ref="Z85" ca="1">_xlfn.IFS(Y85&lt;=5, "On time", AND(Y85&gt;5, Y85&lt;&gt;" "), "Delayed", Y85=" ", "pending" )</f>
        <v>#NAME?</v>
      </c>
    </row>
    <row r="86" spans="1:26">
      <c r="A86" s="3" t="s">
        <v>533</v>
      </c>
      <c r="B86" s="4" t="s">
        <v>27</v>
      </c>
      <c r="C86" s="4" t="s">
        <v>44</v>
      </c>
      <c r="D86" s="4" t="s">
        <v>534</v>
      </c>
      <c r="E86" s="4" t="s">
        <v>535</v>
      </c>
      <c r="F86" s="4" t="s">
        <v>31</v>
      </c>
      <c r="G86" s="4" t="s">
        <v>32</v>
      </c>
      <c r="H86" s="31"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c r="W86" s="40" t="str">
        <f t="shared" si="3"/>
        <v>Kavya Nair</v>
      </c>
      <c r="X86" s="35">
        <f t="shared" ca="1" si="4"/>
        <v>33</v>
      </c>
      <c r="Y86" s="29">
        <f t="shared" si="5"/>
        <v>1</v>
      </c>
      <c r="Z86" s="41" t="e" cm="1">
        <f t="array" aca="1" ref="Z86" ca="1">_xlfn.IFS(Y86&lt;=5, "On time", AND(Y86&gt;5, Y86&lt;&gt;" "), "Delayed", Y86=" ", "pending" )</f>
        <v>#NAME?</v>
      </c>
    </row>
    <row r="87" spans="1:26">
      <c r="A87" s="7" t="s">
        <v>538</v>
      </c>
      <c r="B87" s="8" t="s">
        <v>87</v>
      </c>
      <c r="C87" s="8" t="s">
        <v>226</v>
      </c>
      <c r="D87" s="8" t="s">
        <v>535</v>
      </c>
      <c r="E87" s="8" t="s">
        <v>539</v>
      </c>
      <c r="F87" s="8" t="s">
        <v>184</v>
      </c>
      <c r="G87" s="8" t="s">
        <v>80</v>
      </c>
      <c r="H87" s="32"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c r="W87" s="40" t="str">
        <f t="shared" si="3"/>
        <v>Arjun Rao</v>
      </c>
      <c r="X87" s="35">
        <f t="shared" ca="1" si="4"/>
        <v>31</v>
      </c>
      <c r="Y87" s="29">
        <f t="shared" si="5"/>
        <v>11</v>
      </c>
      <c r="Z87" s="41" t="e" cm="1">
        <f t="array" aca="1" ref="Z87" ca="1">_xlfn.IFS(Y87&lt;=5, "On time", AND(Y87&gt;5, Y87&lt;&gt;" "), "Delayed", Y87=" ", "pending" )</f>
        <v>#NAME?</v>
      </c>
    </row>
    <row r="88" spans="1:26">
      <c r="A88" s="3" t="s">
        <v>542</v>
      </c>
      <c r="B88" s="4" t="s">
        <v>255</v>
      </c>
      <c r="C88" s="4" t="s">
        <v>96</v>
      </c>
      <c r="D88" s="4" t="s">
        <v>463</v>
      </c>
      <c r="E88" s="4" t="s">
        <v>543</v>
      </c>
      <c r="F88" s="4" t="s">
        <v>258</v>
      </c>
      <c r="G88" s="4" t="s">
        <v>32</v>
      </c>
      <c r="H88" s="31"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c r="W88" s="40" t="str">
        <f t="shared" si="3"/>
        <v>Sneha Joshi</v>
      </c>
      <c r="X88" s="35">
        <f t="shared" ca="1" si="4"/>
        <v>25</v>
      </c>
      <c r="Y88" s="29">
        <f t="shared" si="5"/>
        <v>8</v>
      </c>
      <c r="Z88" s="41" t="e" cm="1">
        <f t="array" aca="1" ref="Z88" ca="1">_xlfn.IFS(Y88&lt;=5, "On time", AND(Y88&gt;5, Y88&lt;&gt;" "), "Delayed", Y88=" ", "pending" )</f>
        <v>#NAME?</v>
      </c>
    </row>
    <row r="89" spans="1:26">
      <c r="A89" s="7" t="s">
        <v>546</v>
      </c>
      <c r="B89" s="8" t="s">
        <v>104</v>
      </c>
      <c r="C89" s="8" t="s">
        <v>173</v>
      </c>
      <c r="D89" s="8" t="s">
        <v>547</v>
      </c>
      <c r="E89" s="8" t="s">
        <v>548</v>
      </c>
      <c r="F89" s="8" t="s">
        <v>107</v>
      </c>
      <c r="G89" s="8" t="s">
        <v>32</v>
      </c>
      <c r="H89" s="32"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c r="W89" s="40" t="str">
        <f t="shared" si="3"/>
        <v>Priya Patel</v>
      </c>
      <c r="X89" s="35">
        <f t="shared" ca="1" si="4"/>
        <v>26</v>
      </c>
      <c r="Y89" s="29">
        <f t="shared" si="5"/>
        <v>10</v>
      </c>
      <c r="Z89" s="41" t="e" cm="1">
        <f t="array" aca="1" ref="Z89" ca="1">_xlfn.IFS(Y89&lt;=5, "On time", AND(Y89&gt;5, Y89&lt;&gt;" "), "Delayed", Y89=" ", "pending" )</f>
        <v>#NAME?</v>
      </c>
    </row>
    <row r="90" spans="1:26">
      <c r="A90" s="3" t="s">
        <v>551</v>
      </c>
      <c r="B90" s="4" t="s">
        <v>331</v>
      </c>
      <c r="C90" s="4" t="s">
        <v>44</v>
      </c>
      <c r="D90" s="4" t="s">
        <v>552</v>
      </c>
      <c r="E90" s="4" t="s">
        <v>553</v>
      </c>
      <c r="F90" s="4" t="s">
        <v>398</v>
      </c>
      <c r="G90" s="4" t="s">
        <v>80</v>
      </c>
      <c r="H90" s="31"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c r="W90" s="40" t="str">
        <f t="shared" si="3"/>
        <v>Amit Sharma</v>
      </c>
      <c r="X90" s="35">
        <f t="shared" ca="1" si="4"/>
        <v>24</v>
      </c>
      <c r="Y90" s="29">
        <f t="shared" si="5"/>
        <v>9</v>
      </c>
      <c r="Z90" s="41" t="e" cm="1">
        <f t="array" aca="1" ref="Z90" ca="1">_xlfn.IFS(Y90&lt;=5, "On time", AND(Y90&gt;5, Y90&lt;&gt;" "), "Delayed", Y90=" ", "pending" )</f>
        <v>#NAME?</v>
      </c>
    </row>
    <row r="91" spans="1:26">
      <c r="A91" s="7" t="s">
        <v>557</v>
      </c>
      <c r="B91" s="8" t="s">
        <v>27</v>
      </c>
      <c r="C91" s="8" t="s">
        <v>173</v>
      </c>
      <c r="D91" s="8" t="s">
        <v>558</v>
      </c>
      <c r="E91" s="8" t="s">
        <v>408</v>
      </c>
      <c r="F91" s="8" t="s">
        <v>31</v>
      </c>
      <c r="G91" s="8" t="s">
        <v>32</v>
      </c>
      <c r="H91" s="32"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c r="W91" s="40" t="str">
        <f t="shared" si="3"/>
        <v>Kavya Nair</v>
      </c>
      <c r="X91" s="35">
        <f t="shared" ca="1" si="4"/>
        <v>34</v>
      </c>
      <c r="Y91" s="29">
        <f t="shared" si="5"/>
        <v>8</v>
      </c>
      <c r="Z91" s="41" t="e" cm="1">
        <f t="array" aca="1" ref="Z91" ca="1">_xlfn.IFS(Y91&lt;=5, "On time", AND(Y91&gt;5, Y91&lt;&gt;" "), "Delayed", Y91=" ", "pending" )</f>
        <v>#NAME?</v>
      </c>
    </row>
    <row r="92" spans="1:26">
      <c r="A92" s="3" t="s">
        <v>561</v>
      </c>
      <c r="B92" s="4" t="s">
        <v>57</v>
      </c>
      <c r="C92" s="4" t="s">
        <v>76</v>
      </c>
      <c r="D92" s="4" t="s">
        <v>562</v>
      </c>
      <c r="E92" s="4" t="s">
        <v>381</v>
      </c>
      <c r="F92" s="4" t="s">
        <v>167</v>
      </c>
      <c r="G92" s="4" t="s">
        <v>32</v>
      </c>
      <c r="H92" s="31"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c r="W92" s="40" t="str">
        <f t="shared" si="3"/>
        <v>Pooja Shah</v>
      </c>
      <c r="X92" s="35">
        <f t="shared" ca="1" si="4"/>
        <v>30</v>
      </c>
      <c r="Y92" s="29">
        <f t="shared" si="5"/>
        <v>3</v>
      </c>
      <c r="Z92" s="41" t="e" cm="1">
        <f t="array" aca="1" ref="Z92" ca="1">_xlfn.IFS(Y92&lt;=5, "On time", AND(Y92&gt;5, Y92&lt;&gt;" "), "Delayed", Y92=" ", "pending" )</f>
        <v>#NAME?</v>
      </c>
    </row>
    <row r="93" spans="1:26">
      <c r="A93" s="7" t="s">
        <v>565</v>
      </c>
      <c r="B93" s="8" t="s">
        <v>57</v>
      </c>
      <c r="C93" s="8" t="s">
        <v>226</v>
      </c>
      <c r="D93" s="8" t="s">
        <v>566</v>
      </c>
      <c r="E93" s="8" t="s">
        <v>567</v>
      </c>
      <c r="F93" s="8" t="s">
        <v>167</v>
      </c>
      <c r="G93" s="8" t="s">
        <v>32</v>
      </c>
      <c r="H93" s="32" t="s">
        <v>568</v>
      </c>
      <c r="I93" s="8" t="s">
        <v>34</v>
      </c>
      <c r="J93" s="8" t="s">
        <v>35</v>
      </c>
      <c r="K93" s="8" t="s">
        <v>126</v>
      </c>
      <c r="L93" s="8" t="s">
        <v>231</v>
      </c>
      <c r="M93" s="8">
        <v>4</v>
      </c>
      <c r="N93" s="8">
        <v>20</v>
      </c>
      <c r="O93" s="16">
        <v>0</v>
      </c>
      <c r="P93" s="8">
        <v>80</v>
      </c>
      <c r="Q93" s="8">
        <v>4</v>
      </c>
      <c r="R93" s="8" t="s">
        <v>52</v>
      </c>
      <c r="S93" s="8" t="s">
        <v>53</v>
      </c>
      <c r="T93" s="8" t="s">
        <v>66</v>
      </c>
      <c r="U93" s="9" t="s">
        <v>569</v>
      </c>
      <c r="V93" s="22" t="s">
        <v>42</v>
      </c>
      <c r="W93" s="40" t="str">
        <f t="shared" si="3"/>
        <v>Pooja Shah</v>
      </c>
      <c r="X93" s="35">
        <f t="shared" ca="1" si="4"/>
        <v>43</v>
      </c>
      <c r="Y93" s="29">
        <f t="shared" si="5"/>
        <v>1</v>
      </c>
      <c r="Z93" s="41" t="e" cm="1">
        <f t="array" aca="1" ref="Z93" ca="1">_xlfn.IFS(Y93&lt;=5, "On time", AND(Y93&gt;5, Y93&lt;&gt;" "), "Delayed", Y93=" ", "pending" )</f>
        <v>#NAME?</v>
      </c>
    </row>
    <row r="94" spans="1:26">
      <c r="A94" s="3" t="s">
        <v>570</v>
      </c>
      <c r="B94" s="4" t="s">
        <v>27</v>
      </c>
      <c r="C94" s="4" t="s">
        <v>226</v>
      </c>
      <c r="D94" s="4" t="s">
        <v>571</v>
      </c>
      <c r="E94" s="4" t="s">
        <v>572</v>
      </c>
      <c r="F94" s="4" t="s">
        <v>31</v>
      </c>
      <c r="G94" s="4" t="s">
        <v>32</v>
      </c>
      <c r="H94" s="31"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c r="W94" s="40" t="str">
        <f t="shared" si="3"/>
        <v>Kavya Nair</v>
      </c>
      <c r="X94" s="35">
        <f t="shared" ca="1" si="4"/>
        <v>42</v>
      </c>
      <c r="Y94" s="29">
        <f t="shared" si="5"/>
        <v>4</v>
      </c>
      <c r="Z94" s="41" t="e" cm="1">
        <f t="array" aca="1" ref="Z94" ca="1">_xlfn.IFS(Y94&lt;=5, "On time", AND(Y94&gt;5, Y94&lt;&gt;" "), "Delayed", Y94=" ", "pending" )</f>
        <v>#NAME?</v>
      </c>
    </row>
    <row r="95" spans="1:26">
      <c r="A95" s="7" t="s">
        <v>575</v>
      </c>
      <c r="B95" s="8" t="s">
        <v>172</v>
      </c>
      <c r="C95" s="8" t="s">
        <v>28</v>
      </c>
      <c r="D95" s="8" t="s">
        <v>576</v>
      </c>
      <c r="E95" s="8" t="s">
        <v>577</v>
      </c>
      <c r="F95" s="8" t="s">
        <v>365</v>
      </c>
      <c r="G95" s="8" t="s">
        <v>32</v>
      </c>
      <c r="H95" s="32"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c r="W95" s="40" t="str">
        <f t="shared" si="3"/>
        <v>Anita Gupta</v>
      </c>
      <c r="X95" s="35">
        <f t="shared" ca="1" si="4"/>
        <v>32</v>
      </c>
      <c r="Y95" s="29">
        <f t="shared" si="5"/>
        <v>6</v>
      </c>
      <c r="Z95" s="41" t="e" cm="1">
        <f t="array" aca="1" ref="Z95" ca="1">_xlfn.IFS(Y95&lt;=5, "On time", AND(Y95&gt;5, Y95&lt;&gt;" "), "Delayed", Y95=" ", "pending" )</f>
        <v>#NAME?</v>
      </c>
    </row>
    <row r="96" spans="1:26">
      <c r="A96" s="3" t="s">
        <v>580</v>
      </c>
      <c r="B96" s="4" t="s">
        <v>331</v>
      </c>
      <c r="C96" s="4" t="s">
        <v>96</v>
      </c>
      <c r="D96" s="4" t="s">
        <v>581</v>
      </c>
      <c r="E96" s="4" t="s">
        <v>582</v>
      </c>
      <c r="F96" s="4" t="s">
        <v>398</v>
      </c>
      <c r="G96" s="4" t="s">
        <v>80</v>
      </c>
      <c r="H96" s="31"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c r="W96" s="40" t="str">
        <f t="shared" si="3"/>
        <v>Amit Sharma</v>
      </c>
      <c r="X96" s="35">
        <f t="shared" ca="1" si="4"/>
        <v>35</v>
      </c>
      <c r="Y96" s="29">
        <f t="shared" si="5"/>
        <v>3</v>
      </c>
      <c r="Z96" s="41" t="e" cm="1">
        <f t="array" aca="1" ref="Z96" ca="1">_xlfn.IFS(Y96&lt;=5, "On time", AND(Y96&gt;5, Y96&lt;&gt;" "), "Delayed", Y96=" ", "pending" )</f>
        <v>#NAME?</v>
      </c>
    </row>
    <row r="97" spans="1:26">
      <c r="A97" s="7" t="s">
        <v>585</v>
      </c>
      <c r="B97" s="8" t="s">
        <v>104</v>
      </c>
      <c r="C97" s="8" t="s">
        <v>173</v>
      </c>
      <c r="D97" s="8" t="s">
        <v>586</v>
      </c>
      <c r="E97" s="8" t="s">
        <v>587</v>
      </c>
      <c r="F97" s="8" t="s">
        <v>107</v>
      </c>
      <c r="G97" s="8" t="s">
        <v>32</v>
      </c>
      <c r="H97" s="32"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c r="W97" s="40" t="str">
        <f t="shared" si="3"/>
        <v>Priya Patel</v>
      </c>
      <c r="X97" s="35">
        <f t="shared" ca="1" si="4"/>
        <v>39</v>
      </c>
      <c r="Y97" s="29">
        <f t="shared" si="5"/>
        <v>3</v>
      </c>
      <c r="Z97" s="41" t="e" cm="1">
        <f t="array" aca="1" ref="Z97" ca="1">_xlfn.IFS(Y97&lt;=5, "On time", AND(Y97&gt;5, Y97&lt;&gt;" "), "Delayed", Y97=" ", "pending" )</f>
        <v>#NAME?</v>
      </c>
    </row>
    <row r="98" spans="1:26">
      <c r="A98" s="3" t="s">
        <v>590</v>
      </c>
      <c r="B98" s="4" t="s">
        <v>255</v>
      </c>
      <c r="C98" s="4" t="s">
        <v>44</v>
      </c>
      <c r="D98" s="4" t="s">
        <v>591</v>
      </c>
      <c r="E98" s="4" t="s">
        <v>592</v>
      </c>
      <c r="F98" s="4" t="s">
        <v>258</v>
      </c>
      <c r="G98" s="4" t="s">
        <v>32</v>
      </c>
      <c r="H98" s="31"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c r="W98" s="40" t="str">
        <f t="shared" si="3"/>
        <v>Sneha Joshi</v>
      </c>
      <c r="X98" s="35">
        <f t="shared" ca="1" si="4"/>
        <v>42</v>
      </c>
      <c r="Y98" s="29">
        <f t="shared" si="5"/>
        <v>9</v>
      </c>
      <c r="Z98" s="41" t="e" cm="1">
        <f t="array" aca="1" ref="Z98" ca="1">_xlfn.IFS(Y98&lt;=5, "On time", AND(Y98&gt;5, Y98&lt;&gt;" "), "Delayed", Y98=" ", "pending" )</f>
        <v>#NAME?</v>
      </c>
    </row>
    <row r="99" spans="1:26">
      <c r="A99" s="7" t="s">
        <v>595</v>
      </c>
      <c r="B99" s="8" t="s">
        <v>331</v>
      </c>
      <c r="C99" s="8" t="s">
        <v>226</v>
      </c>
      <c r="D99" s="8" t="s">
        <v>596</v>
      </c>
      <c r="E99" s="8" t="s">
        <v>402</v>
      </c>
      <c r="F99" s="8" t="s">
        <v>398</v>
      </c>
      <c r="G99" s="8" t="s">
        <v>80</v>
      </c>
      <c r="H99" s="32"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c r="W99" s="40" t="str">
        <f t="shared" si="3"/>
        <v>Amit Sharma</v>
      </c>
      <c r="X99" s="35">
        <f t="shared" ca="1" si="4"/>
        <v>37</v>
      </c>
      <c r="Y99" s="29">
        <f t="shared" si="5"/>
        <v>10</v>
      </c>
      <c r="Z99" s="41" t="e" cm="1">
        <f t="array" aca="1" ref="Z99" ca="1">_xlfn.IFS(Y99&lt;=5, "On time", AND(Y99&gt;5, Y99&lt;&gt;" "), "Delayed", Y99=" ", "pending" )</f>
        <v>#NAME?</v>
      </c>
    </row>
    <row r="100" spans="1:26">
      <c r="A100" s="3" t="s">
        <v>599</v>
      </c>
      <c r="B100" s="4" t="s">
        <v>172</v>
      </c>
      <c r="C100" s="4" t="s">
        <v>188</v>
      </c>
      <c r="D100" s="4" t="s">
        <v>600</v>
      </c>
      <c r="E100" s="4" t="s">
        <v>601</v>
      </c>
      <c r="F100" s="4" t="s">
        <v>365</v>
      </c>
      <c r="G100" s="4" t="s">
        <v>32</v>
      </c>
      <c r="H100" s="31"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c r="W100" s="40" t="str">
        <f t="shared" si="3"/>
        <v>Anita Gupta</v>
      </c>
      <c r="X100" s="35">
        <f t="shared" ca="1" si="4"/>
        <v>38</v>
      </c>
      <c r="Y100" s="29">
        <f t="shared" si="5"/>
        <v>2</v>
      </c>
      <c r="Z100" s="41" t="e" cm="1">
        <f t="array" aca="1" ref="Z100" ca="1">_xlfn.IFS(Y100&lt;=5, "On time", AND(Y100&gt;5, Y100&lt;&gt;" "), "Delayed", Y100=" ", "pending" )</f>
        <v>#NAME?</v>
      </c>
    </row>
    <row r="101" spans="1:26">
      <c r="A101" s="7" t="s">
        <v>604</v>
      </c>
      <c r="B101" s="8" t="s">
        <v>87</v>
      </c>
      <c r="C101" s="8" t="s">
        <v>263</v>
      </c>
      <c r="D101" s="8" t="s">
        <v>587</v>
      </c>
      <c r="E101" s="8" t="s">
        <v>605</v>
      </c>
      <c r="F101" s="8" t="s">
        <v>184</v>
      </c>
      <c r="G101" s="8" t="s">
        <v>80</v>
      </c>
      <c r="H101" s="32"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c r="W101" s="40" t="str">
        <f t="shared" si="3"/>
        <v>Arjun Rao</v>
      </c>
      <c r="X101" s="35">
        <f t="shared" ca="1" si="4"/>
        <v>43</v>
      </c>
      <c r="Y101" s="29">
        <f t="shared" si="5"/>
        <v>3</v>
      </c>
      <c r="Z101" s="41" t="e" cm="1">
        <f t="array" aca="1" ref="Z101" ca="1">_xlfn.IFS(Y101&lt;=5, "On time", AND(Y101&gt;5, Y101&lt;&gt;" "), "Delayed", Y101=" ", "pending" )</f>
        <v>#NAME?</v>
      </c>
    </row>
    <row r="102" spans="1:26">
      <c r="A102" s="3" t="s">
        <v>608</v>
      </c>
      <c r="B102" s="4" t="s">
        <v>131</v>
      </c>
      <c r="C102" s="4" t="s">
        <v>122</v>
      </c>
      <c r="D102" s="4" t="s">
        <v>609</v>
      </c>
      <c r="E102" s="4" t="s">
        <v>610</v>
      </c>
      <c r="F102" s="4" t="s">
        <v>204</v>
      </c>
      <c r="G102" s="4" t="s">
        <v>80</v>
      </c>
      <c r="H102" s="31"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c r="W102" s="40" t="str">
        <f t="shared" si="3"/>
        <v>Rohit Singh</v>
      </c>
      <c r="X102" s="35">
        <f t="shared" ca="1" si="4"/>
        <v>40</v>
      </c>
      <c r="Y102" s="29">
        <f t="shared" si="5"/>
        <v>8</v>
      </c>
      <c r="Z102" s="41" t="e" cm="1">
        <f t="array" aca="1" ref="Z102" ca="1">_xlfn.IFS(Y102&lt;=5, "On time", AND(Y102&gt;5, Y102&lt;&gt;" "), "Delayed", Y102=" ", "pending" )</f>
        <v>#NAME?</v>
      </c>
    </row>
    <row r="103" spans="1:26">
      <c r="A103" s="7" t="s">
        <v>613</v>
      </c>
      <c r="B103" s="8" t="s">
        <v>331</v>
      </c>
      <c r="C103" s="8" t="s">
        <v>188</v>
      </c>
      <c r="D103" s="8" t="s">
        <v>614</v>
      </c>
      <c r="E103" s="8" t="s">
        <v>615</v>
      </c>
      <c r="F103" s="8" t="s">
        <v>398</v>
      </c>
      <c r="G103" s="8" t="s">
        <v>80</v>
      </c>
      <c r="H103" s="32"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c r="W103" s="40" t="str">
        <f t="shared" si="3"/>
        <v>Amit Sharma</v>
      </c>
      <c r="X103" s="35">
        <f t="shared" ca="1" si="4"/>
        <v>39</v>
      </c>
      <c r="Y103" s="29">
        <f t="shared" si="5"/>
        <v>9</v>
      </c>
      <c r="Z103" s="41" t="e" cm="1">
        <f t="array" aca="1" ref="Z103" ca="1">_xlfn.IFS(Y103&lt;=5, "On time", AND(Y103&gt;5, Y103&lt;&gt;" "), "Delayed", Y103=" ", "pending" )</f>
        <v>#NAME?</v>
      </c>
    </row>
    <row r="104" spans="1:26">
      <c r="A104" s="3" t="s">
        <v>618</v>
      </c>
      <c r="B104" s="4" t="s">
        <v>331</v>
      </c>
      <c r="C104" s="4" t="s">
        <v>96</v>
      </c>
      <c r="D104" s="4" t="s">
        <v>587</v>
      </c>
      <c r="E104" s="4" t="s">
        <v>619</v>
      </c>
      <c r="F104" s="4" t="s">
        <v>398</v>
      </c>
      <c r="G104" s="4" t="s">
        <v>80</v>
      </c>
      <c r="H104" s="31"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c r="W104" s="40" t="str">
        <f t="shared" si="3"/>
        <v>Amit Sharma</v>
      </c>
      <c r="X104" s="35">
        <f t="shared" ca="1" si="4"/>
        <v>22</v>
      </c>
      <c r="Y104" s="29">
        <f t="shared" si="5"/>
        <v>8</v>
      </c>
      <c r="Z104" s="41" t="e" cm="1">
        <f t="array" aca="1" ref="Z104" ca="1">_xlfn.IFS(Y104&lt;=5, "On time", AND(Y104&gt;5, Y104&lt;&gt;" "), "Delayed", Y104=" ", "pending" )</f>
        <v>#NAME?</v>
      </c>
    </row>
    <row r="105" spans="1:26">
      <c r="A105" s="7" t="s">
        <v>622</v>
      </c>
      <c r="B105" s="8" t="s">
        <v>255</v>
      </c>
      <c r="C105" s="8" t="s">
        <v>263</v>
      </c>
      <c r="D105" s="8" t="s">
        <v>623</v>
      </c>
      <c r="E105" s="8" t="s">
        <v>624</v>
      </c>
      <c r="F105" s="8" t="s">
        <v>258</v>
      </c>
      <c r="G105" s="8" t="s">
        <v>32</v>
      </c>
      <c r="H105" s="32"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c r="W105" s="40" t="str">
        <f t="shared" si="3"/>
        <v>Sneha Joshi</v>
      </c>
      <c r="X105" s="35">
        <f t="shared" ca="1" si="4"/>
        <v>25</v>
      </c>
      <c r="Y105" s="29">
        <f t="shared" si="5"/>
        <v>7</v>
      </c>
      <c r="Z105" s="41" t="e" cm="1">
        <f t="array" aca="1" ref="Z105" ca="1">_xlfn.IFS(Y105&lt;=5, "On time", AND(Y105&gt;5, Y105&lt;&gt;" "), "Delayed", Y105=" ", "pending" )</f>
        <v>#NAME?</v>
      </c>
    </row>
    <row r="106" spans="1:26">
      <c r="A106" s="3" t="s">
        <v>627</v>
      </c>
      <c r="B106" s="4" t="s">
        <v>87</v>
      </c>
      <c r="C106" s="4" t="s">
        <v>226</v>
      </c>
      <c r="D106" s="4" t="s">
        <v>628</v>
      </c>
      <c r="E106" s="4" t="s">
        <v>529</v>
      </c>
      <c r="F106" s="4" t="s">
        <v>184</v>
      </c>
      <c r="G106" s="4" t="s">
        <v>80</v>
      </c>
      <c r="H106" s="31"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c r="W106" s="40" t="str">
        <f t="shared" si="3"/>
        <v>Arjun Rao</v>
      </c>
      <c r="X106" s="35">
        <f t="shared" ca="1" si="4"/>
        <v>30</v>
      </c>
      <c r="Y106" s="29">
        <f t="shared" si="5"/>
        <v>1</v>
      </c>
      <c r="Z106" s="41" t="e" cm="1">
        <f t="array" aca="1" ref="Z106" ca="1">_xlfn.IFS(Y106&lt;=5, "On time", AND(Y106&gt;5, Y106&lt;&gt;" "), "Delayed", Y106=" ", "pending" )</f>
        <v>#NAME?</v>
      </c>
    </row>
    <row r="107" spans="1:26">
      <c r="A107" s="7" t="s">
        <v>631</v>
      </c>
      <c r="B107" s="8" t="s">
        <v>57</v>
      </c>
      <c r="C107" s="8" t="s">
        <v>76</v>
      </c>
      <c r="D107" s="8" t="s">
        <v>632</v>
      </c>
      <c r="E107" s="8" t="s">
        <v>435</v>
      </c>
      <c r="F107" s="8" t="s">
        <v>167</v>
      </c>
      <c r="G107" s="8" t="s">
        <v>32</v>
      </c>
      <c r="H107" s="32"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c r="W107" s="40" t="str">
        <f t="shared" si="3"/>
        <v>Pooja Shah</v>
      </c>
      <c r="X107" s="35">
        <f t="shared" ca="1" si="4"/>
        <v>47</v>
      </c>
      <c r="Y107" s="29">
        <f t="shared" si="5"/>
        <v>4</v>
      </c>
      <c r="Z107" s="41" t="e" cm="1">
        <f t="array" aca="1" ref="Z107" ca="1">_xlfn.IFS(Y107&lt;=5, "On time", AND(Y107&gt;5, Y107&lt;&gt;" "), "Delayed", Y107=" ", "pending" )</f>
        <v>#NAME?</v>
      </c>
    </row>
    <row r="108" spans="1:26">
      <c r="A108" s="3" t="s">
        <v>635</v>
      </c>
      <c r="B108" s="4" t="s">
        <v>104</v>
      </c>
      <c r="C108" s="4" t="s">
        <v>96</v>
      </c>
      <c r="D108" s="4" t="s">
        <v>391</v>
      </c>
      <c r="E108" s="4" t="s">
        <v>636</v>
      </c>
      <c r="F108" s="4" t="s">
        <v>107</v>
      </c>
      <c r="G108" s="4" t="s">
        <v>32</v>
      </c>
      <c r="H108" s="31"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c r="W108" s="40" t="str">
        <f t="shared" si="3"/>
        <v>Priya Patel</v>
      </c>
      <c r="X108" s="35">
        <f t="shared" ca="1" si="4"/>
        <v>40</v>
      </c>
      <c r="Y108" s="29">
        <f t="shared" si="5"/>
        <v>1</v>
      </c>
      <c r="Z108" s="41" t="e" cm="1">
        <f t="array" aca="1" ref="Z108" ca="1">_xlfn.IFS(Y108&lt;=5, "On time", AND(Y108&gt;5, Y108&lt;&gt;" "), "Delayed", Y108=" ", "pending" )</f>
        <v>#NAME?</v>
      </c>
    </row>
    <row r="109" spans="1:26">
      <c r="A109" s="7" t="s">
        <v>639</v>
      </c>
      <c r="B109" s="8" t="s">
        <v>225</v>
      </c>
      <c r="C109" s="8" t="s">
        <v>76</v>
      </c>
      <c r="D109" s="8" t="s">
        <v>245</v>
      </c>
      <c r="E109" s="8" t="s">
        <v>640</v>
      </c>
      <c r="F109" s="8" t="s">
        <v>229</v>
      </c>
      <c r="G109" s="8" t="s">
        <v>80</v>
      </c>
      <c r="H109" s="32"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c r="W109" s="40" t="str">
        <f t="shared" si="3"/>
        <v>Vikas Mehta</v>
      </c>
      <c r="X109" s="35">
        <f t="shared" ca="1" si="4"/>
        <v>34</v>
      </c>
      <c r="Y109" s="29">
        <f t="shared" si="5"/>
        <v>5</v>
      </c>
      <c r="Z109" s="41" t="e" cm="1">
        <f t="array" aca="1" ref="Z109" ca="1">_xlfn.IFS(Y109&lt;=5, "On time", AND(Y109&gt;5, Y109&lt;&gt;" "), "Delayed", Y109=" ", "pending" )</f>
        <v>#NAME?</v>
      </c>
    </row>
    <row r="110" spans="1:26">
      <c r="A110" s="3" t="s">
        <v>643</v>
      </c>
      <c r="B110" s="4" t="s">
        <v>87</v>
      </c>
      <c r="C110" s="4" t="s">
        <v>76</v>
      </c>
      <c r="D110" s="4" t="s">
        <v>644</v>
      </c>
      <c r="E110" s="4" t="s">
        <v>645</v>
      </c>
      <c r="F110" s="4" t="s">
        <v>184</v>
      </c>
      <c r="G110" s="4" t="s">
        <v>80</v>
      </c>
      <c r="H110" s="31"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c r="W110" s="40" t="str">
        <f t="shared" si="3"/>
        <v>Arjun Rao</v>
      </c>
      <c r="X110" s="35">
        <f t="shared" ca="1" si="4"/>
        <v>33</v>
      </c>
      <c r="Y110" s="29">
        <f t="shared" si="5"/>
        <v>2</v>
      </c>
      <c r="Z110" s="41" t="e" cm="1">
        <f t="array" aca="1" ref="Z110" ca="1">_xlfn.IFS(Y110&lt;=5, "On time", AND(Y110&gt;5, Y110&lt;&gt;" "), "Delayed", Y110=" ", "pending" )</f>
        <v>#NAME?</v>
      </c>
    </row>
    <row r="111" spans="1:26">
      <c r="A111" s="7" t="s">
        <v>648</v>
      </c>
      <c r="B111" s="8" t="s">
        <v>225</v>
      </c>
      <c r="C111" s="8" t="s">
        <v>173</v>
      </c>
      <c r="D111" s="8" t="s">
        <v>649</v>
      </c>
      <c r="E111" s="8" t="s">
        <v>291</v>
      </c>
      <c r="F111" s="8" t="s">
        <v>229</v>
      </c>
      <c r="G111" s="8" t="s">
        <v>80</v>
      </c>
      <c r="H111" s="32"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c r="W111" s="40" t="str">
        <f t="shared" si="3"/>
        <v>Vikas Mehta</v>
      </c>
      <c r="X111" s="35">
        <f t="shared" ca="1" si="4"/>
        <v>48</v>
      </c>
      <c r="Y111" s="29">
        <f t="shared" si="5"/>
        <v>8</v>
      </c>
      <c r="Z111" s="41" t="e" cm="1">
        <f t="array" aca="1" ref="Z111" ca="1">_xlfn.IFS(Y111&lt;=5, "On time", AND(Y111&gt;5, Y111&lt;&gt;" "), "Delayed", Y111=" ", "pending" )</f>
        <v>#NAME?</v>
      </c>
    </row>
    <row r="112" spans="1:26">
      <c r="A112" s="3" t="s">
        <v>652</v>
      </c>
      <c r="B112" s="4" t="s">
        <v>131</v>
      </c>
      <c r="C112" s="4" t="s">
        <v>76</v>
      </c>
      <c r="D112" s="4" t="s">
        <v>105</v>
      </c>
      <c r="E112" s="4" t="s">
        <v>106</v>
      </c>
      <c r="F112" s="4" t="s">
        <v>204</v>
      </c>
      <c r="G112" s="4" t="s">
        <v>80</v>
      </c>
      <c r="H112" s="31"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c r="W112" s="40" t="str">
        <f t="shared" si="3"/>
        <v>Rohit Singh</v>
      </c>
      <c r="X112" s="35">
        <f t="shared" ca="1" si="4"/>
        <v>40</v>
      </c>
      <c r="Y112" s="29">
        <f t="shared" si="5"/>
        <v>6</v>
      </c>
      <c r="Z112" s="41" t="e" cm="1">
        <f t="array" aca="1" ref="Z112" ca="1">_xlfn.IFS(Y112&lt;=5, "On time", AND(Y112&gt;5, Y112&lt;&gt;" "), "Delayed", Y112=" ", "pending" )</f>
        <v>#NAME?</v>
      </c>
    </row>
    <row r="113" spans="1:26">
      <c r="A113" s="7" t="s">
        <v>655</v>
      </c>
      <c r="B113" s="8" t="s">
        <v>131</v>
      </c>
      <c r="C113" s="8" t="s">
        <v>173</v>
      </c>
      <c r="D113" s="8" t="s">
        <v>656</v>
      </c>
      <c r="E113" s="8" t="s">
        <v>543</v>
      </c>
      <c r="F113" s="8" t="s">
        <v>204</v>
      </c>
      <c r="G113" s="8" t="s">
        <v>80</v>
      </c>
      <c r="H113" s="32"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c r="W113" s="40" t="str">
        <f t="shared" si="3"/>
        <v>Rohit Singh</v>
      </c>
      <c r="X113" s="35">
        <f t="shared" ca="1" si="4"/>
        <v>24</v>
      </c>
      <c r="Y113" s="29">
        <f t="shared" si="5"/>
        <v>9</v>
      </c>
      <c r="Z113" s="41" t="e" cm="1">
        <f t="array" aca="1" ref="Z113" ca="1">_xlfn.IFS(Y113&lt;=5, "On time", AND(Y113&gt;5, Y113&lt;&gt;" "), "Delayed", Y113=" ", "pending" )</f>
        <v>#NAME?</v>
      </c>
    </row>
    <row r="114" spans="1:26">
      <c r="A114" s="3" t="s">
        <v>659</v>
      </c>
      <c r="B114" s="4" t="s">
        <v>57</v>
      </c>
      <c r="C114" s="4" t="s">
        <v>263</v>
      </c>
      <c r="D114" s="4" t="s">
        <v>660</v>
      </c>
      <c r="E114" s="4" t="s">
        <v>661</v>
      </c>
      <c r="F114" s="4" t="s">
        <v>167</v>
      </c>
      <c r="G114" s="4" t="s">
        <v>32</v>
      </c>
      <c r="H114" s="31"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c r="W114" s="40" t="str">
        <f t="shared" si="3"/>
        <v>Pooja Shah</v>
      </c>
      <c r="X114" s="35">
        <f t="shared" ca="1" si="4"/>
        <v>40</v>
      </c>
      <c r="Y114" s="29">
        <f t="shared" si="5"/>
        <v>7</v>
      </c>
      <c r="Z114" s="41" t="e" cm="1">
        <f t="array" aca="1" ref="Z114" ca="1">_xlfn.IFS(Y114&lt;=5, "On time", AND(Y114&gt;5, Y114&lt;&gt;" "), "Delayed", Y114=" ", "pending" )</f>
        <v>#NAME?</v>
      </c>
    </row>
    <row r="115" spans="1:26">
      <c r="A115" s="7" t="s">
        <v>664</v>
      </c>
      <c r="B115" s="8" t="s">
        <v>225</v>
      </c>
      <c r="C115" s="8" t="s">
        <v>122</v>
      </c>
      <c r="D115" s="8" t="s">
        <v>345</v>
      </c>
      <c r="E115" s="8" t="s">
        <v>665</v>
      </c>
      <c r="F115" s="8" t="s">
        <v>229</v>
      </c>
      <c r="G115" s="8" t="s">
        <v>80</v>
      </c>
      <c r="H115" s="32"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c r="W115" s="40" t="str">
        <f t="shared" si="3"/>
        <v>Vikas Mehta</v>
      </c>
      <c r="X115" s="35">
        <f t="shared" ca="1" si="4"/>
        <v>36</v>
      </c>
      <c r="Y115" s="29">
        <f t="shared" si="5"/>
        <v>5</v>
      </c>
      <c r="Z115" s="41" t="e" cm="1">
        <f t="array" aca="1" ref="Z115" ca="1">_xlfn.IFS(Y115&lt;=5, "On time", AND(Y115&gt;5, Y115&lt;&gt;" "), "Delayed", Y115=" ", "pending" )</f>
        <v>#NAME?</v>
      </c>
    </row>
    <row r="116" spans="1:26">
      <c r="A116" s="3" t="s">
        <v>668</v>
      </c>
      <c r="B116" s="4" t="s">
        <v>57</v>
      </c>
      <c r="C116" s="4" t="s">
        <v>188</v>
      </c>
      <c r="D116" s="4" t="s">
        <v>669</v>
      </c>
      <c r="E116" s="4" t="s">
        <v>670</v>
      </c>
      <c r="F116" s="4" t="s">
        <v>167</v>
      </c>
      <c r="G116" s="4" t="s">
        <v>32</v>
      </c>
      <c r="H116" s="31"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c r="W116" s="40" t="str">
        <f t="shared" si="3"/>
        <v>Pooja Shah</v>
      </c>
      <c r="X116" s="35">
        <f t="shared" ca="1" si="4"/>
        <v>32</v>
      </c>
      <c r="Y116" s="29">
        <f t="shared" si="5"/>
        <v>11</v>
      </c>
      <c r="Z116" s="41" t="e" cm="1">
        <f t="array" aca="1" ref="Z116" ca="1">_xlfn.IFS(Y116&lt;=5, "On time", AND(Y116&gt;5, Y116&lt;&gt;" "), "Delayed", Y116=" ", "pending" )</f>
        <v>#NAME?</v>
      </c>
    </row>
    <row r="117" spans="1:26">
      <c r="A117" s="7" t="s">
        <v>673</v>
      </c>
      <c r="B117" s="8" t="s">
        <v>172</v>
      </c>
      <c r="C117" s="8" t="s">
        <v>226</v>
      </c>
      <c r="D117" s="8" t="s">
        <v>339</v>
      </c>
      <c r="E117" s="8" t="s">
        <v>610</v>
      </c>
      <c r="F117" s="8" t="s">
        <v>365</v>
      </c>
      <c r="G117" s="8" t="s">
        <v>32</v>
      </c>
      <c r="H117" s="32"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c r="W117" s="40" t="str">
        <f t="shared" si="3"/>
        <v>Anita Gupta</v>
      </c>
      <c r="X117" s="35">
        <f t="shared" ca="1" si="4"/>
        <v>34</v>
      </c>
      <c r="Y117" s="29">
        <f t="shared" si="5"/>
        <v>4</v>
      </c>
      <c r="Z117" s="41" t="e" cm="1">
        <f t="array" aca="1" ref="Z117" ca="1">_xlfn.IFS(Y117&lt;=5, "On time", AND(Y117&gt;5, Y117&lt;&gt;" "), "Delayed", Y117=" ", "pending" )</f>
        <v>#NAME?</v>
      </c>
    </row>
    <row r="118" spans="1:26">
      <c r="A118" s="3" t="s">
        <v>676</v>
      </c>
      <c r="B118" s="4" t="s">
        <v>104</v>
      </c>
      <c r="C118" s="4" t="s">
        <v>188</v>
      </c>
      <c r="D118" s="4" t="s">
        <v>677</v>
      </c>
      <c r="E118" s="4" t="s">
        <v>678</v>
      </c>
      <c r="F118" s="4" t="s">
        <v>107</v>
      </c>
      <c r="G118" s="4" t="s">
        <v>32</v>
      </c>
      <c r="H118" s="31"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c r="W118" s="40" t="str">
        <f t="shared" si="3"/>
        <v>Priya Patel</v>
      </c>
      <c r="X118" s="35">
        <f t="shared" ca="1" si="4"/>
        <v>46</v>
      </c>
      <c r="Y118" s="29">
        <f t="shared" si="5"/>
        <v>7</v>
      </c>
      <c r="Z118" s="41" t="e" cm="1">
        <f t="array" aca="1" ref="Z118" ca="1">_xlfn.IFS(Y118&lt;=5, "On time", AND(Y118&gt;5, Y118&lt;&gt;" "), "Delayed", Y118=" ", "pending" )</f>
        <v>#NAME?</v>
      </c>
    </row>
    <row r="119" spans="1:26">
      <c r="A119" s="7" t="s">
        <v>681</v>
      </c>
      <c r="B119" s="8" t="s">
        <v>331</v>
      </c>
      <c r="C119" s="8" t="s">
        <v>263</v>
      </c>
      <c r="D119" s="8" t="s">
        <v>682</v>
      </c>
      <c r="E119" s="8" t="s">
        <v>683</v>
      </c>
      <c r="F119" s="8" t="s">
        <v>398</v>
      </c>
      <c r="G119" s="8" t="s">
        <v>80</v>
      </c>
      <c r="H119" s="32"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c r="W119" s="40" t="str">
        <f t="shared" si="3"/>
        <v>Amit Sharma</v>
      </c>
      <c r="X119" s="35">
        <f t="shared" ca="1" si="4"/>
        <v>30</v>
      </c>
      <c r="Y119" s="29">
        <f t="shared" si="5"/>
        <v>11</v>
      </c>
      <c r="Z119" s="41" t="e" cm="1">
        <f t="array" aca="1" ref="Z119" ca="1">_xlfn.IFS(Y119&lt;=5, "On time", AND(Y119&gt;5, Y119&lt;&gt;" "), "Delayed", Y119=" ", "pending" )</f>
        <v>#NAME?</v>
      </c>
    </row>
    <row r="120" spans="1:26">
      <c r="A120" s="3" t="s">
        <v>686</v>
      </c>
      <c r="B120" s="4" t="s">
        <v>75</v>
      </c>
      <c r="C120" s="4" t="s">
        <v>76</v>
      </c>
      <c r="D120" s="4" t="s">
        <v>687</v>
      </c>
      <c r="E120" s="4" t="s">
        <v>688</v>
      </c>
      <c r="F120" s="4" t="s">
        <v>221</v>
      </c>
      <c r="G120" s="4" t="s">
        <v>80</v>
      </c>
      <c r="H120" s="31"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c r="W120" s="40" t="str">
        <f t="shared" si="3"/>
        <v>Mohit Verma</v>
      </c>
      <c r="X120" s="35">
        <f t="shared" ca="1" si="4"/>
        <v>38</v>
      </c>
      <c r="Y120" s="29">
        <f t="shared" si="5"/>
        <v>3</v>
      </c>
      <c r="Z120" s="41" t="e" cm="1">
        <f t="array" aca="1" ref="Z120" ca="1">_xlfn.IFS(Y120&lt;=5, "On time", AND(Y120&gt;5, Y120&lt;&gt;" "), "Delayed", Y120=" ", "pending" )</f>
        <v>#NAME?</v>
      </c>
    </row>
    <row r="121" spans="1:26">
      <c r="A121" s="7" t="s">
        <v>692</v>
      </c>
      <c r="B121" s="8" t="s">
        <v>104</v>
      </c>
      <c r="C121" s="8" t="s">
        <v>44</v>
      </c>
      <c r="D121" s="8" t="s">
        <v>380</v>
      </c>
      <c r="E121" s="8" t="s">
        <v>473</v>
      </c>
      <c r="F121" s="8" t="s">
        <v>107</v>
      </c>
      <c r="G121" s="8" t="s">
        <v>32</v>
      </c>
      <c r="H121" s="32"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c r="W121" s="40" t="str">
        <f t="shared" si="3"/>
        <v>Priya Patel</v>
      </c>
      <c r="X121" s="35">
        <f t="shared" ca="1" si="4"/>
        <v>37</v>
      </c>
      <c r="Y121" s="29">
        <f t="shared" si="5"/>
        <v>11</v>
      </c>
      <c r="Z121" s="41" t="e" cm="1">
        <f t="array" aca="1" ref="Z121" ca="1">_xlfn.IFS(Y121&lt;=5, "On time", AND(Y121&gt;5, Y121&lt;&gt;" "), "Delayed", Y121=" ", "pending" )</f>
        <v>#NAME?</v>
      </c>
    </row>
    <row r="122" spans="1:26">
      <c r="A122" s="3" t="s">
        <v>695</v>
      </c>
      <c r="B122" s="4" t="s">
        <v>131</v>
      </c>
      <c r="C122" s="4" t="s">
        <v>173</v>
      </c>
      <c r="D122" s="4" t="s">
        <v>458</v>
      </c>
      <c r="E122" s="4" t="s">
        <v>696</v>
      </c>
      <c r="F122" s="4" t="s">
        <v>204</v>
      </c>
      <c r="G122" s="4" t="s">
        <v>80</v>
      </c>
      <c r="H122" s="31"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c r="W122" s="40" t="str">
        <f t="shared" si="3"/>
        <v>Rohit Singh</v>
      </c>
      <c r="X122" s="35">
        <f t="shared" ca="1" si="4"/>
        <v>32</v>
      </c>
      <c r="Y122" s="29">
        <f t="shared" si="5"/>
        <v>2</v>
      </c>
      <c r="Z122" s="41" t="e" cm="1">
        <f t="array" aca="1" ref="Z122" ca="1">_xlfn.IFS(Y122&lt;=5, "On time", AND(Y122&gt;5, Y122&lt;&gt;" "), "Delayed", Y122=" ", "pending" )</f>
        <v>#NAME?</v>
      </c>
    </row>
    <row r="123" spans="1:26">
      <c r="A123" s="7" t="s">
        <v>699</v>
      </c>
      <c r="B123" s="8" t="s">
        <v>87</v>
      </c>
      <c r="C123" s="8" t="s">
        <v>263</v>
      </c>
      <c r="D123" s="8" t="s">
        <v>114</v>
      </c>
      <c r="E123" s="8" t="s">
        <v>317</v>
      </c>
      <c r="F123" s="8" t="s">
        <v>184</v>
      </c>
      <c r="G123" s="8" t="s">
        <v>80</v>
      </c>
      <c r="H123" s="32"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c r="W123" s="40" t="str">
        <f t="shared" si="3"/>
        <v>Arjun Rao</v>
      </c>
      <c r="X123" s="35">
        <f t="shared" ca="1" si="4"/>
        <v>26</v>
      </c>
      <c r="Y123" s="29">
        <f t="shared" si="5"/>
        <v>10</v>
      </c>
      <c r="Z123" s="41" t="e" cm="1">
        <f t="array" aca="1" ref="Z123" ca="1">_xlfn.IFS(Y123&lt;=5, "On time", AND(Y123&gt;5, Y123&lt;&gt;" "), "Delayed", Y123=" ", "pending" )</f>
        <v>#NAME?</v>
      </c>
    </row>
    <row r="124" spans="1:26">
      <c r="A124" s="3" t="s">
        <v>702</v>
      </c>
      <c r="B124" s="4" t="s">
        <v>331</v>
      </c>
      <c r="C124" s="4" t="s">
        <v>188</v>
      </c>
      <c r="D124" s="4" t="s">
        <v>468</v>
      </c>
      <c r="E124" s="4" t="s">
        <v>88</v>
      </c>
      <c r="F124" s="4" t="s">
        <v>398</v>
      </c>
      <c r="G124" s="4" t="s">
        <v>80</v>
      </c>
      <c r="H124" s="31"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c r="W124" s="40" t="str">
        <f t="shared" si="3"/>
        <v>Amit Sharma</v>
      </c>
      <c r="X124" s="35">
        <f t="shared" ca="1" si="4"/>
        <v>40</v>
      </c>
      <c r="Y124" s="29">
        <f t="shared" si="5"/>
        <v>1</v>
      </c>
      <c r="Z124" s="41" t="e" cm="1">
        <f t="array" aca="1" ref="Z124" ca="1">_xlfn.IFS(Y124&lt;=5, "On time", AND(Y124&gt;5, Y124&lt;&gt;" "), "Delayed", Y124=" ", "pending" )</f>
        <v>#NAME?</v>
      </c>
    </row>
    <row r="125" spans="1:26">
      <c r="A125" s="7" t="s">
        <v>705</v>
      </c>
      <c r="B125" s="8" t="s">
        <v>172</v>
      </c>
      <c r="C125" s="8" t="s">
        <v>76</v>
      </c>
      <c r="D125" s="8" t="s">
        <v>706</v>
      </c>
      <c r="E125" s="8" t="s">
        <v>707</v>
      </c>
      <c r="F125" s="8" t="s">
        <v>365</v>
      </c>
      <c r="G125" s="8" t="s">
        <v>32</v>
      </c>
      <c r="H125" s="32"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c r="W125" s="40" t="str">
        <f t="shared" si="3"/>
        <v>Anita Gupta</v>
      </c>
      <c r="X125" s="35">
        <f t="shared" ca="1" si="4"/>
        <v>40</v>
      </c>
      <c r="Y125" s="29">
        <f t="shared" si="5"/>
        <v>6</v>
      </c>
      <c r="Z125" s="41" t="e" cm="1">
        <f t="array" aca="1" ref="Z125" ca="1">_xlfn.IFS(Y125&lt;=5, "On time", AND(Y125&gt;5, Y125&lt;&gt;" "), "Delayed", Y125=" ", "pending" )</f>
        <v>#NAME?</v>
      </c>
    </row>
    <row r="126" spans="1:26">
      <c r="A126" s="3" t="s">
        <v>710</v>
      </c>
      <c r="B126" s="4" t="s">
        <v>104</v>
      </c>
      <c r="C126" s="4" t="s">
        <v>263</v>
      </c>
      <c r="D126" s="4" t="s">
        <v>601</v>
      </c>
      <c r="E126" s="4" t="s">
        <v>711</v>
      </c>
      <c r="F126" s="4" t="s">
        <v>107</v>
      </c>
      <c r="G126" s="4" t="s">
        <v>32</v>
      </c>
      <c r="H126" s="31"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c r="W126" s="40" t="str">
        <f t="shared" si="3"/>
        <v>Priya Patel</v>
      </c>
      <c r="X126" s="35">
        <f t="shared" ca="1" si="4"/>
        <v>34</v>
      </c>
      <c r="Y126" s="29">
        <f t="shared" si="5"/>
        <v>10</v>
      </c>
      <c r="Z126" s="41" t="e" cm="1">
        <f t="array" aca="1" ref="Z126" ca="1">_xlfn.IFS(Y126&lt;=5, "On time", AND(Y126&gt;5, Y126&lt;&gt;" "), "Delayed", Y126=" ", "pending" )</f>
        <v>#NAME?</v>
      </c>
    </row>
    <row r="127" spans="1:26">
      <c r="A127" s="7" t="s">
        <v>714</v>
      </c>
      <c r="B127" s="8" t="s">
        <v>172</v>
      </c>
      <c r="C127" s="8" t="s">
        <v>76</v>
      </c>
      <c r="D127" s="8" t="s">
        <v>715</v>
      </c>
      <c r="E127" s="8" t="s">
        <v>716</v>
      </c>
      <c r="F127" s="8" t="s">
        <v>365</v>
      </c>
      <c r="G127" s="8" t="s">
        <v>32</v>
      </c>
      <c r="H127" s="32"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c r="W127" s="40" t="str">
        <f t="shared" si="3"/>
        <v>Anita Gupta</v>
      </c>
      <c r="X127" s="35">
        <f t="shared" ca="1" si="4"/>
        <v>45</v>
      </c>
      <c r="Y127" s="29">
        <f t="shared" si="5"/>
        <v>4</v>
      </c>
      <c r="Z127" s="41" t="e" cm="1">
        <f t="array" aca="1" ref="Z127" ca="1">_xlfn.IFS(Y127&lt;=5, "On time", AND(Y127&gt;5, Y127&lt;&gt;" "), "Delayed", Y127=" ", "pending" )</f>
        <v>#NAME?</v>
      </c>
    </row>
    <row r="128" spans="1:26">
      <c r="A128" s="3" t="s">
        <v>719</v>
      </c>
      <c r="B128" s="4" t="s">
        <v>131</v>
      </c>
      <c r="C128" s="4" t="s">
        <v>58</v>
      </c>
      <c r="D128" s="4" t="s">
        <v>228</v>
      </c>
      <c r="E128" s="4" t="s">
        <v>720</v>
      </c>
      <c r="F128" s="4" t="s">
        <v>204</v>
      </c>
      <c r="G128" s="4" t="s">
        <v>80</v>
      </c>
      <c r="H128" s="31"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c r="W128" s="40" t="str">
        <f t="shared" si="3"/>
        <v>Rohit Singh</v>
      </c>
      <c r="X128" s="35">
        <f t="shared" ca="1" si="4"/>
        <v>21</v>
      </c>
      <c r="Y128" s="29">
        <f t="shared" si="5"/>
        <v>6</v>
      </c>
      <c r="Z128" s="41" t="e" cm="1">
        <f t="array" aca="1" ref="Z128" ca="1">_xlfn.IFS(Y128&lt;=5, "On time", AND(Y128&gt;5, Y128&lt;&gt;" "), "Delayed", Y128=" ", "pending" )</f>
        <v>#NAME?</v>
      </c>
    </row>
    <row r="129" spans="1:26">
      <c r="A129" s="7" t="s">
        <v>723</v>
      </c>
      <c r="B129" s="8" t="s">
        <v>255</v>
      </c>
      <c r="C129" s="8" t="s">
        <v>96</v>
      </c>
      <c r="D129" s="8" t="s">
        <v>724</v>
      </c>
      <c r="E129" s="8" t="s">
        <v>386</v>
      </c>
      <c r="F129" s="8" t="s">
        <v>258</v>
      </c>
      <c r="G129" s="8" t="s">
        <v>32</v>
      </c>
      <c r="H129" s="32"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c r="W129" s="40" t="str">
        <f t="shared" si="3"/>
        <v>Sneha Joshi</v>
      </c>
      <c r="X129" s="35">
        <f t="shared" ca="1" si="4"/>
        <v>42</v>
      </c>
      <c r="Y129" s="29">
        <f t="shared" si="5"/>
        <v>1</v>
      </c>
      <c r="Z129" s="41" t="e" cm="1">
        <f t="array" aca="1" ref="Z129" ca="1">_xlfn.IFS(Y129&lt;=5, "On time", AND(Y129&gt;5, Y129&lt;&gt;" "), "Delayed", Y129=" ", "pending" )</f>
        <v>#NAME?</v>
      </c>
    </row>
    <row r="130" spans="1:26">
      <c r="A130" s="3" t="s">
        <v>727</v>
      </c>
      <c r="B130" s="4" t="s">
        <v>104</v>
      </c>
      <c r="C130" s="4" t="s">
        <v>28</v>
      </c>
      <c r="D130" s="4" t="s">
        <v>566</v>
      </c>
      <c r="E130" s="4" t="s">
        <v>728</v>
      </c>
      <c r="F130" s="4" t="s">
        <v>107</v>
      </c>
      <c r="G130" s="4" t="s">
        <v>32</v>
      </c>
      <c r="H130" s="31"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c r="W130" s="40" t="str">
        <f t="shared" ref="W130:W193" si="6">PROPER(TRIM(F130))</f>
        <v>Priya Patel</v>
      </c>
      <c r="X130" s="35">
        <f t="shared" ca="1" si="4"/>
        <v>43</v>
      </c>
      <c r="Y130" s="29">
        <f t="shared" si="5"/>
        <v>5</v>
      </c>
      <c r="Z130" s="41" t="e" cm="1">
        <f t="array" aca="1" ref="Z130" ca="1">_xlfn.IFS(Y130&lt;=5, "On time", AND(Y130&gt;5, Y130&lt;&gt;" "), "Delayed", Y130=" ", "pending" )</f>
        <v>#NAME?</v>
      </c>
    </row>
    <row r="131" spans="1:26">
      <c r="A131" s="7" t="s">
        <v>731</v>
      </c>
      <c r="B131" s="8" t="s">
        <v>255</v>
      </c>
      <c r="C131" s="8" t="s">
        <v>96</v>
      </c>
      <c r="D131" s="8" t="s">
        <v>264</v>
      </c>
      <c r="E131" s="8" t="s">
        <v>235</v>
      </c>
      <c r="F131" s="8" t="s">
        <v>258</v>
      </c>
      <c r="G131" s="8" t="s">
        <v>32</v>
      </c>
      <c r="H131" s="32"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c r="W131" s="40" t="str">
        <f t="shared" si="6"/>
        <v>Sneha Joshi</v>
      </c>
      <c r="X131" s="35">
        <f t="shared" ref="X131:X194" ca="1" si="7">IFERROR(DATEDIF(H131, TODAY(), "y"), " ")</f>
        <v>33</v>
      </c>
      <c r="Y131" s="29">
        <f t="shared" ref="Y131:Y194" si="8">IFERROR(DATEDIF(D131, E131, "D"), " ")</f>
        <v>8</v>
      </c>
      <c r="Z131" s="41" t="e" cm="1">
        <f t="array" aca="1" ref="Z131" ca="1">_xlfn.IFS(Y131&lt;=5, "On time", AND(Y131&gt;5, Y131&lt;&gt;" "), "Delayed", Y131=" ", "pending" )</f>
        <v>#NAME?</v>
      </c>
    </row>
    <row r="132" spans="1:26">
      <c r="A132" s="3" t="s">
        <v>734</v>
      </c>
      <c r="B132" s="4" t="s">
        <v>172</v>
      </c>
      <c r="C132" s="4" t="s">
        <v>76</v>
      </c>
      <c r="D132" s="4" t="s">
        <v>735</v>
      </c>
      <c r="E132" s="4" t="s">
        <v>736</v>
      </c>
      <c r="F132" s="4" t="s">
        <v>365</v>
      </c>
      <c r="G132" s="4" t="s">
        <v>32</v>
      </c>
      <c r="H132" s="31"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c r="W132" s="40" t="str">
        <f t="shared" si="6"/>
        <v>Anita Gupta</v>
      </c>
      <c r="X132" s="35">
        <f t="shared" ca="1" si="7"/>
        <v>23</v>
      </c>
      <c r="Y132" s="29">
        <f t="shared" si="8"/>
        <v>3</v>
      </c>
      <c r="Z132" s="41" t="e" cm="1">
        <f t="array" aca="1" ref="Z132" ca="1">_xlfn.IFS(Y132&lt;=5, "On time", AND(Y132&gt;5, Y132&lt;&gt;" "), "Delayed", Y132=" ", "pending" )</f>
        <v>#NAME?</v>
      </c>
    </row>
    <row r="133" spans="1:26">
      <c r="A133" s="7" t="s">
        <v>739</v>
      </c>
      <c r="B133" s="8" t="s">
        <v>104</v>
      </c>
      <c r="C133" s="8" t="s">
        <v>226</v>
      </c>
      <c r="D133" s="8" t="s">
        <v>740</v>
      </c>
      <c r="E133" s="8" t="s">
        <v>174</v>
      </c>
      <c r="F133" s="8" t="s">
        <v>107</v>
      </c>
      <c r="G133" s="8" t="s">
        <v>32</v>
      </c>
      <c r="H133" s="32"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c r="W133" s="40" t="str">
        <f t="shared" si="6"/>
        <v>Priya Patel</v>
      </c>
      <c r="X133" s="35">
        <f t="shared" ca="1" si="7"/>
        <v>36</v>
      </c>
      <c r="Y133" s="29">
        <f t="shared" si="8"/>
        <v>5</v>
      </c>
      <c r="Z133" s="41" t="e" cm="1">
        <f t="array" aca="1" ref="Z133" ca="1">_xlfn.IFS(Y133&lt;=5, "On time", AND(Y133&gt;5, Y133&lt;&gt;" "), "Delayed", Y133=" ", "pending" )</f>
        <v>#NAME?</v>
      </c>
    </row>
    <row r="134" spans="1:26">
      <c r="A134" s="3" t="s">
        <v>743</v>
      </c>
      <c r="B134" s="4" t="s">
        <v>75</v>
      </c>
      <c r="C134" s="4" t="s">
        <v>44</v>
      </c>
      <c r="D134" s="4" t="s">
        <v>744</v>
      </c>
      <c r="E134" s="4" t="s">
        <v>661</v>
      </c>
      <c r="F134" s="4" t="s">
        <v>221</v>
      </c>
      <c r="G134" s="4" t="s">
        <v>80</v>
      </c>
      <c r="H134" s="31"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c r="W134" s="40" t="str">
        <f t="shared" si="6"/>
        <v>Mohit Verma</v>
      </c>
      <c r="X134" s="35">
        <f t="shared" ca="1" si="7"/>
        <v>30</v>
      </c>
      <c r="Y134" s="29">
        <f t="shared" si="8"/>
        <v>6</v>
      </c>
      <c r="Z134" s="41" t="e" cm="1">
        <f t="array" aca="1" ref="Z134" ca="1">_xlfn.IFS(Y134&lt;=5, "On time", AND(Y134&gt;5, Y134&lt;&gt;" "), "Delayed", Y134=" ", "pending" )</f>
        <v>#NAME?</v>
      </c>
    </row>
    <row r="135" spans="1:26">
      <c r="A135" s="7" t="s">
        <v>747</v>
      </c>
      <c r="B135" s="8" t="s">
        <v>75</v>
      </c>
      <c r="C135" s="8" t="s">
        <v>28</v>
      </c>
      <c r="D135" s="8" t="s">
        <v>656</v>
      </c>
      <c r="E135" s="8" t="s">
        <v>543</v>
      </c>
      <c r="F135" s="8" t="s">
        <v>221</v>
      </c>
      <c r="G135" s="8" t="s">
        <v>80</v>
      </c>
      <c r="H135" s="32"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c r="W135" s="40" t="str">
        <f t="shared" si="6"/>
        <v>Mohit Verma</v>
      </c>
      <c r="X135" s="35">
        <f t="shared" ca="1" si="7"/>
        <v>32</v>
      </c>
      <c r="Y135" s="29">
        <f t="shared" si="8"/>
        <v>9</v>
      </c>
      <c r="Z135" s="41" t="e" cm="1">
        <f t="array" aca="1" ref="Z135" ca="1">_xlfn.IFS(Y135&lt;=5, "On time", AND(Y135&gt;5, Y135&lt;&gt;" "), "Delayed", Y135=" ", "pending" )</f>
        <v>#NAME?</v>
      </c>
    </row>
    <row r="136" spans="1:26">
      <c r="A136" s="3" t="s">
        <v>750</v>
      </c>
      <c r="B136" s="4" t="s">
        <v>57</v>
      </c>
      <c r="C136" s="4" t="s">
        <v>96</v>
      </c>
      <c r="D136" s="4" t="s">
        <v>412</v>
      </c>
      <c r="E136" s="4" t="s">
        <v>492</v>
      </c>
      <c r="F136" s="4" t="s">
        <v>167</v>
      </c>
      <c r="G136" s="4" t="s">
        <v>32</v>
      </c>
      <c r="H136" s="31"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c r="W136" s="40" t="str">
        <f t="shared" si="6"/>
        <v>Pooja Shah</v>
      </c>
      <c r="X136" s="35">
        <f t="shared" ca="1" si="7"/>
        <v>22</v>
      </c>
      <c r="Y136" s="29">
        <f t="shared" si="8"/>
        <v>12</v>
      </c>
      <c r="Z136" s="41" t="e" cm="1">
        <f t="array" aca="1" ref="Z136" ca="1">_xlfn.IFS(Y136&lt;=5, "On time", AND(Y136&gt;5, Y136&lt;&gt;" "), "Delayed", Y136=" ", "pending" )</f>
        <v>#NAME?</v>
      </c>
    </row>
    <row r="137" spans="1:26">
      <c r="A137" s="7" t="s">
        <v>753</v>
      </c>
      <c r="B137" s="8" t="s">
        <v>75</v>
      </c>
      <c r="C137" s="8" t="s">
        <v>173</v>
      </c>
      <c r="D137" s="8" t="s">
        <v>754</v>
      </c>
      <c r="E137" s="8" t="s">
        <v>755</v>
      </c>
      <c r="F137" s="8" t="s">
        <v>221</v>
      </c>
      <c r="G137" s="8" t="s">
        <v>80</v>
      </c>
      <c r="H137" s="32"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c r="W137" s="40" t="str">
        <f t="shared" si="6"/>
        <v>Mohit Verma</v>
      </c>
      <c r="X137" s="35">
        <f t="shared" ca="1" si="7"/>
        <v>29</v>
      </c>
      <c r="Y137" s="29">
        <f t="shared" si="8"/>
        <v>2</v>
      </c>
      <c r="Z137" s="41" t="e" cm="1">
        <f t="array" aca="1" ref="Z137" ca="1">_xlfn.IFS(Y137&lt;=5, "On time", AND(Y137&gt;5, Y137&lt;&gt;" "), "Delayed", Y137=" ", "pending" )</f>
        <v>#NAME?</v>
      </c>
    </row>
    <row r="138" spans="1:26">
      <c r="A138" s="3" t="s">
        <v>758</v>
      </c>
      <c r="B138" s="4" t="s">
        <v>27</v>
      </c>
      <c r="C138" s="4" t="s">
        <v>96</v>
      </c>
      <c r="D138" s="4" t="s">
        <v>759</v>
      </c>
      <c r="E138" s="4" t="s">
        <v>760</v>
      </c>
      <c r="F138" s="4" t="s">
        <v>31</v>
      </c>
      <c r="G138" s="4" t="s">
        <v>32</v>
      </c>
      <c r="H138" s="31"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c r="W138" s="40" t="str">
        <f t="shared" si="6"/>
        <v>Kavya Nair</v>
      </c>
      <c r="X138" s="35">
        <f t="shared" ca="1" si="7"/>
        <v>46</v>
      </c>
      <c r="Y138" s="29">
        <f t="shared" si="8"/>
        <v>7</v>
      </c>
      <c r="Z138" s="41" t="e" cm="1">
        <f t="array" aca="1" ref="Z138" ca="1">_xlfn.IFS(Y138&lt;=5, "On time", AND(Y138&gt;5, Y138&lt;&gt;" "), "Delayed", Y138=" ", "pending" )</f>
        <v>#NAME?</v>
      </c>
    </row>
    <row r="139" spans="1:26">
      <c r="A139" s="7" t="s">
        <v>763</v>
      </c>
      <c r="B139" s="8" t="s">
        <v>331</v>
      </c>
      <c r="C139" s="8" t="s">
        <v>263</v>
      </c>
      <c r="D139" s="8" t="s">
        <v>764</v>
      </c>
      <c r="E139" s="8" t="s">
        <v>765</v>
      </c>
      <c r="F139" s="8" t="s">
        <v>398</v>
      </c>
      <c r="G139" s="8" t="s">
        <v>80</v>
      </c>
      <c r="H139" s="32"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c r="W139" s="40" t="str">
        <f t="shared" si="6"/>
        <v>Amit Sharma</v>
      </c>
      <c r="X139" s="35">
        <f t="shared" ca="1" si="7"/>
        <v>23</v>
      </c>
      <c r="Y139" s="29">
        <f t="shared" si="8"/>
        <v>5</v>
      </c>
      <c r="Z139" s="41" t="e" cm="1">
        <f t="array" aca="1" ref="Z139" ca="1">_xlfn.IFS(Y139&lt;=5, "On time", AND(Y139&gt;5, Y139&lt;&gt;" "), "Delayed", Y139=" ", "pending" )</f>
        <v>#NAME?</v>
      </c>
    </row>
    <row r="140" spans="1:26">
      <c r="A140" s="3" t="s">
        <v>768</v>
      </c>
      <c r="B140" s="4" t="s">
        <v>225</v>
      </c>
      <c r="C140" s="4" t="s">
        <v>263</v>
      </c>
      <c r="D140" s="4" t="s">
        <v>769</v>
      </c>
      <c r="E140" s="4" t="s">
        <v>770</v>
      </c>
      <c r="F140" s="4" t="s">
        <v>229</v>
      </c>
      <c r="G140" s="4" t="s">
        <v>80</v>
      </c>
      <c r="H140" s="31"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c r="W140" s="40" t="str">
        <f t="shared" si="6"/>
        <v>Vikas Mehta</v>
      </c>
      <c r="X140" s="35">
        <f t="shared" ca="1" si="7"/>
        <v>41</v>
      </c>
      <c r="Y140" s="29">
        <f t="shared" si="8"/>
        <v>1</v>
      </c>
      <c r="Z140" s="41" t="e" cm="1">
        <f t="array" aca="1" ref="Z140" ca="1">_xlfn.IFS(Y140&lt;=5, "On time", AND(Y140&gt;5, Y140&lt;&gt;" "), "Delayed", Y140=" ", "pending" )</f>
        <v>#NAME?</v>
      </c>
    </row>
    <row r="141" spans="1:26">
      <c r="A141" s="7" t="s">
        <v>773</v>
      </c>
      <c r="B141" s="8" t="s">
        <v>87</v>
      </c>
      <c r="C141" s="8" t="s">
        <v>58</v>
      </c>
      <c r="D141" s="8" t="s">
        <v>774</v>
      </c>
      <c r="E141" s="8" t="s">
        <v>775</v>
      </c>
      <c r="F141" s="8" t="s">
        <v>184</v>
      </c>
      <c r="G141" s="8" t="s">
        <v>80</v>
      </c>
      <c r="H141" s="32"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c r="W141" s="40" t="str">
        <f t="shared" si="6"/>
        <v>Arjun Rao</v>
      </c>
      <c r="X141" s="35">
        <f t="shared" ca="1" si="7"/>
        <v>37</v>
      </c>
      <c r="Y141" s="29">
        <f t="shared" si="8"/>
        <v>8</v>
      </c>
      <c r="Z141" s="41" t="e" cm="1">
        <f t="array" aca="1" ref="Z141" ca="1">_xlfn.IFS(Y141&lt;=5, "On time", AND(Y141&gt;5, Y141&lt;&gt;" "), "Delayed", Y141=" ", "pending" )</f>
        <v>#NAME?</v>
      </c>
    </row>
    <row r="142" spans="1:26">
      <c r="A142" s="3" t="s">
        <v>778</v>
      </c>
      <c r="B142" s="4" t="s">
        <v>57</v>
      </c>
      <c r="C142" s="4" t="s">
        <v>96</v>
      </c>
      <c r="D142" s="4" t="s">
        <v>779</v>
      </c>
      <c r="E142" s="4" t="s">
        <v>543</v>
      </c>
      <c r="F142" s="4" t="s">
        <v>167</v>
      </c>
      <c r="G142" s="4" t="s">
        <v>32</v>
      </c>
      <c r="H142" s="31"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c r="W142" s="40" t="str">
        <f t="shared" si="6"/>
        <v>Pooja Shah</v>
      </c>
      <c r="X142" s="35">
        <f t="shared" ca="1" si="7"/>
        <v>47</v>
      </c>
      <c r="Y142" s="29">
        <f t="shared" si="8"/>
        <v>7</v>
      </c>
      <c r="Z142" s="41" t="e" cm="1">
        <f t="array" aca="1" ref="Z142" ca="1">_xlfn.IFS(Y142&lt;=5, "On time", AND(Y142&gt;5, Y142&lt;&gt;" "), "Delayed", Y142=" ", "pending" )</f>
        <v>#NAME?</v>
      </c>
    </row>
    <row r="143" spans="1:26">
      <c r="A143" s="7" t="s">
        <v>782</v>
      </c>
      <c r="B143" s="8" t="s">
        <v>87</v>
      </c>
      <c r="C143" s="8" t="s">
        <v>28</v>
      </c>
      <c r="D143" s="8" t="s">
        <v>280</v>
      </c>
      <c r="E143" s="8" t="s">
        <v>783</v>
      </c>
      <c r="F143" s="8" t="s">
        <v>184</v>
      </c>
      <c r="G143" s="8" t="s">
        <v>80</v>
      </c>
      <c r="H143" s="32"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c r="W143" s="40" t="str">
        <f t="shared" si="6"/>
        <v>Arjun Rao</v>
      </c>
      <c r="X143" s="35">
        <f t="shared" ca="1" si="7"/>
        <v>39</v>
      </c>
      <c r="Y143" s="29">
        <f t="shared" si="8"/>
        <v>10</v>
      </c>
      <c r="Z143" s="41" t="e" cm="1">
        <f t="array" aca="1" ref="Z143" ca="1">_xlfn.IFS(Y143&lt;=5, "On time", AND(Y143&gt;5, Y143&lt;&gt;" "), "Delayed", Y143=" ", "pending" )</f>
        <v>#NAME?</v>
      </c>
    </row>
    <row r="144" spans="1:26">
      <c r="A144" s="3" t="s">
        <v>786</v>
      </c>
      <c r="B144" s="4" t="s">
        <v>87</v>
      </c>
      <c r="C144" s="4" t="s">
        <v>76</v>
      </c>
      <c r="D144" s="4" t="s">
        <v>774</v>
      </c>
      <c r="E144" s="4" t="s">
        <v>787</v>
      </c>
      <c r="F144" s="4" t="s">
        <v>184</v>
      </c>
      <c r="G144" s="4" t="s">
        <v>80</v>
      </c>
      <c r="H144" s="31"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c r="W144" s="40" t="str">
        <f t="shared" si="6"/>
        <v>Arjun Rao</v>
      </c>
      <c r="X144" s="35">
        <f t="shared" ca="1" si="7"/>
        <v>49</v>
      </c>
      <c r="Y144" s="29">
        <f t="shared" si="8"/>
        <v>7</v>
      </c>
      <c r="Z144" s="41" t="e" cm="1">
        <f t="array" aca="1" ref="Z144" ca="1">_xlfn.IFS(Y144&lt;=5, "On time", AND(Y144&gt;5, Y144&lt;&gt;" "), "Delayed", Y144=" ", "pending" )</f>
        <v>#NAME?</v>
      </c>
    </row>
    <row r="145" spans="1:26">
      <c r="A145" s="7" t="s">
        <v>790</v>
      </c>
      <c r="B145" s="8" t="s">
        <v>225</v>
      </c>
      <c r="C145" s="8" t="s">
        <v>122</v>
      </c>
      <c r="D145" s="8" t="s">
        <v>791</v>
      </c>
      <c r="E145" s="8" t="s">
        <v>792</v>
      </c>
      <c r="F145" s="8" t="s">
        <v>229</v>
      </c>
      <c r="G145" s="8" t="s">
        <v>80</v>
      </c>
      <c r="H145" s="32"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c r="W145" s="40" t="str">
        <f t="shared" si="6"/>
        <v>Vikas Mehta</v>
      </c>
      <c r="X145" s="35">
        <f t="shared" ca="1" si="7"/>
        <v>42</v>
      </c>
      <c r="Y145" s="29">
        <f t="shared" si="8"/>
        <v>1</v>
      </c>
      <c r="Z145" s="41" t="e" cm="1">
        <f t="array" aca="1" ref="Z145" ca="1">_xlfn.IFS(Y145&lt;=5, "On time", AND(Y145&gt;5, Y145&lt;&gt;" "), "Delayed", Y145=" ", "pending" )</f>
        <v>#NAME?</v>
      </c>
    </row>
    <row r="146" spans="1:26">
      <c r="A146" s="3" t="s">
        <v>795</v>
      </c>
      <c r="B146" s="4" t="s">
        <v>57</v>
      </c>
      <c r="C146" s="4" t="s">
        <v>28</v>
      </c>
      <c r="D146" s="4" t="s">
        <v>796</v>
      </c>
      <c r="E146" s="4" t="s">
        <v>797</v>
      </c>
      <c r="F146" s="4" t="s">
        <v>167</v>
      </c>
      <c r="G146" s="4" t="s">
        <v>32</v>
      </c>
      <c r="H146" s="31"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c r="W146" s="40" t="str">
        <f t="shared" si="6"/>
        <v>Pooja Shah</v>
      </c>
      <c r="X146" s="35">
        <f t="shared" ca="1" si="7"/>
        <v>48</v>
      </c>
      <c r="Y146" s="29">
        <f t="shared" si="8"/>
        <v>11</v>
      </c>
      <c r="Z146" s="41" t="e" cm="1">
        <f t="array" aca="1" ref="Z146" ca="1">_xlfn.IFS(Y146&lt;=5, "On time", AND(Y146&gt;5, Y146&lt;&gt;" "), "Delayed", Y146=" ", "pending" )</f>
        <v>#NAME?</v>
      </c>
    </row>
    <row r="147" spans="1:26">
      <c r="A147" s="7" t="s">
        <v>800</v>
      </c>
      <c r="B147" s="8" t="s">
        <v>75</v>
      </c>
      <c r="C147" s="8" t="s">
        <v>122</v>
      </c>
      <c r="D147" s="8" t="s">
        <v>801</v>
      </c>
      <c r="E147" s="8" t="s">
        <v>802</v>
      </c>
      <c r="F147" s="8" t="s">
        <v>221</v>
      </c>
      <c r="G147" s="8" t="s">
        <v>80</v>
      </c>
      <c r="H147" s="32"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c r="W147" s="40" t="str">
        <f t="shared" si="6"/>
        <v>Mohit Verma</v>
      </c>
      <c r="X147" s="35">
        <f t="shared" ca="1" si="7"/>
        <v>43</v>
      </c>
      <c r="Y147" s="29">
        <f t="shared" si="8"/>
        <v>3</v>
      </c>
      <c r="Z147" s="41" t="e" cm="1">
        <f t="array" aca="1" ref="Z147" ca="1">_xlfn.IFS(Y147&lt;=5, "On time", AND(Y147&gt;5, Y147&lt;&gt;" "), "Delayed", Y147=" ", "pending" )</f>
        <v>#NAME?</v>
      </c>
    </row>
    <row r="148" spans="1:26">
      <c r="A148" s="3" t="s">
        <v>805</v>
      </c>
      <c r="B148" s="4" t="s">
        <v>131</v>
      </c>
      <c r="C148" s="4" t="s">
        <v>58</v>
      </c>
      <c r="D148" s="4" t="s">
        <v>426</v>
      </c>
      <c r="E148" s="4" t="s">
        <v>381</v>
      </c>
      <c r="F148" s="4" t="s">
        <v>204</v>
      </c>
      <c r="G148" s="4" t="s">
        <v>80</v>
      </c>
      <c r="H148" s="31"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c r="W148" s="40" t="str">
        <f t="shared" si="6"/>
        <v>Rohit Singh</v>
      </c>
      <c r="X148" s="35">
        <f t="shared" ca="1" si="7"/>
        <v>38</v>
      </c>
      <c r="Y148" s="29">
        <f t="shared" si="8"/>
        <v>7</v>
      </c>
      <c r="Z148" s="41" t="e" cm="1">
        <f t="array" aca="1" ref="Z148" ca="1">_xlfn.IFS(Y148&lt;=5, "On time", AND(Y148&gt;5, Y148&lt;&gt;" "), "Delayed", Y148=" ", "pending" )</f>
        <v>#NAME?</v>
      </c>
    </row>
    <row r="149" spans="1:26">
      <c r="A149" s="7" t="s">
        <v>808</v>
      </c>
      <c r="B149" s="8" t="s">
        <v>255</v>
      </c>
      <c r="C149" s="8" t="s">
        <v>173</v>
      </c>
      <c r="D149" s="8" t="s">
        <v>478</v>
      </c>
      <c r="E149" s="8" t="s">
        <v>468</v>
      </c>
      <c r="F149" s="8" t="s">
        <v>258</v>
      </c>
      <c r="G149" s="8" t="s">
        <v>32</v>
      </c>
      <c r="H149" s="32"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c r="W149" s="40" t="str">
        <f t="shared" si="6"/>
        <v>Sneha Joshi</v>
      </c>
      <c r="X149" s="35">
        <f t="shared" ca="1" si="7"/>
        <v>23</v>
      </c>
      <c r="Y149" s="29">
        <f t="shared" si="8"/>
        <v>11</v>
      </c>
      <c r="Z149" s="41" t="e" cm="1">
        <f t="array" aca="1" ref="Z149" ca="1">_xlfn.IFS(Y149&lt;=5, "On time", AND(Y149&gt;5, Y149&lt;&gt;" "), "Delayed", Y149=" ", "pending" )</f>
        <v>#NAME?</v>
      </c>
    </row>
    <row r="150" spans="1:26">
      <c r="A150" s="3" t="s">
        <v>196</v>
      </c>
      <c r="B150" s="4" t="s">
        <v>104</v>
      </c>
      <c r="C150" s="4" t="s">
        <v>188</v>
      </c>
      <c r="D150" s="4" t="s">
        <v>250</v>
      </c>
      <c r="E150" s="4" t="s">
        <v>132</v>
      </c>
      <c r="F150" s="4" t="s">
        <v>107</v>
      </c>
      <c r="G150" s="4" t="s">
        <v>32</v>
      </c>
      <c r="H150" s="31"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c r="W150" s="40" t="str">
        <f t="shared" si="6"/>
        <v>Priya Patel</v>
      </c>
      <c r="X150" s="35">
        <f t="shared" ca="1" si="7"/>
        <v>24</v>
      </c>
      <c r="Y150" s="29">
        <f t="shared" si="8"/>
        <v>11</v>
      </c>
      <c r="Z150" s="41" t="e" cm="1">
        <f t="array" aca="1" ref="Z150" ca="1">_xlfn.IFS(Y150&lt;=5, "On time", AND(Y150&gt;5, Y150&lt;&gt;" "), "Delayed", Y150=" ", "pending" )</f>
        <v>#NAME?</v>
      </c>
    </row>
    <row r="151" spans="1:26">
      <c r="A151" s="7" t="s">
        <v>813</v>
      </c>
      <c r="B151" s="8" t="s">
        <v>131</v>
      </c>
      <c r="C151" s="8" t="s">
        <v>188</v>
      </c>
      <c r="D151" s="8" t="s">
        <v>493</v>
      </c>
      <c r="E151" s="8" t="s">
        <v>271</v>
      </c>
      <c r="F151" s="8" t="s">
        <v>204</v>
      </c>
      <c r="G151" s="8" t="s">
        <v>80</v>
      </c>
      <c r="H151" s="32"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c r="W151" s="40" t="str">
        <f t="shared" si="6"/>
        <v>Rohit Singh</v>
      </c>
      <c r="X151" s="35">
        <f t="shared" ca="1" si="7"/>
        <v>51</v>
      </c>
      <c r="Y151" s="29">
        <f t="shared" si="8"/>
        <v>6</v>
      </c>
      <c r="Z151" s="41" t="e" cm="1">
        <f t="array" aca="1" ref="Z151" ca="1">_xlfn.IFS(Y151&lt;=5, "On time", AND(Y151&gt;5, Y151&lt;&gt;" "), "Delayed", Y151=" ", "pending" )</f>
        <v>#NAME?</v>
      </c>
    </row>
    <row r="152" spans="1:26">
      <c r="A152" s="3" t="s">
        <v>816</v>
      </c>
      <c r="B152" s="4" t="s">
        <v>57</v>
      </c>
      <c r="C152" s="4" t="s">
        <v>96</v>
      </c>
      <c r="D152" s="4" t="s">
        <v>522</v>
      </c>
      <c r="E152" s="4" t="s">
        <v>619</v>
      </c>
      <c r="F152" s="4" t="s">
        <v>167</v>
      </c>
      <c r="G152" s="4" t="s">
        <v>32</v>
      </c>
      <c r="H152" s="31"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c r="W152" s="40" t="str">
        <f t="shared" si="6"/>
        <v>Pooja Shah</v>
      </c>
      <c r="X152" s="35">
        <f t="shared" ca="1" si="7"/>
        <v>34</v>
      </c>
      <c r="Y152" s="29">
        <f t="shared" si="8"/>
        <v>12</v>
      </c>
      <c r="Z152" s="41" t="e" cm="1">
        <f t="array" aca="1" ref="Z152" ca="1">_xlfn.IFS(Y152&lt;=5, "On time", AND(Y152&gt;5, Y152&lt;&gt;" "), "Delayed", Y152=" ", "pending" )</f>
        <v>#NAME?</v>
      </c>
    </row>
    <row r="153" spans="1:26">
      <c r="A153" s="7" t="s">
        <v>819</v>
      </c>
      <c r="B153" s="8" t="s">
        <v>27</v>
      </c>
      <c r="C153" s="8" t="s">
        <v>226</v>
      </c>
      <c r="D153" s="8" t="s">
        <v>820</v>
      </c>
      <c r="E153" s="8" t="s">
        <v>821</v>
      </c>
      <c r="F153" s="8" t="s">
        <v>31</v>
      </c>
      <c r="G153" s="8" t="s">
        <v>32</v>
      </c>
      <c r="H153" s="32"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c r="W153" s="40" t="str">
        <f t="shared" si="6"/>
        <v>Kavya Nair</v>
      </c>
      <c r="X153" s="35">
        <f t="shared" ca="1" si="7"/>
        <v>28</v>
      </c>
      <c r="Y153" s="29">
        <f t="shared" si="8"/>
        <v>8</v>
      </c>
      <c r="Z153" s="41" t="e" cm="1">
        <f t="array" aca="1" ref="Z153" ca="1">_xlfn.IFS(Y153&lt;=5, "On time", AND(Y153&gt;5, Y153&lt;&gt;" "), "Delayed", Y153=" ", "pending" )</f>
        <v>#NAME?</v>
      </c>
    </row>
    <row r="154" spans="1:26">
      <c r="A154" s="3" t="s">
        <v>824</v>
      </c>
      <c r="B154" s="4" t="s">
        <v>104</v>
      </c>
      <c r="C154" s="4" t="s">
        <v>28</v>
      </c>
      <c r="D154" s="4" t="s">
        <v>783</v>
      </c>
      <c r="E154" s="4" t="s">
        <v>825</v>
      </c>
      <c r="F154" s="4" t="s">
        <v>107</v>
      </c>
      <c r="G154" s="4" t="s">
        <v>32</v>
      </c>
      <c r="H154" s="31"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c r="W154" s="40" t="str">
        <f t="shared" si="6"/>
        <v>Priya Patel</v>
      </c>
      <c r="X154" s="35">
        <f t="shared" ca="1" si="7"/>
        <v>29</v>
      </c>
      <c r="Y154" s="29">
        <f t="shared" si="8"/>
        <v>5</v>
      </c>
      <c r="Z154" s="41" t="e" cm="1">
        <f t="array" aca="1" ref="Z154" ca="1">_xlfn.IFS(Y154&lt;=5, "On time", AND(Y154&gt;5, Y154&lt;&gt;" "), "Delayed", Y154=" ", "pending" )</f>
        <v>#NAME?</v>
      </c>
    </row>
    <row r="155" spans="1:26">
      <c r="A155" s="7" t="s">
        <v>828</v>
      </c>
      <c r="B155" s="8" t="s">
        <v>225</v>
      </c>
      <c r="C155" s="8" t="s">
        <v>44</v>
      </c>
      <c r="D155" s="8" t="s">
        <v>152</v>
      </c>
      <c r="E155" s="8" t="s">
        <v>829</v>
      </c>
      <c r="F155" s="8" t="s">
        <v>229</v>
      </c>
      <c r="G155" s="8" t="s">
        <v>80</v>
      </c>
      <c r="H155" s="32"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c r="W155" s="40" t="str">
        <f t="shared" si="6"/>
        <v>Vikas Mehta</v>
      </c>
      <c r="X155" s="35">
        <f t="shared" ca="1" si="7"/>
        <v>30</v>
      </c>
      <c r="Y155" s="29">
        <f t="shared" si="8"/>
        <v>10</v>
      </c>
      <c r="Z155" s="41" t="e" cm="1">
        <f t="array" aca="1" ref="Z155" ca="1">_xlfn.IFS(Y155&lt;=5, "On time", AND(Y155&gt;5, Y155&lt;&gt;" "), "Delayed", Y155=" ", "pending" )</f>
        <v>#NAME?</v>
      </c>
    </row>
    <row r="156" spans="1:26">
      <c r="A156" s="3" t="s">
        <v>832</v>
      </c>
      <c r="B156" s="4" t="s">
        <v>27</v>
      </c>
      <c r="C156" s="4" t="s">
        <v>122</v>
      </c>
      <c r="D156" s="4" t="s">
        <v>833</v>
      </c>
      <c r="E156" s="4" t="s">
        <v>834</v>
      </c>
      <c r="F156" s="4" t="s">
        <v>31</v>
      </c>
      <c r="G156" s="4" t="s">
        <v>32</v>
      </c>
      <c r="H156" s="31"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c r="W156" s="40" t="str">
        <f t="shared" si="6"/>
        <v>Kavya Nair</v>
      </c>
      <c r="X156" s="35">
        <f t="shared" ca="1" si="7"/>
        <v>50</v>
      </c>
      <c r="Y156" s="29">
        <f t="shared" si="8"/>
        <v>1</v>
      </c>
      <c r="Z156" s="41" t="e" cm="1">
        <f t="array" aca="1" ref="Z156" ca="1">_xlfn.IFS(Y156&lt;=5, "On time", AND(Y156&gt;5, Y156&lt;&gt;" "), "Delayed", Y156=" ", "pending" )</f>
        <v>#NAME?</v>
      </c>
    </row>
    <row r="157" spans="1:26">
      <c r="A157" s="7" t="s">
        <v>837</v>
      </c>
      <c r="B157" s="8" t="s">
        <v>57</v>
      </c>
      <c r="C157" s="8" t="s">
        <v>76</v>
      </c>
      <c r="D157" s="8" t="s">
        <v>838</v>
      </c>
      <c r="E157" s="8" t="s">
        <v>839</v>
      </c>
      <c r="F157" s="8" t="s">
        <v>167</v>
      </c>
      <c r="G157" s="8" t="s">
        <v>32</v>
      </c>
      <c r="H157" s="32"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c r="W157" s="40" t="str">
        <f t="shared" si="6"/>
        <v>Pooja Shah</v>
      </c>
      <c r="X157" s="35">
        <f t="shared" ca="1" si="7"/>
        <v>42</v>
      </c>
      <c r="Y157" s="29">
        <f t="shared" si="8"/>
        <v>3</v>
      </c>
      <c r="Z157" s="41" t="e" cm="1">
        <f t="array" aca="1" ref="Z157" ca="1">_xlfn.IFS(Y157&lt;=5, "On time", AND(Y157&gt;5, Y157&lt;&gt;" "), "Delayed", Y157=" ", "pending" )</f>
        <v>#NAME?</v>
      </c>
    </row>
    <row r="158" spans="1:26">
      <c r="A158" s="3" t="s">
        <v>842</v>
      </c>
      <c r="B158" s="4" t="s">
        <v>225</v>
      </c>
      <c r="C158" s="4" t="s">
        <v>76</v>
      </c>
      <c r="D158" s="4" t="s">
        <v>825</v>
      </c>
      <c r="E158" s="4" t="s">
        <v>843</v>
      </c>
      <c r="F158" s="4" t="s">
        <v>229</v>
      </c>
      <c r="G158" s="4" t="s">
        <v>80</v>
      </c>
      <c r="H158" s="31"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c r="W158" s="40" t="str">
        <f t="shared" si="6"/>
        <v>Vikas Mehta</v>
      </c>
      <c r="X158" s="35">
        <f t="shared" ca="1" si="7"/>
        <v>27</v>
      </c>
      <c r="Y158" s="29">
        <f t="shared" si="8"/>
        <v>10</v>
      </c>
      <c r="Z158" s="41" t="e" cm="1">
        <f t="array" aca="1" ref="Z158" ca="1">_xlfn.IFS(Y158&lt;=5, "On time", AND(Y158&gt;5, Y158&lt;&gt;" "), "Delayed", Y158=" ", "pending" )</f>
        <v>#NAME?</v>
      </c>
    </row>
    <row r="159" spans="1:26">
      <c r="A159" s="7" t="s">
        <v>846</v>
      </c>
      <c r="B159" s="8" t="s">
        <v>331</v>
      </c>
      <c r="C159" s="8" t="s">
        <v>122</v>
      </c>
      <c r="D159" s="8" t="s">
        <v>463</v>
      </c>
      <c r="E159" s="8" t="s">
        <v>581</v>
      </c>
      <c r="F159" s="8" t="s">
        <v>398</v>
      </c>
      <c r="G159" s="8" t="s">
        <v>80</v>
      </c>
      <c r="H159" s="32"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c r="W159" s="40" t="str">
        <f t="shared" si="6"/>
        <v>Amit Sharma</v>
      </c>
      <c r="X159" s="35">
        <f t="shared" ca="1" si="7"/>
        <v>25</v>
      </c>
      <c r="Y159" s="29">
        <f t="shared" si="8"/>
        <v>2</v>
      </c>
      <c r="Z159" s="41" t="e" cm="1">
        <f t="array" aca="1" ref="Z159" ca="1">_xlfn.IFS(Y159&lt;=5, "On time", AND(Y159&gt;5, Y159&lt;&gt;" "), "Delayed", Y159=" ", "pending" )</f>
        <v>#NAME?</v>
      </c>
    </row>
    <row r="160" spans="1:26">
      <c r="A160" s="3" t="s">
        <v>849</v>
      </c>
      <c r="B160" s="4" t="s">
        <v>75</v>
      </c>
      <c r="C160" s="4" t="s">
        <v>96</v>
      </c>
      <c r="D160" s="4" t="s">
        <v>430</v>
      </c>
      <c r="E160" s="4" t="s">
        <v>850</v>
      </c>
      <c r="F160" s="4" t="s">
        <v>221</v>
      </c>
      <c r="G160" s="4" t="s">
        <v>80</v>
      </c>
      <c r="H160" s="31"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c r="W160" s="40" t="str">
        <f t="shared" si="6"/>
        <v>Mohit Verma</v>
      </c>
      <c r="X160" s="35">
        <f t="shared" ca="1" si="7"/>
        <v>26</v>
      </c>
      <c r="Y160" s="29">
        <f t="shared" si="8"/>
        <v>10</v>
      </c>
      <c r="Z160" s="41" t="e" cm="1">
        <f t="array" aca="1" ref="Z160" ca="1">_xlfn.IFS(Y160&lt;=5, "On time", AND(Y160&gt;5, Y160&lt;&gt;" "), "Delayed", Y160=" ", "pending" )</f>
        <v>#NAME?</v>
      </c>
    </row>
    <row r="161" spans="1:26">
      <c r="A161" s="7" t="s">
        <v>853</v>
      </c>
      <c r="B161" s="8" t="s">
        <v>225</v>
      </c>
      <c r="C161" s="8" t="s">
        <v>58</v>
      </c>
      <c r="D161" s="8" t="s">
        <v>245</v>
      </c>
      <c r="E161" s="8" t="s">
        <v>547</v>
      </c>
      <c r="F161" s="8" t="s">
        <v>229</v>
      </c>
      <c r="G161" s="8" t="s">
        <v>80</v>
      </c>
      <c r="H161" s="32"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c r="W161" s="40" t="str">
        <f t="shared" si="6"/>
        <v>Vikas Mehta</v>
      </c>
      <c r="X161" s="35">
        <f t="shared" ca="1" si="7"/>
        <v>30</v>
      </c>
      <c r="Y161" s="29">
        <f t="shared" si="8"/>
        <v>3</v>
      </c>
      <c r="Z161" s="41" t="e" cm="1">
        <f t="array" aca="1" ref="Z161" ca="1">_xlfn.IFS(Y161&lt;=5, "On time", AND(Y161&gt;5, Y161&lt;&gt;" "), "Delayed", Y161=" ", "pending" )</f>
        <v>#NAME?</v>
      </c>
    </row>
    <row r="162" spans="1:26">
      <c r="A162" s="3" t="s">
        <v>856</v>
      </c>
      <c r="B162" s="4" t="s">
        <v>331</v>
      </c>
      <c r="C162" s="4" t="s">
        <v>188</v>
      </c>
      <c r="D162" s="4" t="s">
        <v>492</v>
      </c>
      <c r="E162" s="4" t="s">
        <v>270</v>
      </c>
      <c r="F162" s="4" t="s">
        <v>857</v>
      </c>
      <c r="G162" s="4" t="s">
        <v>80</v>
      </c>
      <c r="H162" s="31"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c r="W162" s="40" t="str">
        <f t="shared" si="6"/>
        <v>Amit Sharma</v>
      </c>
      <c r="X162" s="35">
        <f t="shared" ca="1" si="7"/>
        <v>27</v>
      </c>
      <c r="Y162" s="29">
        <f t="shared" si="8"/>
        <v>4</v>
      </c>
      <c r="Z162" s="41" t="e" cm="1">
        <f t="array" aca="1" ref="Z162" ca="1">_xlfn.IFS(Y162&lt;=5, "On time", AND(Y162&gt;5, Y162&lt;&gt;" "), "Delayed", Y162=" ", "pending" )</f>
        <v>#NAME?</v>
      </c>
    </row>
    <row r="163" spans="1:26">
      <c r="A163" s="7" t="s">
        <v>860</v>
      </c>
      <c r="B163" s="8" t="s">
        <v>172</v>
      </c>
      <c r="C163" s="8" t="s">
        <v>76</v>
      </c>
      <c r="D163" s="8" t="s">
        <v>290</v>
      </c>
      <c r="E163" s="8" t="s">
        <v>820</v>
      </c>
      <c r="F163" s="8" t="s">
        <v>365</v>
      </c>
      <c r="G163" s="8" t="s">
        <v>32</v>
      </c>
      <c r="H163" s="32"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c r="W163" s="40" t="str">
        <f t="shared" si="6"/>
        <v>Anita Gupta</v>
      </c>
      <c r="X163" s="35">
        <f t="shared" ca="1" si="7"/>
        <v>25</v>
      </c>
      <c r="Y163" s="29">
        <f t="shared" si="8"/>
        <v>10</v>
      </c>
      <c r="Z163" s="41" t="e" cm="1">
        <f t="array" aca="1" ref="Z163" ca="1">_xlfn.IFS(Y163&lt;=5, "On time", AND(Y163&gt;5, Y163&lt;&gt;" "), "Delayed", Y163=" ", "pending" )</f>
        <v>#NAME?</v>
      </c>
    </row>
    <row r="164" spans="1:26">
      <c r="A164" s="3" t="s">
        <v>863</v>
      </c>
      <c r="B164" s="4" t="s">
        <v>172</v>
      </c>
      <c r="C164" s="4" t="s">
        <v>76</v>
      </c>
      <c r="D164" s="4" t="s">
        <v>552</v>
      </c>
      <c r="E164" s="4" t="s">
        <v>864</v>
      </c>
      <c r="F164" s="4" t="s">
        <v>365</v>
      </c>
      <c r="G164" s="4" t="s">
        <v>32</v>
      </c>
      <c r="H164" s="31"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c r="W164" s="40" t="str">
        <f t="shared" si="6"/>
        <v>Anita Gupta</v>
      </c>
      <c r="X164" s="35">
        <f t="shared" ca="1" si="7"/>
        <v>24</v>
      </c>
      <c r="Y164" s="29">
        <f t="shared" si="8"/>
        <v>2</v>
      </c>
      <c r="Z164" s="41" t="e" cm="1">
        <f t="array" aca="1" ref="Z164" ca="1">_xlfn.IFS(Y164&lt;=5, "On time", AND(Y164&gt;5, Y164&lt;&gt;" "), "Delayed", Y164=" ", "pending" )</f>
        <v>#NAME?</v>
      </c>
    </row>
    <row r="165" spans="1:26">
      <c r="A165" s="7" t="s">
        <v>867</v>
      </c>
      <c r="B165" s="8" t="s">
        <v>331</v>
      </c>
      <c r="C165" s="8" t="s">
        <v>122</v>
      </c>
      <c r="D165" s="8" t="s">
        <v>868</v>
      </c>
      <c r="E165" s="8" t="s">
        <v>869</v>
      </c>
      <c r="F165" s="8" t="s">
        <v>857</v>
      </c>
      <c r="G165" s="8" t="s">
        <v>80</v>
      </c>
      <c r="H165" s="32"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c r="W165" s="40" t="str">
        <f t="shared" si="6"/>
        <v>Amit Sharma</v>
      </c>
      <c r="X165" s="35">
        <f t="shared" ca="1" si="7"/>
        <v>24</v>
      </c>
      <c r="Y165" s="29">
        <f t="shared" si="8"/>
        <v>9</v>
      </c>
      <c r="Z165" s="41" t="e" cm="1">
        <f t="array" aca="1" ref="Z165" ca="1">_xlfn.IFS(Y165&lt;=5, "On time", AND(Y165&gt;5, Y165&lt;&gt;" "), "Delayed", Y165=" ", "pending" )</f>
        <v>#NAME?</v>
      </c>
    </row>
    <row r="166" spans="1:26">
      <c r="A166" s="3" t="s">
        <v>872</v>
      </c>
      <c r="B166" s="4" t="s">
        <v>172</v>
      </c>
      <c r="C166" s="4" t="s">
        <v>28</v>
      </c>
      <c r="D166" s="4" t="s">
        <v>209</v>
      </c>
      <c r="E166" s="4" t="s">
        <v>517</v>
      </c>
      <c r="F166" s="4" t="s">
        <v>365</v>
      </c>
      <c r="G166" s="4" t="s">
        <v>32</v>
      </c>
      <c r="H166" s="31"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c r="W166" s="40" t="str">
        <f t="shared" si="6"/>
        <v>Anita Gupta</v>
      </c>
      <c r="X166" s="35">
        <f t="shared" ca="1" si="7"/>
        <v>46</v>
      </c>
      <c r="Y166" s="29">
        <f t="shared" si="8"/>
        <v>4</v>
      </c>
      <c r="Z166" s="41" t="e" cm="1">
        <f t="array" aca="1" ref="Z166" ca="1">_xlfn.IFS(Y166&lt;=5, "On time", AND(Y166&gt;5, Y166&lt;&gt;" "), "Delayed", Y166=" ", "pending" )</f>
        <v>#NAME?</v>
      </c>
    </row>
    <row r="167" spans="1:26">
      <c r="A167" s="7" t="s">
        <v>875</v>
      </c>
      <c r="B167" s="8" t="s">
        <v>172</v>
      </c>
      <c r="C167" s="8" t="s">
        <v>96</v>
      </c>
      <c r="D167" s="8" t="s">
        <v>876</v>
      </c>
      <c r="E167" s="8" t="s">
        <v>492</v>
      </c>
      <c r="F167" s="8" t="s">
        <v>365</v>
      </c>
      <c r="G167" s="8" t="s">
        <v>32</v>
      </c>
      <c r="H167" s="32"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c r="W167" s="40" t="str">
        <f t="shared" si="6"/>
        <v>Anita Gupta</v>
      </c>
      <c r="X167" s="35">
        <f t="shared" ca="1" si="7"/>
        <v>30</v>
      </c>
      <c r="Y167" s="29">
        <f t="shared" si="8"/>
        <v>8</v>
      </c>
      <c r="Z167" s="41" t="e" cm="1">
        <f t="array" aca="1" ref="Z167" ca="1">_xlfn.IFS(Y167&lt;=5, "On time", AND(Y167&gt;5, Y167&lt;&gt;" "), "Delayed", Y167=" ", "pending" )</f>
        <v>#NAME?</v>
      </c>
    </row>
    <row r="168" spans="1:26">
      <c r="A168" s="3" t="s">
        <v>879</v>
      </c>
      <c r="B168" s="4" t="s">
        <v>131</v>
      </c>
      <c r="C168" s="4" t="s">
        <v>96</v>
      </c>
      <c r="D168" s="4" t="s">
        <v>880</v>
      </c>
      <c r="E168" s="4" t="s">
        <v>881</v>
      </c>
      <c r="F168" s="4" t="s">
        <v>204</v>
      </c>
      <c r="G168" s="4" t="s">
        <v>80</v>
      </c>
      <c r="H168" s="31"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c r="W168" s="40" t="str">
        <f t="shared" si="6"/>
        <v>Rohit Singh</v>
      </c>
      <c r="X168" s="35">
        <f t="shared" ca="1" si="7"/>
        <v>40</v>
      </c>
      <c r="Y168" s="29">
        <f t="shared" si="8"/>
        <v>11</v>
      </c>
      <c r="Z168" s="41" t="e" cm="1">
        <f t="array" aca="1" ref="Z168" ca="1">_xlfn.IFS(Y168&lt;=5, "On time", AND(Y168&gt;5, Y168&lt;&gt;" "), "Delayed", Y168=" ", "pending" )</f>
        <v>#NAME?</v>
      </c>
    </row>
    <row r="169" spans="1:26">
      <c r="A169" s="7" t="s">
        <v>884</v>
      </c>
      <c r="B169" s="8" t="s">
        <v>331</v>
      </c>
      <c r="C169" s="8" t="s">
        <v>58</v>
      </c>
      <c r="D169" s="8" t="s">
        <v>885</v>
      </c>
      <c r="E169" s="8" t="s">
        <v>644</v>
      </c>
      <c r="F169" s="8" t="s">
        <v>398</v>
      </c>
      <c r="G169" s="8" t="s">
        <v>80</v>
      </c>
      <c r="H169" s="32"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c r="W169" s="40" t="str">
        <f t="shared" si="6"/>
        <v>Amit Sharma</v>
      </c>
      <c r="X169" s="35">
        <f t="shared" ca="1" si="7"/>
        <v>37</v>
      </c>
      <c r="Y169" s="29">
        <f t="shared" si="8"/>
        <v>4</v>
      </c>
      <c r="Z169" s="41" t="e" cm="1">
        <f t="array" aca="1" ref="Z169" ca="1">_xlfn.IFS(Y169&lt;=5, "On time", AND(Y169&gt;5, Y169&lt;&gt;" "), "Delayed", Y169=" ", "pending" )</f>
        <v>#NAME?</v>
      </c>
    </row>
    <row r="170" spans="1:26">
      <c r="A170" s="3" t="s">
        <v>888</v>
      </c>
      <c r="B170" s="4" t="s">
        <v>57</v>
      </c>
      <c r="C170" s="4" t="s">
        <v>76</v>
      </c>
      <c r="D170" s="4" t="s">
        <v>591</v>
      </c>
      <c r="E170" s="4" t="s">
        <v>487</v>
      </c>
      <c r="F170" s="4" t="s">
        <v>167</v>
      </c>
      <c r="G170" s="4" t="s">
        <v>32</v>
      </c>
      <c r="H170" s="31"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c r="W170" s="40" t="str">
        <f t="shared" si="6"/>
        <v>Pooja Shah</v>
      </c>
      <c r="X170" s="35">
        <f t="shared" ca="1" si="7"/>
        <v>36</v>
      </c>
      <c r="Y170" s="29">
        <f t="shared" si="8"/>
        <v>8</v>
      </c>
      <c r="Z170" s="41" t="e" cm="1">
        <f t="array" aca="1" ref="Z170" ca="1">_xlfn.IFS(Y170&lt;=5, "On time", AND(Y170&gt;5, Y170&lt;&gt;" "), "Delayed", Y170=" ", "pending" )</f>
        <v>#NAME?</v>
      </c>
    </row>
    <row r="171" spans="1:26">
      <c r="A171" s="7" t="s">
        <v>891</v>
      </c>
      <c r="B171" s="8" t="s">
        <v>255</v>
      </c>
      <c r="C171" s="8" t="s">
        <v>173</v>
      </c>
      <c r="D171" s="8" t="s">
        <v>132</v>
      </c>
      <c r="E171" s="8" t="s">
        <v>251</v>
      </c>
      <c r="F171" s="8" t="s">
        <v>258</v>
      </c>
      <c r="G171" s="8" t="s">
        <v>32</v>
      </c>
      <c r="H171" s="32"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c r="W171" s="40" t="str">
        <f t="shared" si="6"/>
        <v>Sneha Joshi</v>
      </c>
      <c r="X171" s="35">
        <f t="shared" ca="1" si="7"/>
        <v>29</v>
      </c>
      <c r="Y171" s="29">
        <f t="shared" si="8"/>
        <v>1</v>
      </c>
      <c r="Z171" s="41" t="e" cm="1">
        <f t="array" aca="1" ref="Z171" ca="1">_xlfn.IFS(Y171&lt;=5, "On time", AND(Y171&gt;5, Y171&lt;&gt;" "), "Delayed", Y171=" ", "pending" )</f>
        <v>#NAME?</v>
      </c>
    </row>
    <row r="172" spans="1:26">
      <c r="A172" s="3" t="s">
        <v>894</v>
      </c>
      <c r="B172" s="4" t="s">
        <v>131</v>
      </c>
      <c r="C172" s="4" t="s">
        <v>58</v>
      </c>
      <c r="D172" s="4" t="s">
        <v>895</v>
      </c>
      <c r="E172" s="4" t="s">
        <v>896</v>
      </c>
      <c r="F172" s="4" t="s">
        <v>204</v>
      </c>
      <c r="G172" s="4" t="s">
        <v>80</v>
      </c>
      <c r="H172" s="31"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c r="W172" s="40" t="str">
        <f t="shared" si="6"/>
        <v>Rohit Singh</v>
      </c>
      <c r="X172" s="35">
        <f t="shared" ca="1" si="7"/>
        <v>39</v>
      </c>
      <c r="Y172" s="29">
        <f t="shared" si="8"/>
        <v>6</v>
      </c>
      <c r="Z172" s="41" t="e" cm="1">
        <f t="array" aca="1" ref="Z172" ca="1">_xlfn.IFS(Y172&lt;=5, "On time", AND(Y172&gt;5, Y172&lt;&gt;" "), "Delayed", Y172=" ", "pending" )</f>
        <v>#NAME?</v>
      </c>
    </row>
    <row r="173" spans="1:26">
      <c r="A173" s="7" t="s">
        <v>899</v>
      </c>
      <c r="B173" s="8" t="s">
        <v>225</v>
      </c>
      <c r="C173" s="8" t="s">
        <v>76</v>
      </c>
      <c r="D173" s="8" t="s">
        <v>665</v>
      </c>
      <c r="E173" s="8" t="s">
        <v>900</v>
      </c>
      <c r="F173" s="8" t="s">
        <v>229</v>
      </c>
      <c r="G173" s="8" t="s">
        <v>80</v>
      </c>
      <c r="H173" s="32"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c r="W173" s="40" t="str">
        <f t="shared" si="6"/>
        <v>Vikas Mehta</v>
      </c>
      <c r="X173" s="35">
        <f t="shared" ca="1" si="7"/>
        <v>23</v>
      </c>
      <c r="Y173" s="29">
        <f t="shared" si="8"/>
        <v>1</v>
      </c>
      <c r="Z173" s="41" t="e" cm="1">
        <f t="array" aca="1" ref="Z173" ca="1">_xlfn.IFS(Y173&lt;=5, "On time", AND(Y173&gt;5, Y173&lt;&gt;" "), "Delayed", Y173=" ", "pending" )</f>
        <v>#NAME?</v>
      </c>
    </row>
    <row r="174" spans="1:26">
      <c r="A174" s="3" t="s">
        <v>903</v>
      </c>
      <c r="B174" s="4" t="s">
        <v>27</v>
      </c>
      <c r="C174" s="4" t="s">
        <v>96</v>
      </c>
      <c r="D174" s="4" t="s">
        <v>904</v>
      </c>
      <c r="E174" s="4" t="s">
        <v>905</v>
      </c>
      <c r="F174" s="4" t="s">
        <v>31</v>
      </c>
      <c r="G174" s="4" t="s">
        <v>32</v>
      </c>
      <c r="H174" s="31"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c r="W174" s="40" t="str">
        <f t="shared" si="6"/>
        <v>Kavya Nair</v>
      </c>
      <c r="X174" s="35">
        <f t="shared" ca="1" si="7"/>
        <v>40</v>
      </c>
      <c r="Y174" s="29">
        <f t="shared" si="8"/>
        <v>11</v>
      </c>
      <c r="Z174" s="41" t="e" cm="1">
        <f t="array" aca="1" ref="Z174" ca="1">_xlfn.IFS(Y174&lt;=5, "On time", AND(Y174&gt;5, Y174&lt;&gt;" "), "Delayed", Y174=" ", "pending" )</f>
        <v>#NAME?</v>
      </c>
    </row>
    <row r="175" spans="1:26">
      <c r="A175" s="7" t="s">
        <v>908</v>
      </c>
      <c r="B175" s="8" t="s">
        <v>225</v>
      </c>
      <c r="C175" s="8" t="s">
        <v>263</v>
      </c>
      <c r="D175" s="8" t="s">
        <v>45</v>
      </c>
      <c r="E175" s="8" t="s">
        <v>610</v>
      </c>
      <c r="F175" s="8" t="s">
        <v>909</v>
      </c>
      <c r="G175" s="8" t="s">
        <v>80</v>
      </c>
      <c r="H175" s="32"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c r="W175" s="40" t="str">
        <f t="shared" si="6"/>
        <v>Vikas Mehta</v>
      </c>
      <c r="X175" s="35">
        <f t="shared" ca="1" si="7"/>
        <v>40</v>
      </c>
      <c r="Y175" s="29">
        <f t="shared" si="8"/>
        <v>2</v>
      </c>
      <c r="Z175" s="41" t="e" cm="1">
        <f t="array" aca="1" ref="Z175" ca="1">_xlfn.IFS(Y175&lt;=5, "On time", AND(Y175&gt;5, Y175&lt;&gt;" "), "Delayed", Y175=" ", "pending" )</f>
        <v>#NAME?</v>
      </c>
    </row>
    <row r="176" spans="1:26">
      <c r="A176" s="3" t="s">
        <v>913</v>
      </c>
      <c r="B176" s="4" t="s">
        <v>255</v>
      </c>
      <c r="C176" s="4" t="s">
        <v>263</v>
      </c>
      <c r="D176" s="4" t="s">
        <v>914</v>
      </c>
      <c r="E176" s="4" t="s">
        <v>123</v>
      </c>
      <c r="F176" s="4" t="s">
        <v>258</v>
      </c>
      <c r="G176" s="4" t="s">
        <v>32</v>
      </c>
      <c r="H176" s="31"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c r="W176" s="40" t="str">
        <f t="shared" si="6"/>
        <v>Sneha Joshi</v>
      </c>
      <c r="X176" s="35">
        <f t="shared" ca="1" si="7"/>
        <v>38</v>
      </c>
      <c r="Y176" s="29">
        <f t="shared" si="8"/>
        <v>11</v>
      </c>
      <c r="Z176" s="41" t="e" cm="1">
        <f t="array" aca="1" ref="Z176" ca="1">_xlfn.IFS(Y176&lt;=5, "On time", AND(Y176&gt;5, Y176&lt;&gt;" "), "Delayed", Y176=" ", "pending" )</f>
        <v>#NAME?</v>
      </c>
    </row>
    <row r="177" spans="1:26">
      <c r="A177" s="7" t="s">
        <v>917</v>
      </c>
      <c r="B177" s="8" t="s">
        <v>27</v>
      </c>
      <c r="C177" s="8" t="s">
        <v>226</v>
      </c>
      <c r="D177" s="8" t="s">
        <v>280</v>
      </c>
      <c r="E177" s="8" t="s">
        <v>918</v>
      </c>
      <c r="F177" s="8" t="s">
        <v>31</v>
      </c>
      <c r="G177" s="8" t="s">
        <v>32</v>
      </c>
      <c r="H177" s="32"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c r="W177" s="40" t="str">
        <f t="shared" si="6"/>
        <v>Kavya Nair</v>
      </c>
      <c r="X177" s="35">
        <f t="shared" ca="1" si="7"/>
        <v>33</v>
      </c>
      <c r="Y177" s="29">
        <f t="shared" si="8"/>
        <v>12</v>
      </c>
      <c r="Z177" s="41" t="e" cm="1">
        <f t="array" aca="1" ref="Z177" ca="1">_xlfn.IFS(Y177&lt;=5, "On time", AND(Y177&gt;5, Y177&lt;&gt;" "), "Delayed", Y177=" ", "pending" )</f>
        <v>#NAME?</v>
      </c>
    </row>
    <row r="178" spans="1:26">
      <c r="A178" s="3" t="s">
        <v>921</v>
      </c>
      <c r="B178" s="4" t="s">
        <v>255</v>
      </c>
      <c r="C178" s="4" t="s">
        <v>226</v>
      </c>
      <c r="D178" s="4" t="s">
        <v>922</v>
      </c>
      <c r="E178" s="4" t="s">
        <v>356</v>
      </c>
      <c r="F178" s="4" t="s">
        <v>923</v>
      </c>
      <c r="G178" s="4" t="s">
        <v>32</v>
      </c>
      <c r="H178" s="31"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c r="W178" s="40" t="str">
        <f t="shared" si="6"/>
        <v>Sneha Joshi</v>
      </c>
      <c r="X178" s="35">
        <f t="shared" ca="1" si="7"/>
        <v>22</v>
      </c>
      <c r="Y178" s="29">
        <f t="shared" si="8"/>
        <v>1</v>
      </c>
      <c r="Z178" s="41" t="e" cm="1">
        <f t="array" aca="1" ref="Z178" ca="1">_xlfn.IFS(Y178&lt;=5, "On time", AND(Y178&gt;5, Y178&lt;&gt;" "), "Delayed", Y178=" ", "pending" )</f>
        <v>#NAME?</v>
      </c>
    </row>
    <row r="179" spans="1:26">
      <c r="A179" s="7" t="s">
        <v>926</v>
      </c>
      <c r="B179" s="8" t="s">
        <v>172</v>
      </c>
      <c r="C179" s="8" t="s">
        <v>122</v>
      </c>
      <c r="D179" s="8" t="s">
        <v>327</v>
      </c>
      <c r="E179" s="8" t="s">
        <v>927</v>
      </c>
      <c r="F179" s="8" t="s">
        <v>365</v>
      </c>
      <c r="G179" s="8" t="s">
        <v>32</v>
      </c>
      <c r="H179" s="32"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c r="W179" s="40" t="str">
        <f t="shared" si="6"/>
        <v>Anita Gupta</v>
      </c>
      <c r="X179" s="35">
        <f t="shared" ca="1" si="7"/>
        <v>32</v>
      </c>
      <c r="Y179" s="29">
        <f t="shared" si="8"/>
        <v>7</v>
      </c>
      <c r="Z179" s="41" t="e" cm="1">
        <f t="array" aca="1" ref="Z179" ca="1">_xlfn.IFS(Y179&lt;=5, "On time", AND(Y179&gt;5, Y179&lt;&gt;" "), "Delayed", Y179=" ", "pending" )</f>
        <v>#NAME?</v>
      </c>
    </row>
    <row r="180" spans="1:26">
      <c r="A180" s="3" t="s">
        <v>930</v>
      </c>
      <c r="B180" s="4" t="s">
        <v>225</v>
      </c>
      <c r="C180" s="4" t="s">
        <v>263</v>
      </c>
      <c r="D180" s="4" t="s">
        <v>931</v>
      </c>
      <c r="E180" s="4" t="s">
        <v>869</v>
      </c>
      <c r="F180" s="4" t="s">
        <v>932</v>
      </c>
      <c r="G180" s="4" t="s">
        <v>80</v>
      </c>
      <c r="H180" s="31"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c r="W180" s="40" t="str">
        <f t="shared" si="6"/>
        <v>Priya Patel</v>
      </c>
      <c r="X180" s="35">
        <f t="shared" ca="1" si="7"/>
        <v>24</v>
      </c>
      <c r="Y180" s="29">
        <f t="shared" si="8"/>
        <v>4</v>
      </c>
      <c r="Z180" s="41" t="e" cm="1">
        <f t="array" aca="1" ref="Z180" ca="1">_xlfn.IFS(Y180&lt;=5, "On time", AND(Y180&gt;5, Y180&lt;&gt;" "), "Delayed", Y180=" ", "pending" )</f>
        <v>#NAME?</v>
      </c>
    </row>
    <row r="181" spans="1:26">
      <c r="A181" s="7" t="s">
        <v>935</v>
      </c>
      <c r="B181" s="8" t="s">
        <v>27</v>
      </c>
      <c r="C181" s="8" t="s">
        <v>188</v>
      </c>
      <c r="D181" s="8" t="s">
        <v>936</v>
      </c>
      <c r="E181" s="8" t="s">
        <v>307</v>
      </c>
      <c r="F181" s="8" t="s">
        <v>31</v>
      </c>
      <c r="G181" s="8" t="s">
        <v>32</v>
      </c>
      <c r="H181" s="32"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c r="W181" s="40" t="str">
        <f t="shared" si="6"/>
        <v>Kavya Nair</v>
      </c>
      <c r="X181" s="35">
        <f t="shared" ca="1" si="7"/>
        <v>44</v>
      </c>
      <c r="Y181" s="29">
        <f t="shared" si="8"/>
        <v>12</v>
      </c>
      <c r="Z181" s="41" t="e" cm="1">
        <f t="array" aca="1" ref="Z181" ca="1">_xlfn.IFS(Y181&lt;=5, "On time", AND(Y181&gt;5, Y181&lt;&gt;" "), "Delayed", Y181=" ", "pending" )</f>
        <v>#NAME?</v>
      </c>
    </row>
    <row r="182" spans="1:26">
      <c r="A182" s="3" t="s">
        <v>939</v>
      </c>
      <c r="B182" s="4" t="s">
        <v>104</v>
      </c>
      <c r="C182" s="4" t="s">
        <v>173</v>
      </c>
      <c r="D182" s="4" t="s">
        <v>940</v>
      </c>
      <c r="E182" s="4" t="s">
        <v>687</v>
      </c>
      <c r="F182" s="4" t="s">
        <v>107</v>
      </c>
      <c r="G182" s="4" t="s">
        <v>32</v>
      </c>
      <c r="H182" s="31"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c r="W182" s="40" t="str">
        <f t="shared" si="6"/>
        <v>Priya Patel</v>
      </c>
      <c r="X182" s="35">
        <f t="shared" ca="1" si="7"/>
        <v>45</v>
      </c>
      <c r="Y182" s="29">
        <f t="shared" si="8"/>
        <v>4</v>
      </c>
      <c r="Z182" s="41" t="e" cm="1">
        <f t="array" aca="1" ref="Z182" ca="1">_xlfn.IFS(Y182&lt;=5, "On time", AND(Y182&gt;5, Y182&lt;&gt;" "), "Delayed", Y182=" ", "pending" )</f>
        <v>#NAME?</v>
      </c>
    </row>
    <row r="183" spans="1:26">
      <c r="A183" s="7" t="s">
        <v>943</v>
      </c>
      <c r="B183" s="8" t="s">
        <v>255</v>
      </c>
      <c r="C183" s="8" t="s">
        <v>122</v>
      </c>
      <c r="D183" s="8" t="s">
        <v>944</v>
      </c>
      <c r="E183" s="8" t="s">
        <v>945</v>
      </c>
      <c r="F183" s="8" t="s">
        <v>258</v>
      </c>
      <c r="G183" s="8" t="s">
        <v>32</v>
      </c>
      <c r="H183" s="32"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c r="W183" s="40" t="str">
        <f t="shared" si="6"/>
        <v>Sneha Joshi</v>
      </c>
      <c r="X183" s="35">
        <f t="shared" ca="1" si="7"/>
        <v>38</v>
      </c>
      <c r="Y183" s="29">
        <f t="shared" si="8"/>
        <v>2</v>
      </c>
      <c r="Z183" s="41" t="e" cm="1">
        <f t="array" aca="1" ref="Z183" ca="1">_xlfn.IFS(Y183&lt;=5, "On time", AND(Y183&gt;5, Y183&lt;&gt;" "), "Delayed", Y183=" ", "pending" )</f>
        <v>#NAME?</v>
      </c>
    </row>
    <row r="184" spans="1:26">
      <c r="A184" s="3" t="s">
        <v>947</v>
      </c>
      <c r="B184" s="4" t="s">
        <v>104</v>
      </c>
      <c r="C184" s="4" t="s">
        <v>263</v>
      </c>
      <c r="D184" s="4" t="s">
        <v>948</v>
      </c>
      <c r="E184" s="4" t="s">
        <v>940</v>
      </c>
      <c r="F184" s="4" t="s">
        <v>107</v>
      </c>
      <c r="G184" s="4" t="s">
        <v>32</v>
      </c>
      <c r="H184" s="31"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c r="W184" s="40" t="str">
        <f t="shared" si="6"/>
        <v>Priya Patel</v>
      </c>
      <c r="X184" s="35">
        <f t="shared" ca="1" si="7"/>
        <v>38</v>
      </c>
      <c r="Y184" s="29">
        <f t="shared" si="8"/>
        <v>11</v>
      </c>
      <c r="Z184" s="41" t="e" cm="1">
        <f t="array" aca="1" ref="Z184" ca="1">_xlfn.IFS(Y184&lt;=5, "On time", AND(Y184&gt;5, Y184&lt;&gt;" "), "Delayed", Y184=" ", "pending" )</f>
        <v>#NAME?</v>
      </c>
    </row>
    <row r="185" spans="1:26">
      <c r="A185" s="7" t="s">
        <v>951</v>
      </c>
      <c r="B185" s="8" t="s">
        <v>75</v>
      </c>
      <c r="C185" s="8" t="s">
        <v>28</v>
      </c>
      <c r="D185" s="8" t="s">
        <v>952</v>
      </c>
      <c r="E185" s="8" t="s">
        <v>953</v>
      </c>
      <c r="F185" s="8" t="s">
        <v>221</v>
      </c>
      <c r="G185" s="8" t="s">
        <v>80</v>
      </c>
      <c r="H185" s="32"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c r="W185" s="40" t="str">
        <f t="shared" si="6"/>
        <v>Mohit Verma</v>
      </c>
      <c r="X185" s="35">
        <f t="shared" ca="1" si="7"/>
        <v>44</v>
      </c>
      <c r="Y185" s="29">
        <f t="shared" si="8"/>
        <v>9</v>
      </c>
      <c r="Z185" s="41" t="e" cm="1">
        <f t="array" aca="1" ref="Z185" ca="1">_xlfn.IFS(Y185&lt;=5, "On time", AND(Y185&gt;5, Y185&lt;&gt;" "), "Delayed", Y185=" ", "pending" )</f>
        <v>#NAME?</v>
      </c>
    </row>
    <row r="186" spans="1:26">
      <c r="A186" s="3" t="s">
        <v>956</v>
      </c>
      <c r="B186" s="4" t="s">
        <v>104</v>
      </c>
      <c r="C186" s="4" t="s">
        <v>173</v>
      </c>
      <c r="D186" s="4" t="s">
        <v>957</v>
      </c>
      <c r="E186" s="4" t="s">
        <v>46</v>
      </c>
      <c r="F186" s="4" t="s">
        <v>107</v>
      </c>
      <c r="G186" s="4" t="s">
        <v>32</v>
      </c>
      <c r="H186" s="31"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c r="W186" s="40" t="str">
        <f t="shared" si="6"/>
        <v>Priya Patel</v>
      </c>
      <c r="X186" s="35">
        <f t="shared" ca="1" si="7"/>
        <v>42</v>
      </c>
      <c r="Y186" s="29">
        <f t="shared" si="8"/>
        <v>12</v>
      </c>
      <c r="Z186" s="41" t="e" cm="1">
        <f t="array" aca="1" ref="Z186" ca="1">_xlfn.IFS(Y186&lt;=5, "On time", AND(Y186&gt;5, Y186&lt;&gt;" "), "Delayed", Y186=" ", "pending" )</f>
        <v>#NAME?</v>
      </c>
    </row>
    <row r="187" spans="1:26">
      <c r="A187" s="7" t="s">
        <v>960</v>
      </c>
      <c r="B187" s="8" t="s">
        <v>255</v>
      </c>
      <c r="C187" s="8" t="s">
        <v>28</v>
      </c>
      <c r="D187" s="8" t="s">
        <v>774</v>
      </c>
      <c r="E187" s="8" t="s">
        <v>961</v>
      </c>
      <c r="F187" s="8" t="s">
        <v>258</v>
      </c>
      <c r="G187" s="8" t="s">
        <v>32</v>
      </c>
      <c r="H187" s="32"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c r="W187" s="40" t="str">
        <f t="shared" si="6"/>
        <v>Sneha Joshi</v>
      </c>
      <c r="X187" s="35">
        <f t="shared" ca="1" si="7"/>
        <v>34</v>
      </c>
      <c r="Y187" s="29">
        <f t="shared" si="8"/>
        <v>2</v>
      </c>
      <c r="Z187" s="41" t="e" cm="1">
        <f t="array" aca="1" ref="Z187" ca="1">_xlfn.IFS(Y187&lt;=5, "On time", AND(Y187&gt;5, Y187&lt;&gt;" "), "Delayed", Y187=" ", "pending" )</f>
        <v>#NAME?</v>
      </c>
    </row>
    <row r="188" spans="1:26">
      <c r="A188" s="3" t="s">
        <v>964</v>
      </c>
      <c r="B188" s="4" t="s">
        <v>131</v>
      </c>
      <c r="C188" s="4" t="s">
        <v>122</v>
      </c>
      <c r="D188" s="4" t="s">
        <v>696</v>
      </c>
      <c r="E188" s="4" t="s">
        <v>965</v>
      </c>
      <c r="F188" s="4" t="s">
        <v>204</v>
      </c>
      <c r="G188" s="4" t="s">
        <v>80</v>
      </c>
      <c r="H188" s="31"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c r="W188" s="40" t="str">
        <f t="shared" si="6"/>
        <v>Rohit Singh</v>
      </c>
      <c r="X188" s="35">
        <f t="shared" ca="1" si="7"/>
        <v>50</v>
      </c>
      <c r="Y188" s="29">
        <f t="shared" si="8"/>
        <v>10</v>
      </c>
      <c r="Z188" s="41" t="e" cm="1">
        <f t="array" aca="1" ref="Z188" ca="1">_xlfn.IFS(Y188&lt;=5, "On time", AND(Y188&gt;5, Y188&lt;&gt;" "), "Delayed", Y188=" ", "pending" )</f>
        <v>#NAME?</v>
      </c>
    </row>
    <row r="189" spans="1:26">
      <c r="A189" s="7" t="s">
        <v>968</v>
      </c>
      <c r="B189" s="8" t="s">
        <v>225</v>
      </c>
      <c r="C189" s="8" t="s">
        <v>96</v>
      </c>
      <c r="D189" s="8" t="s">
        <v>235</v>
      </c>
      <c r="E189" s="8" t="s">
        <v>969</v>
      </c>
      <c r="F189" s="8" t="s">
        <v>229</v>
      </c>
      <c r="G189" s="8" t="s">
        <v>80</v>
      </c>
      <c r="H189" s="32"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c r="W189" s="40" t="str">
        <f t="shared" si="6"/>
        <v>Vikas Mehta</v>
      </c>
      <c r="X189" s="35">
        <f t="shared" ca="1" si="7"/>
        <v>50</v>
      </c>
      <c r="Y189" s="29">
        <f t="shared" si="8"/>
        <v>4</v>
      </c>
      <c r="Z189" s="41" t="e" cm="1">
        <f t="array" aca="1" ref="Z189" ca="1">_xlfn.IFS(Y189&lt;=5, "On time", AND(Y189&gt;5, Y189&lt;&gt;" "), "Delayed", Y189=" ", "pending" )</f>
        <v>#NAME?</v>
      </c>
    </row>
    <row r="190" spans="1:26">
      <c r="A190" s="3" t="s">
        <v>972</v>
      </c>
      <c r="B190" s="4" t="s">
        <v>331</v>
      </c>
      <c r="C190" s="4" t="s">
        <v>44</v>
      </c>
      <c r="D190" s="4" t="s">
        <v>973</v>
      </c>
      <c r="E190" s="4" t="s">
        <v>974</v>
      </c>
      <c r="F190" s="4" t="s">
        <v>398</v>
      </c>
      <c r="G190" s="4" t="s">
        <v>80</v>
      </c>
      <c r="H190" s="31"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c r="W190" s="40" t="str">
        <f t="shared" si="6"/>
        <v>Amit Sharma</v>
      </c>
      <c r="X190" s="35">
        <f t="shared" ca="1" si="7"/>
        <v>38</v>
      </c>
      <c r="Y190" s="29">
        <f t="shared" si="8"/>
        <v>10</v>
      </c>
      <c r="Z190" s="41" t="e" cm="1">
        <f t="array" aca="1" ref="Z190" ca="1">_xlfn.IFS(Y190&lt;=5, "On time", AND(Y190&gt;5, Y190&lt;&gt;" "), "Delayed", Y190=" ", "pending" )</f>
        <v>#NAME?</v>
      </c>
    </row>
    <row r="191" spans="1:26">
      <c r="A191" s="7" t="s">
        <v>977</v>
      </c>
      <c r="B191" s="8" t="s">
        <v>331</v>
      </c>
      <c r="C191" s="8" t="s">
        <v>226</v>
      </c>
      <c r="D191" s="8" t="s">
        <v>327</v>
      </c>
      <c r="E191" s="8" t="s">
        <v>483</v>
      </c>
      <c r="F191" s="8" t="s">
        <v>398</v>
      </c>
      <c r="G191" s="8" t="s">
        <v>80</v>
      </c>
      <c r="H191" s="32"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c r="W191" s="40" t="str">
        <f t="shared" si="6"/>
        <v>Amit Sharma</v>
      </c>
      <c r="X191" s="35">
        <f t="shared" ca="1" si="7"/>
        <v>21</v>
      </c>
      <c r="Y191" s="29">
        <f t="shared" si="8"/>
        <v>2</v>
      </c>
      <c r="Z191" s="41" t="e" cm="1">
        <f t="array" aca="1" ref="Z191" ca="1">_xlfn.IFS(Y191&lt;=5, "On time", AND(Y191&gt;5, Y191&lt;&gt;" "), "Delayed", Y191=" ", "pending" )</f>
        <v>#NAME?</v>
      </c>
    </row>
    <row r="192" spans="1:26">
      <c r="A192" s="3" t="s">
        <v>980</v>
      </c>
      <c r="B192" s="4" t="s">
        <v>225</v>
      </c>
      <c r="C192" s="4" t="s">
        <v>28</v>
      </c>
      <c r="D192" s="4" t="s">
        <v>430</v>
      </c>
      <c r="E192" s="4" t="s">
        <v>431</v>
      </c>
      <c r="F192" s="4" t="s">
        <v>229</v>
      </c>
      <c r="G192" s="4" t="s">
        <v>80</v>
      </c>
      <c r="H192" s="31"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c r="W192" s="40" t="str">
        <f t="shared" si="6"/>
        <v>Vikas Mehta</v>
      </c>
      <c r="X192" s="35">
        <f t="shared" ca="1" si="7"/>
        <v>32</v>
      </c>
      <c r="Y192" s="29">
        <f t="shared" si="8"/>
        <v>7</v>
      </c>
      <c r="Z192" s="41" t="e" cm="1">
        <f t="array" aca="1" ref="Z192" ca="1">_xlfn.IFS(Y192&lt;=5, "On time", AND(Y192&gt;5, Y192&lt;&gt;" "), "Delayed", Y192=" ", "pending" )</f>
        <v>#NAME?</v>
      </c>
    </row>
    <row r="193" spans="1:26">
      <c r="A193" s="7" t="s">
        <v>983</v>
      </c>
      <c r="B193" s="8" t="s">
        <v>331</v>
      </c>
      <c r="C193" s="8" t="s">
        <v>44</v>
      </c>
      <c r="D193" s="8" t="s">
        <v>507</v>
      </c>
      <c r="E193" s="8" t="s">
        <v>984</v>
      </c>
      <c r="F193" s="8" t="s">
        <v>398</v>
      </c>
      <c r="G193" s="8" t="s">
        <v>80</v>
      </c>
      <c r="H193" s="32"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c r="W193" s="40" t="str">
        <f t="shared" si="6"/>
        <v>Amit Sharma</v>
      </c>
      <c r="X193" s="35">
        <f t="shared" ca="1" si="7"/>
        <v>22</v>
      </c>
      <c r="Y193" s="29">
        <f t="shared" si="8"/>
        <v>4</v>
      </c>
      <c r="Z193" s="41" t="e" cm="1">
        <f t="array" aca="1" ref="Z193" ca="1">_xlfn.IFS(Y193&lt;=5, "On time", AND(Y193&gt;5, Y193&lt;&gt;" "), "Delayed", Y193=" ", "pending" )</f>
        <v>#NAME?</v>
      </c>
    </row>
    <row r="194" spans="1:26">
      <c r="A194" s="3" t="s">
        <v>987</v>
      </c>
      <c r="B194" s="4" t="s">
        <v>172</v>
      </c>
      <c r="C194" s="4" t="s">
        <v>28</v>
      </c>
      <c r="D194" s="4" t="s">
        <v>345</v>
      </c>
      <c r="E194" s="4" t="s">
        <v>868</v>
      </c>
      <c r="F194" s="4" t="s">
        <v>365</v>
      </c>
      <c r="G194" s="4" t="s">
        <v>32</v>
      </c>
      <c r="H194" s="31"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c r="W194" s="40" t="str">
        <f t="shared" ref="W194:W257" si="9">PROPER(TRIM(F194))</f>
        <v>Anita Gupta</v>
      </c>
      <c r="X194" s="35">
        <f t="shared" ca="1" si="7"/>
        <v>26</v>
      </c>
      <c r="Y194" s="29">
        <f t="shared" si="8"/>
        <v>12</v>
      </c>
      <c r="Z194" s="41" t="e" cm="1">
        <f t="array" aca="1" ref="Z194" ca="1">_xlfn.IFS(Y194&lt;=5, "On time", AND(Y194&gt;5, Y194&lt;&gt;" "), "Delayed", Y194=" ", "pending" )</f>
        <v>#NAME?</v>
      </c>
    </row>
    <row r="195" spans="1:26">
      <c r="A195" s="7" t="s">
        <v>990</v>
      </c>
      <c r="B195" s="8" t="s">
        <v>255</v>
      </c>
      <c r="C195" s="8" t="s">
        <v>28</v>
      </c>
      <c r="D195" s="8" t="s">
        <v>991</v>
      </c>
      <c r="E195" s="8" t="s">
        <v>992</v>
      </c>
      <c r="F195" s="8" t="s">
        <v>258</v>
      </c>
      <c r="G195" s="8" t="s">
        <v>32</v>
      </c>
      <c r="H195" s="32"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c r="W195" s="40" t="str">
        <f t="shared" si="9"/>
        <v>Sneha Joshi</v>
      </c>
      <c r="X195" s="35">
        <f t="shared" ref="X195:X258" ca="1" si="10">IFERROR(DATEDIF(H195, TODAY(), "y"), " ")</f>
        <v>37</v>
      </c>
      <c r="Y195" s="29">
        <f t="shared" ref="Y195:Y258" si="11">IFERROR(DATEDIF(D195, E195, "D"), " ")</f>
        <v>2</v>
      </c>
      <c r="Z195" s="41" t="e" cm="1">
        <f t="array" aca="1" ref="Z195" ca="1">_xlfn.IFS(Y195&lt;=5, "On time", AND(Y195&gt;5, Y195&lt;&gt;" "), "Delayed", Y195=" ", "pending" )</f>
        <v>#NAME?</v>
      </c>
    </row>
    <row r="196" spans="1:26">
      <c r="A196" s="3" t="s">
        <v>995</v>
      </c>
      <c r="B196" s="4" t="s">
        <v>255</v>
      </c>
      <c r="C196" s="4" t="s">
        <v>28</v>
      </c>
      <c r="D196" s="4" t="s">
        <v>614</v>
      </c>
      <c r="E196" s="4" t="s">
        <v>458</v>
      </c>
      <c r="F196" s="4" t="s">
        <v>258</v>
      </c>
      <c r="G196" s="4" t="s">
        <v>32</v>
      </c>
      <c r="H196" s="31"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c r="W196" s="40" t="str">
        <f t="shared" si="9"/>
        <v>Sneha Joshi</v>
      </c>
      <c r="X196" s="35">
        <f t="shared" ca="1" si="10"/>
        <v>28</v>
      </c>
      <c r="Y196" s="29">
        <f t="shared" si="11"/>
        <v>3</v>
      </c>
      <c r="Z196" s="41" t="e" cm="1">
        <f t="array" aca="1" ref="Z196" ca="1">_xlfn.IFS(Y196&lt;=5, "On time", AND(Y196&gt;5, Y196&lt;&gt;" "), "Delayed", Y196=" ", "pending" )</f>
        <v>#NAME?</v>
      </c>
    </row>
    <row r="197" spans="1:26">
      <c r="A197" s="7" t="s">
        <v>998</v>
      </c>
      <c r="B197" s="8" t="s">
        <v>87</v>
      </c>
      <c r="C197" s="8" t="s">
        <v>226</v>
      </c>
      <c r="D197" s="8" t="s">
        <v>340</v>
      </c>
      <c r="E197" s="8" t="s">
        <v>600</v>
      </c>
      <c r="F197" s="8" t="s">
        <v>184</v>
      </c>
      <c r="G197" s="8" t="s">
        <v>80</v>
      </c>
      <c r="H197" s="32"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c r="W197" s="40" t="str">
        <f t="shared" si="9"/>
        <v>Arjun Rao</v>
      </c>
      <c r="X197" s="35">
        <f t="shared" ca="1" si="10"/>
        <v>38</v>
      </c>
      <c r="Y197" s="29">
        <f t="shared" si="11"/>
        <v>11</v>
      </c>
      <c r="Z197" s="41" t="e" cm="1">
        <f t="array" aca="1" ref="Z197" ca="1">_xlfn.IFS(Y197&lt;=5, "On time", AND(Y197&gt;5, Y197&lt;&gt;" "), "Delayed", Y197=" ", "pending" )</f>
        <v>#NAME?</v>
      </c>
    </row>
    <row r="198" spans="1:26">
      <c r="A198" s="3" t="s">
        <v>1001</v>
      </c>
      <c r="B198" s="4" t="s">
        <v>225</v>
      </c>
      <c r="C198" s="4" t="s">
        <v>173</v>
      </c>
      <c r="D198" s="4" t="s">
        <v>256</v>
      </c>
      <c r="E198" s="4" t="s">
        <v>1002</v>
      </c>
      <c r="F198" s="4" t="s">
        <v>229</v>
      </c>
      <c r="G198" s="4" t="s">
        <v>80</v>
      </c>
      <c r="H198" s="31"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c r="W198" s="40" t="str">
        <f t="shared" si="9"/>
        <v>Vikas Mehta</v>
      </c>
      <c r="X198" s="35">
        <f t="shared" ca="1" si="10"/>
        <v>32</v>
      </c>
      <c r="Y198" s="29">
        <f t="shared" si="11"/>
        <v>3</v>
      </c>
      <c r="Z198" s="41" t="e" cm="1">
        <f t="array" aca="1" ref="Z198" ca="1">_xlfn.IFS(Y198&lt;=5, "On time", AND(Y198&gt;5, Y198&lt;&gt;" "), "Delayed", Y198=" ", "pending" )</f>
        <v>#NAME?</v>
      </c>
    </row>
    <row r="199" spans="1:26">
      <c r="A199" s="7" t="s">
        <v>1005</v>
      </c>
      <c r="B199" s="8" t="s">
        <v>104</v>
      </c>
      <c r="C199" s="8" t="s">
        <v>122</v>
      </c>
      <c r="D199" s="8" t="s">
        <v>435</v>
      </c>
      <c r="E199" s="8" t="s">
        <v>418</v>
      </c>
      <c r="F199" s="8" t="s">
        <v>107</v>
      </c>
      <c r="G199" s="8" t="s">
        <v>32</v>
      </c>
      <c r="H199" s="32"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c r="W199" s="40" t="str">
        <f t="shared" si="9"/>
        <v>Priya Patel</v>
      </c>
      <c r="X199" s="35">
        <f t="shared" ca="1" si="10"/>
        <v>48</v>
      </c>
      <c r="Y199" s="29">
        <f t="shared" si="11"/>
        <v>5</v>
      </c>
      <c r="Z199" s="41" t="e" cm="1">
        <f t="array" aca="1" ref="Z199" ca="1">_xlfn.IFS(Y199&lt;=5, "On time", AND(Y199&gt;5, Y199&lt;&gt;" "), "Delayed", Y199=" ", "pending" )</f>
        <v>#NAME?</v>
      </c>
    </row>
    <row r="200" spans="1:26">
      <c r="A200" s="3" t="s">
        <v>1008</v>
      </c>
      <c r="B200" s="4" t="s">
        <v>225</v>
      </c>
      <c r="C200" s="4" t="s">
        <v>96</v>
      </c>
      <c r="D200" s="4" t="s">
        <v>1009</v>
      </c>
      <c r="E200" s="4" t="s">
        <v>735</v>
      </c>
      <c r="F200" s="4" t="s">
        <v>229</v>
      </c>
      <c r="G200" s="4" t="s">
        <v>80</v>
      </c>
      <c r="H200" s="31"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c r="W200" s="40" t="str">
        <f t="shared" si="9"/>
        <v>Vikas Mehta</v>
      </c>
      <c r="X200" s="35">
        <f t="shared" ca="1" si="10"/>
        <v>43</v>
      </c>
      <c r="Y200" s="29">
        <f t="shared" si="11"/>
        <v>12</v>
      </c>
      <c r="Z200" s="41" t="e" cm="1">
        <f t="array" aca="1" ref="Z200" ca="1">_xlfn.IFS(Y200&lt;=5, "On time", AND(Y200&gt;5, Y200&lt;&gt;" "), "Delayed", Y200=" ", "pending" )</f>
        <v>#NAME?</v>
      </c>
    </row>
    <row r="201" spans="1:26">
      <c r="A201" s="7" t="s">
        <v>1013</v>
      </c>
      <c r="B201" s="8" t="s">
        <v>104</v>
      </c>
      <c r="C201" s="8" t="s">
        <v>58</v>
      </c>
      <c r="D201" s="8" t="s">
        <v>1014</v>
      </c>
      <c r="E201" s="8" t="s">
        <v>435</v>
      </c>
      <c r="F201" s="8" t="s">
        <v>107</v>
      </c>
      <c r="G201" s="8" t="s">
        <v>32</v>
      </c>
      <c r="H201" s="32"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c r="W201" s="40" t="str">
        <f t="shared" si="9"/>
        <v>Priya Patel</v>
      </c>
      <c r="X201" s="35">
        <f t="shared" ca="1" si="10"/>
        <v>31</v>
      </c>
      <c r="Y201" s="29">
        <f t="shared" si="11"/>
        <v>9</v>
      </c>
      <c r="Z201" s="41" t="e" cm="1">
        <f t="array" aca="1" ref="Z201" ca="1">_xlfn.IFS(Y201&lt;=5, "On time", AND(Y201&gt;5, Y201&lt;&gt;" "), "Delayed", Y201=" ", "pending" )</f>
        <v>#NAME?</v>
      </c>
    </row>
    <row r="202" spans="1:26">
      <c r="A202" s="3" t="s">
        <v>1017</v>
      </c>
      <c r="B202" s="4" t="s">
        <v>225</v>
      </c>
      <c r="C202" s="4" t="s">
        <v>76</v>
      </c>
      <c r="D202" s="4" t="s">
        <v>904</v>
      </c>
      <c r="E202" s="4" t="s">
        <v>439</v>
      </c>
      <c r="F202" s="4" t="s">
        <v>229</v>
      </c>
      <c r="G202" s="4" t="s">
        <v>80</v>
      </c>
      <c r="H202" s="31"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c r="W202" s="40" t="str">
        <f t="shared" si="9"/>
        <v>Vikas Mehta</v>
      </c>
      <c r="X202" s="35">
        <f t="shared" ca="1" si="10"/>
        <v>30</v>
      </c>
      <c r="Y202" s="29">
        <f t="shared" si="11"/>
        <v>3</v>
      </c>
      <c r="Z202" s="41" t="e" cm="1">
        <f t="array" aca="1" ref="Z202" ca="1">_xlfn.IFS(Y202&lt;=5, "On time", AND(Y202&gt;5, Y202&lt;&gt;" "), "Delayed", Y202=" ", "pending" )</f>
        <v>#NAME?</v>
      </c>
    </row>
    <row r="203" spans="1:26">
      <c r="A203" s="7" t="s">
        <v>1020</v>
      </c>
      <c r="B203" s="8" t="s">
        <v>75</v>
      </c>
      <c r="C203" s="8" t="s">
        <v>263</v>
      </c>
      <c r="D203" s="8" t="s">
        <v>1021</v>
      </c>
      <c r="E203" s="8" t="s">
        <v>1022</v>
      </c>
      <c r="F203" s="8" t="s">
        <v>221</v>
      </c>
      <c r="G203" s="8" t="s">
        <v>80</v>
      </c>
      <c r="H203" s="32"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c r="W203" s="40" t="str">
        <f t="shared" si="9"/>
        <v>Mohit Verma</v>
      </c>
      <c r="X203" s="35">
        <f t="shared" ca="1" si="10"/>
        <v>41</v>
      </c>
      <c r="Y203" s="29">
        <f t="shared" si="11"/>
        <v>3</v>
      </c>
      <c r="Z203" s="41" t="e" cm="1">
        <f t="array" aca="1" ref="Z203" ca="1">_xlfn.IFS(Y203&lt;=5, "On time", AND(Y203&gt;5, Y203&lt;&gt;" "), "Delayed", Y203=" ", "pending" )</f>
        <v>#NAME?</v>
      </c>
    </row>
    <row r="204" spans="1:26">
      <c r="A204" s="3" t="s">
        <v>1025</v>
      </c>
      <c r="B204" s="4" t="s">
        <v>57</v>
      </c>
      <c r="C204" s="4" t="s">
        <v>173</v>
      </c>
      <c r="D204" s="4" t="s">
        <v>716</v>
      </c>
      <c r="E204" s="4" t="s">
        <v>89</v>
      </c>
      <c r="F204" s="4" t="s">
        <v>167</v>
      </c>
      <c r="G204" s="4" t="s">
        <v>32</v>
      </c>
      <c r="H204" s="31"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c r="W204" s="40" t="str">
        <f t="shared" si="9"/>
        <v>Pooja Shah</v>
      </c>
      <c r="X204" s="35">
        <f t="shared" ca="1" si="10"/>
        <v>25</v>
      </c>
      <c r="Y204" s="29">
        <f t="shared" si="11"/>
        <v>6</v>
      </c>
      <c r="Z204" s="41" t="e" cm="1">
        <f t="array" aca="1" ref="Z204" ca="1">_xlfn.IFS(Y204&lt;=5, "On time", AND(Y204&gt;5, Y204&lt;&gt;" "), "Delayed", Y204=" ", "pending" )</f>
        <v>#NAME?</v>
      </c>
    </row>
    <row r="205" spans="1:26">
      <c r="A205" s="7" t="s">
        <v>1028</v>
      </c>
      <c r="B205" s="8" t="s">
        <v>131</v>
      </c>
      <c r="C205" s="8" t="s">
        <v>96</v>
      </c>
      <c r="D205" s="8" t="s">
        <v>302</v>
      </c>
      <c r="E205" s="8" t="s">
        <v>1029</v>
      </c>
      <c r="F205" s="8" t="s">
        <v>204</v>
      </c>
      <c r="G205" s="8" t="s">
        <v>80</v>
      </c>
      <c r="H205" s="32"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c r="W205" s="40" t="str">
        <f t="shared" si="9"/>
        <v>Rohit Singh</v>
      </c>
      <c r="X205" s="35">
        <f t="shared" ca="1" si="10"/>
        <v>45</v>
      </c>
      <c r="Y205" s="29">
        <f t="shared" si="11"/>
        <v>1</v>
      </c>
      <c r="Z205" s="41" t="e" cm="1">
        <f t="array" aca="1" ref="Z205" ca="1">_xlfn.IFS(Y205&lt;=5, "On time", AND(Y205&gt;5, Y205&lt;&gt;" "), "Delayed", Y205=" ", "pending" )</f>
        <v>#NAME?</v>
      </c>
    </row>
    <row r="206" spans="1:26">
      <c r="A206" s="3" t="s">
        <v>1031</v>
      </c>
      <c r="B206" s="4" t="s">
        <v>172</v>
      </c>
      <c r="C206" s="4" t="s">
        <v>263</v>
      </c>
      <c r="D206" s="4" t="s">
        <v>312</v>
      </c>
      <c r="E206" s="4" t="s">
        <v>285</v>
      </c>
      <c r="F206" s="4" t="s">
        <v>365</v>
      </c>
      <c r="G206" s="4" t="s">
        <v>32</v>
      </c>
      <c r="H206" s="31"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c r="W206" s="40" t="str">
        <f t="shared" si="9"/>
        <v>Anita Gupta</v>
      </c>
      <c r="X206" s="35">
        <f t="shared" ca="1" si="10"/>
        <v>23</v>
      </c>
      <c r="Y206" s="29">
        <f t="shared" si="11"/>
        <v>4</v>
      </c>
      <c r="Z206" s="41" t="e" cm="1">
        <f t="array" aca="1" ref="Z206" ca="1">_xlfn.IFS(Y206&lt;=5, "On time", AND(Y206&gt;5, Y206&lt;&gt;" "), "Delayed", Y206=" ", "pending" )</f>
        <v>#NAME?</v>
      </c>
    </row>
    <row r="207" spans="1:26">
      <c r="A207" s="7" t="s">
        <v>1034</v>
      </c>
      <c r="B207" s="8" t="s">
        <v>331</v>
      </c>
      <c r="C207" s="8" t="s">
        <v>28</v>
      </c>
      <c r="D207" s="8" t="s">
        <v>418</v>
      </c>
      <c r="E207" s="8" t="s">
        <v>1035</v>
      </c>
      <c r="F207" s="8" t="s">
        <v>398</v>
      </c>
      <c r="G207" s="8" t="s">
        <v>80</v>
      </c>
      <c r="H207" s="32"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c r="W207" s="40" t="str">
        <f t="shared" si="9"/>
        <v>Amit Sharma</v>
      </c>
      <c r="X207" s="35">
        <f t="shared" ca="1" si="10"/>
        <v>45</v>
      </c>
      <c r="Y207" s="29">
        <f t="shared" si="11"/>
        <v>6</v>
      </c>
      <c r="Z207" s="41" t="e" cm="1">
        <f t="array" aca="1" ref="Z207" ca="1">_xlfn.IFS(Y207&lt;=5, "On time", AND(Y207&gt;5, Y207&lt;&gt;" "), "Delayed", Y207=" ", "pending" )</f>
        <v>#NAME?</v>
      </c>
    </row>
    <row r="208" spans="1:26">
      <c r="A208" s="3" t="s">
        <v>1038</v>
      </c>
      <c r="B208" s="4" t="s">
        <v>225</v>
      </c>
      <c r="C208" s="4" t="s">
        <v>188</v>
      </c>
      <c r="D208" s="4" t="s">
        <v>1039</v>
      </c>
      <c r="E208" s="4" t="s">
        <v>1009</v>
      </c>
      <c r="F208" s="4" t="s">
        <v>229</v>
      </c>
      <c r="G208" s="4" t="s">
        <v>80</v>
      </c>
      <c r="H208" s="31"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c r="W208" s="40" t="str">
        <f t="shared" si="9"/>
        <v>Vikas Mehta</v>
      </c>
      <c r="X208" s="35">
        <f t="shared" ca="1" si="10"/>
        <v>35</v>
      </c>
      <c r="Y208" s="29">
        <f t="shared" si="11"/>
        <v>9</v>
      </c>
      <c r="Z208" s="41" t="e" cm="1">
        <f t="array" aca="1" ref="Z208" ca="1">_xlfn.IFS(Y208&lt;=5, "On time", AND(Y208&gt;5, Y208&lt;&gt;" "), "Delayed", Y208=" ", "pending" )</f>
        <v>#NAME?</v>
      </c>
    </row>
    <row r="209" spans="1:26">
      <c r="A209" s="7" t="s">
        <v>1042</v>
      </c>
      <c r="B209" s="8" t="s">
        <v>331</v>
      </c>
      <c r="C209" s="8" t="s">
        <v>58</v>
      </c>
      <c r="D209" s="8" t="s">
        <v>1043</v>
      </c>
      <c r="E209" s="8" t="s">
        <v>1044</v>
      </c>
      <c r="F209" s="8" t="s">
        <v>398</v>
      </c>
      <c r="G209" s="8" t="s">
        <v>80</v>
      </c>
      <c r="H209" s="32"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c r="W209" s="40" t="str">
        <f t="shared" si="9"/>
        <v>Amit Sharma</v>
      </c>
      <c r="X209" s="35">
        <f t="shared" ca="1" si="10"/>
        <v>48</v>
      </c>
      <c r="Y209" s="29">
        <f t="shared" si="11"/>
        <v>3</v>
      </c>
      <c r="Z209" s="41" t="e" cm="1">
        <f t="array" aca="1" ref="Z209" ca="1">_xlfn.IFS(Y209&lt;=5, "On time", AND(Y209&gt;5, Y209&lt;&gt;" "), "Delayed", Y209=" ", "pending" )</f>
        <v>#NAME?</v>
      </c>
    </row>
    <row r="210" spans="1:26">
      <c r="A210" s="3" t="s">
        <v>1047</v>
      </c>
      <c r="B210" s="4" t="s">
        <v>27</v>
      </c>
      <c r="C210" s="4" t="s">
        <v>44</v>
      </c>
      <c r="D210" s="4" t="s">
        <v>506</v>
      </c>
      <c r="E210" s="4" t="s">
        <v>1048</v>
      </c>
      <c r="F210" s="4" t="s">
        <v>31</v>
      </c>
      <c r="G210" s="4" t="s">
        <v>32</v>
      </c>
      <c r="H210" s="31"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c r="W210" s="40" t="str">
        <f t="shared" si="9"/>
        <v>Kavya Nair</v>
      </c>
      <c r="X210" s="35">
        <f t="shared" ca="1" si="10"/>
        <v>29</v>
      </c>
      <c r="Y210" s="29">
        <f t="shared" si="11"/>
        <v>9</v>
      </c>
      <c r="Z210" s="41" t="e" cm="1">
        <f t="array" aca="1" ref="Z210" ca="1">_xlfn.IFS(Y210&lt;=5, "On time", AND(Y210&gt;5, Y210&lt;&gt;" "), "Delayed", Y210=" ", "pending" )</f>
        <v>#NAME?</v>
      </c>
    </row>
    <row r="211" spans="1:26">
      <c r="A211" s="7" t="s">
        <v>1051</v>
      </c>
      <c r="B211" s="8" t="s">
        <v>255</v>
      </c>
      <c r="C211" s="8" t="s">
        <v>44</v>
      </c>
      <c r="D211" s="8" t="s">
        <v>1052</v>
      </c>
      <c r="E211" s="8" t="s">
        <v>133</v>
      </c>
      <c r="F211" s="8" t="s">
        <v>258</v>
      </c>
      <c r="G211" s="8" t="s">
        <v>32</v>
      </c>
      <c r="H211" s="32"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c r="W211" s="40" t="str">
        <f t="shared" si="9"/>
        <v>Sneha Joshi</v>
      </c>
      <c r="X211" s="35">
        <f t="shared" ca="1" si="10"/>
        <v>50</v>
      </c>
      <c r="Y211" s="29">
        <f t="shared" si="11"/>
        <v>2</v>
      </c>
      <c r="Z211" s="41" t="e" cm="1">
        <f t="array" aca="1" ref="Z211" ca="1">_xlfn.IFS(Y211&lt;=5, "On time", AND(Y211&gt;5, Y211&lt;&gt;" "), "Delayed", Y211=" ", "pending" )</f>
        <v>#NAME?</v>
      </c>
    </row>
    <row r="212" spans="1:26">
      <c r="A212" s="3" t="s">
        <v>1055</v>
      </c>
      <c r="B212" s="4" t="s">
        <v>331</v>
      </c>
      <c r="C212" s="4" t="s">
        <v>96</v>
      </c>
      <c r="D212" s="4" t="s">
        <v>792</v>
      </c>
      <c r="E212" s="4" t="s">
        <v>1056</v>
      </c>
      <c r="F212" s="4" t="s">
        <v>398</v>
      </c>
      <c r="G212" s="4" t="s">
        <v>80</v>
      </c>
      <c r="H212" s="31"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c r="W212" s="40" t="str">
        <f t="shared" si="9"/>
        <v>Amit Sharma</v>
      </c>
      <c r="X212" s="35">
        <f t="shared" ca="1" si="10"/>
        <v>38</v>
      </c>
      <c r="Y212" s="29">
        <f t="shared" si="11"/>
        <v>9</v>
      </c>
      <c r="Z212" s="41" t="e" cm="1">
        <f t="array" aca="1" ref="Z212" ca="1">_xlfn.IFS(Y212&lt;=5, "On time", AND(Y212&gt;5, Y212&lt;&gt;" "), "Delayed", Y212=" ", "pending" )</f>
        <v>#NAME?</v>
      </c>
    </row>
    <row r="213" spans="1:26">
      <c r="A213" s="7" t="s">
        <v>1059</v>
      </c>
      <c r="B213" s="8" t="s">
        <v>255</v>
      </c>
      <c r="C213" s="8" t="s">
        <v>263</v>
      </c>
      <c r="D213" s="8" t="s">
        <v>904</v>
      </c>
      <c r="E213" s="8" t="s">
        <v>991</v>
      </c>
      <c r="F213" s="8" t="s">
        <v>258</v>
      </c>
      <c r="G213" s="8" t="s">
        <v>32</v>
      </c>
      <c r="H213" s="32"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c r="W213" s="40" t="str">
        <f t="shared" si="9"/>
        <v>Sneha Joshi</v>
      </c>
      <c r="X213" s="35">
        <f t="shared" ca="1" si="10"/>
        <v>36</v>
      </c>
      <c r="Y213" s="29">
        <f t="shared" si="11"/>
        <v>10</v>
      </c>
      <c r="Z213" s="41" t="e" cm="1">
        <f t="array" aca="1" ref="Z213" ca="1">_xlfn.IFS(Y213&lt;=5, "On time", AND(Y213&gt;5, Y213&lt;&gt;" "), "Delayed", Y213=" ", "pending" )</f>
        <v>#NAME?</v>
      </c>
    </row>
    <row r="214" spans="1:26">
      <c r="A214" s="3" t="s">
        <v>1062</v>
      </c>
      <c r="B214" s="4" t="s">
        <v>27</v>
      </c>
      <c r="C214" s="4" t="s">
        <v>122</v>
      </c>
      <c r="D214" s="4" t="s">
        <v>688</v>
      </c>
      <c r="E214" s="4" t="s">
        <v>754</v>
      </c>
      <c r="F214" s="4" t="s">
        <v>31</v>
      </c>
      <c r="G214" s="4" t="s">
        <v>32</v>
      </c>
      <c r="H214" s="31"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c r="W214" s="40" t="str">
        <f t="shared" si="9"/>
        <v>Kavya Nair</v>
      </c>
      <c r="X214" s="35">
        <f t="shared" ca="1" si="10"/>
        <v>34</v>
      </c>
      <c r="Y214" s="29">
        <f t="shared" si="11"/>
        <v>6</v>
      </c>
      <c r="Z214" s="41" t="e" cm="1">
        <f t="array" aca="1" ref="Z214" ca="1">_xlfn.IFS(Y214&lt;=5, "On time", AND(Y214&gt;5, Y214&lt;&gt;" "), "Delayed", Y214=" ", "pending" )</f>
        <v>#NAME?</v>
      </c>
    </row>
    <row r="215" spans="1:26">
      <c r="A215" s="7" t="s">
        <v>1064</v>
      </c>
      <c r="B215" s="8" t="s">
        <v>57</v>
      </c>
      <c r="C215" s="8" t="s">
        <v>263</v>
      </c>
      <c r="D215" s="8" t="s">
        <v>1065</v>
      </c>
      <c r="E215" s="8" t="s">
        <v>586</v>
      </c>
      <c r="F215" s="8" t="s">
        <v>167</v>
      </c>
      <c r="G215" s="8" t="s">
        <v>32</v>
      </c>
      <c r="H215" s="32"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c r="W215" s="40" t="str">
        <f t="shared" si="9"/>
        <v>Pooja Shah</v>
      </c>
      <c r="X215" s="35">
        <f t="shared" ca="1" si="10"/>
        <v>48</v>
      </c>
      <c r="Y215" s="29">
        <f t="shared" si="11"/>
        <v>12</v>
      </c>
      <c r="Z215" s="41" t="e" cm="1">
        <f t="array" aca="1" ref="Z215" ca="1">_xlfn.IFS(Y215&lt;=5, "On time", AND(Y215&gt;5, Y215&lt;&gt;" "), "Delayed", Y215=" ", "pending" )</f>
        <v>#NAME?</v>
      </c>
    </row>
    <row r="216" spans="1:26">
      <c r="A216" s="3" t="s">
        <v>1068</v>
      </c>
      <c r="B216" s="4" t="s">
        <v>104</v>
      </c>
      <c r="C216" s="4" t="s">
        <v>44</v>
      </c>
      <c r="D216" s="4" t="s">
        <v>1069</v>
      </c>
      <c r="E216" s="4" t="s">
        <v>547</v>
      </c>
      <c r="F216" s="4" t="s">
        <v>107</v>
      </c>
      <c r="G216" s="4" t="s">
        <v>32</v>
      </c>
      <c r="H216" s="31"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c r="W216" s="40" t="str">
        <f t="shared" si="9"/>
        <v>Priya Patel</v>
      </c>
      <c r="X216" s="35">
        <f t="shared" ca="1" si="10"/>
        <v>31</v>
      </c>
      <c r="Y216" s="29">
        <f t="shared" si="11"/>
        <v>10</v>
      </c>
      <c r="Z216" s="41" t="e" cm="1">
        <f t="array" aca="1" ref="Z216" ca="1">_xlfn.IFS(Y216&lt;=5, "On time", AND(Y216&gt;5, Y216&lt;&gt;" "), "Delayed", Y216=" ", "pending" )</f>
        <v>#NAME?</v>
      </c>
    </row>
    <row r="217" spans="1:26">
      <c r="A217" s="7" t="s">
        <v>1072</v>
      </c>
      <c r="B217" s="8" t="s">
        <v>27</v>
      </c>
      <c r="C217" s="8" t="s">
        <v>76</v>
      </c>
      <c r="D217" s="8" t="s">
        <v>1073</v>
      </c>
      <c r="E217" s="8" t="s">
        <v>1035</v>
      </c>
      <c r="F217" s="8" t="s">
        <v>31</v>
      </c>
      <c r="G217" s="8" t="s">
        <v>32</v>
      </c>
      <c r="H217" s="32"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c r="W217" s="40" t="str">
        <f t="shared" si="9"/>
        <v>Kavya Nair</v>
      </c>
      <c r="X217" s="35">
        <f t="shared" ca="1" si="10"/>
        <v>42</v>
      </c>
      <c r="Y217" s="29">
        <f t="shared" si="11"/>
        <v>12</v>
      </c>
      <c r="Z217" s="41" t="e" cm="1">
        <f t="array" aca="1" ref="Z217" ca="1">_xlfn.IFS(Y217&lt;=5, "On time", AND(Y217&gt;5, Y217&lt;&gt;" "), "Delayed", Y217=" ", "pending" )</f>
        <v>#NAME?</v>
      </c>
    </row>
    <row r="218" spans="1:26">
      <c r="A218" s="3" t="s">
        <v>1076</v>
      </c>
      <c r="B218" s="4" t="s">
        <v>225</v>
      </c>
      <c r="C218" s="4" t="s">
        <v>173</v>
      </c>
      <c r="D218" s="4" t="s">
        <v>535</v>
      </c>
      <c r="E218" s="4" t="s">
        <v>1077</v>
      </c>
      <c r="F218" s="4" t="s">
        <v>229</v>
      </c>
      <c r="G218" s="4" t="s">
        <v>80</v>
      </c>
      <c r="H218" s="31"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c r="W218" s="40" t="str">
        <f t="shared" si="9"/>
        <v>Vikas Mehta</v>
      </c>
      <c r="X218" s="35">
        <f t="shared" ca="1" si="10"/>
        <v>40</v>
      </c>
      <c r="Y218" s="29">
        <f t="shared" si="11"/>
        <v>7</v>
      </c>
      <c r="Z218" s="41" t="e" cm="1">
        <f t="array" aca="1" ref="Z218" ca="1">_xlfn.IFS(Y218&lt;=5, "On time", AND(Y218&gt;5, Y218&lt;&gt;" "), "Delayed", Y218=" ", "pending" )</f>
        <v>#NAME?</v>
      </c>
    </row>
    <row r="219" spans="1:26">
      <c r="A219" s="7" t="s">
        <v>1080</v>
      </c>
      <c r="B219" s="8" t="s">
        <v>87</v>
      </c>
      <c r="C219" s="8" t="s">
        <v>188</v>
      </c>
      <c r="D219" s="8" t="s">
        <v>1081</v>
      </c>
      <c r="E219" s="8" t="s">
        <v>326</v>
      </c>
      <c r="F219" s="8" t="s">
        <v>184</v>
      </c>
      <c r="G219" s="8" t="s">
        <v>80</v>
      </c>
      <c r="H219" s="32"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c r="W219" s="40" t="str">
        <f t="shared" si="9"/>
        <v>Arjun Rao</v>
      </c>
      <c r="X219" s="35">
        <f t="shared" ca="1" si="10"/>
        <v>24</v>
      </c>
      <c r="Y219" s="29">
        <f t="shared" si="11"/>
        <v>9</v>
      </c>
      <c r="Z219" s="41" t="e" cm="1">
        <f t="array" aca="1" ref="Z219" ca="1">_xlfn.IFS(Y219&lt;=5, "On time", AND(Y219&gt;5, Y219&lt;&gt;" "), "Delayed", Y219=" ", "pending" )</f>
        <v>#NAME?</v>
      </c>
    </row>
    <row r="220" spans="1:26">
      <c r="A220" s="3" t="s">
        <v>1084</v>
      </c>
      <c r="B220" s="4" t="s">
        <v>57</v>
      </c>
      <c r="C220" s="4" t="s">
        <v>226</v>
      </c>
      <c r="D220" s="4" t="s">
        <v>1085</v>
      </c>
      <c r="E220" s="4" t="s">
        <v>522</v>
      </c>
      <c r="F220" s="4" t="s">
        <v>167</v>
      </c>
      <c r="G220" s="4" t="s">
        <v>32</v>
      </c>
      <c r="H220" s="31"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c r="W220" s="40" t="str">
        <f t="shared" si="9"/>
        <v>Pooja Shah</v>
      </c>
      <c r="X220" s="35">
        <f t="shared" ca="1" si="10"/>
        <v>27</v>
      </c>
      <c r="Y220" s="29">
        <f t="shared" si="11"/>
        <v>4</v>
      </c>
      <c r="Z220" s="41" t="e" cm="1">
        <f t="array" aca="1" ref="Z220" ca="1">_xlfn.IFS(Y220&lt;=5, "On time", AND(Y220&gt;5, Y220&lt;&gt;" "), "Delayed", Y220=" ", "pending" )</f>
        <v>#NAME?</v>
      </c>
    </row>
    <row r="221" spans="1:26">
      <c r="A221" s="7" t="s">
        <v>1088</v>
      </c>
      <c r="B221" s="8" t="s">
        <v>104</v>
      </c>
      <c r="C221" s="8" t="s">
        <v>173</v>
      </c>
      <c r="D221" s="8" t="s">
        <v>1089</v>
      </c>
      <c r="E221" s="8" t="s">
        <v>1090</v>
      </c>
      <c r="F221" s="8" t="s">
        <v>107</v>
      </c>
      <c r="G221" s="8" t="s">
        <v>32</v>
      </c>
      <c r="H221" s="32"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c r="W221" s="40" t="str">
        <f t="shared" si="9"/>
        <v>Priya Patel</v>
      </c>
      <c r="X221" s="35">
        <f t="shared" ca="1" si="10"/>
        <v>35</v>
      </c>
      <c r="Y221" s="29">
        <f t="shared" si="11"/>
        <v>2</v>
      </c>
      <c r="Z221" s="41" t="e" cm="1">
        <f t="array" aca="1" ref="Z221" ca="1">_xlfn.IFS(Y221&lt;=5, "On time", AND(Y221&gt;5, Y221&lt;&gt;" "), "Delayed", Y221=" ", "pending" )</f>
        <v>#NAME?</v>
      </c>
    </row>
    <row r="222" spans="1:26">
      <c r="A222" s="3" t="s">
        <v>1093</v>
      </c>
      <c r="B222" s="4" t="s">
        <v>255</v>
      </c>
      <c r="C222" s="4" t="s">
        <v>96</v>
      </c>
      <c r="D222" s="4" t="s">
        <v>548</v>
      </c>
      <c r="E222" s="4" t="s">
        <v>1094</v>
      </c>
      <c r="F222" s="4" t="s">
        <v>258</v>
      </c>
      <c r="G222" s="4" t="s">
        <v>32</v>
      </c>
      <c r="H222" s="31"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c r="W222" s="40" t="str">
        <f t="shared" si="9"/>
        <v>Sneha Joshi</v>
      </c>
      <c r="X222" s="35">
        <f t="shared" ca="1" si="10"/>
        <v>33</v>
      </c>
      <c r="Y222" s="29">
        <f t="shared" si="11"/>
        <v>2</v>
      </c>
      <c r="Z222" s="41" t="e" cm="1">
        <f t="array" aca="1" ref="Z222" ca="1">_xlfn.IFS(Y222&lt;=5, "On time", AND(Y222&gt;5, Y222&lt;&gt;" "), "Delayed", Y222=" ", "pending" )</f>
        <v>#NAME?</v>
      </c>
    </row>
    <row r="223" spans="1:26">
      <c r="A223" s="7" t="s">
        <v>1097</v>
      </c>
      <c r="B223" s="8" t="s">
        <v>57</v>
      </c>
      <c r="C223" s="8" t="s">
        <v>44</v>
      </c>
      <c r="D223" s="8" t="s">
        <v>1098</v>
      </c>
      <c r="E223" s="8" t="s">
        <v>592</v>
      </c>
      <c r="F223" s="8" t="s">
        <v>167</v>
      </c>
      <c r="G223" s="8" t="s">
        <v>32</v>
      </c>
      <c r="H223" s="32"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c r="W223" s="40" t="str">
        <f t="shared" si="9"/>
        <v>Pooja Shah</v>
      </c>
      <c r="X223" s="35">
        <f t="shared" ca="1" si="10"/>
        <v>46</v>
      </c>
      <c r="Y223" s="29">
        <f t="shared" si="11"/>
        <v>8</v>
      </c>
      <c r="Z223" s="41" t="e" cm="1">
        <f t="array" aca="1" ref="Z223" ca="1">_xlfn.IFS(Y223&lt;=5, "On time", AND(Y223&gt;5, Y223&lt;&gt;" "), "Delayed", Y223=" ", "pending" )</f>
        <v>#NAME?</v>
      </c>
    </row>
    <row r="224" spans="1:26">
      <c r="A224" s="3" t="s">
        <v>1101</v>
      </c>
      <c r="B224" s="4" t="s">
        <v>331</v>
      </c>
      <c r="C224" s="4" t="s">
        <v>263</v>
      </c>
      <c r="D224" s="4" t="s">
        <v>1102</v>
      </c>
      <c r="E224" s="4" t="s">
        <v>605</v>
      </c>
      <c r="F224" s="4" t="s">
        <v>398</v>
      </c>
      <c r="G224" s="4" t="s">
        <v>80</v>
      </c>
      <c r="H224" s="31"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c r="W224" s="40" t="str">
        <f t="shared" si="9"/>
        <v>Amit Sharma</v>
      </c>
      <c r="X224" s="35">
        <f t="shared" ca="1" si="10"/>
        <v>37</v>
      </c>
      <c r="Y224" s="29">
        <f t="shared" si="11"/>
        <v>8</v>
      </c>
      <c r="Z224" s="41" t="e" cm="1">
        <f t="array" aca="1" ref="Z224" ca="1">_xlfn.IFS(Y224&lt;=5, "On time", AND(Y224&gt;5, Y224&lt;&gt;" "), "Delayed", Y224=" ", "pending" )</f>
        <v>#NAME?</v>
      </c>
    </row>
    <row r="225" spans="1:26">
      <c r="A225" s="7" t="s">
        <v>1105</v>
      </c>
      <c r="B225" s="8" t="s">
        <v>27</v>
      </c>
      <c r="C225" s="8" t="s">
        <v>58</v>
      </c>
      <c r="D225" s="8" t="s">
        <v>535</v>
      </c>
      <c r="E225" s="8" t="s">
        <v>1106</v>
      </c>
      <c r="F225" s="8" t="s">
        <v>31</v>
      </c>
      <c r="G225" s="8" t="s">
        <v>32</v>
      </c>
      <c r="H225" s="32"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c r="W225" s="40" t="str">
        <f t="shared" si="9"/>
        <v>Kavya Nair</v>
      </c>
      <c r="X225" s="35">
        <f t="shared" ca="1" si="10"/>
        <v>32</v>
      </c>
      <c r="Y225" s="29">
        <f t="shared" si="11"/>
        <v>2</v>
      </c>
      <c r="Z225" s="41" t="e" cm="1">
        <f t="array" aca="1" ref="Z225" ca="1">_xlfn.IFS(Y225&lt;=5, "On time", AND(Y225&gt;5, Y225&lt;&gt;" "), "Delayed", Y225=" ", "pending" )</f>
        <v>#NAME?</v>
      </c>
    </row>
    <row r="226" spans="1:26">
      <c r="A226" s="3" t="s">
        <v>1109</v>
      </c>
      <c r="B226" s="4" t="s">
        <v>87</v>
      </c>
      <c r="C226" s="4" t="s">
        <v>263</v>
      </c>
      <c r="D226" s="4" t="s">
        <v>1110</v>
      </c>
      <c r="E226" s="4" t="s">
        <v>159</v>
      </c>
      <c r="F226" s="4" t="s">
        <v>184</v>
      </c>
      <c r="G226" s="4" t="s">
        <v>80</v>
      </c>
      <c r="H226" s="31"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c r="W226" s="40" t="str">
        <f t="shared" si="9"/>
        <v>Arjun Rao</v>
      </c>
      <c r="X226" s="35">
        <f t="shared" ca="1" si="10"/>
        <v>44</v>
      </c>
      <c r="Y226" s="29">
        <f t="shared" si="11"/>
        <v>6</v>
      </c>
      <c r="Z226" s="41" t="e" cm="1">
        <f t="array" aca="1" ref="Z226" ca="1">_xlfn.IFS(Y226&lt;=5, "On time", AND(Y226&gt;5, Y226&lt;&gt;" "), "Delayed", Y226=" ", "pending" )</f>
        <v>#NAME?</v>
      </c>
    </row>
    <row r="227" spans="1:26">
      <c r="A227" s="7" t="s">
        <v>1113</v>
      </c>
      <c r="B227" s="8" t="s">
        <v>104</v>
      </c>
      <c r="C227" s="8" t="s">
        <v>226</v>
      </c>
      <c r="D227" s="8" t="s">
        <v>307</v>
      </c>
      <c r="E227" s="8" t="s">
        <v>1114</v>
      </c>
      <c r="F227" s="8" t="s">
        <v>107</v>
      </c>
      <c r="G227" s="8" t="s">
        <v>32</v>
      </c>
      <c r="H227" s="32"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c r="W227" s="40" t="str">
        <f t="shared" si="9"/>
        <v>Priya Patel</v>
      </c>
      <c r="X227" s="35">
        <f t="shared" ca="1" si="10"/>
        <v>22</v>
      </c>
      <c r="Y227" s="29">
        <f t="shared" si="11"/>
        <v>5</v>
      </c>
      <c r="Z227" s="41" t="e" cm="1">
        <f t="array" aca="1" ref="Z227" ca="1">_xlfn.IFS(Y227&lt;=5, "On time", AND(Y227&gt;5, Y227&lt;&gt;" "), "Delayed", Y227=" ", "pending" )</f>
        <v>#NAME?</v>
      </c>
    </row>
    <row r="228" spans="1:26">
      <c r="A228" s="3" t="s">
        <v>1117</v>
      </c>
      <c r="B228" s="4" t="s">
        <v>172</v>
      </c>
      <c r="C228" s="4" t="s">
        <v>44</v>
      </c>
      <c r="D228" s="4" t="s">
        <v>1118</v>
      </c>
      <c r="E228" s="4" t="s">
        <v>1119</v>
      </c>
      <c r="F228" s="4" t="s">
        <v>365</v>
      </c>
      <c r="G228" s="4" t="s">
        <v>32</v>
      </c>
      <c r="H228" s="31"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c r="W228" s="40" t="str">
        <f t="shared" si="9"/>
        <v>Anita Gupta</v>
      </c>
      <c r="X228" s="35">
        <f t="shared" ca="1" si="10"/>
        <v>41</v>
      </c>
      <c r="Y228" s="29">
        <f t="shared" si="11"/>
        <v>11</v>
      </c>
      <c r="Z228" s="41" t="e" cm="1">
        <f t="array" aca="1" ref="Z228" ca="1">_xlfn.IFS(Y228&lt;=5, "On time", AND(Y228&gt;5, Y228&lt;&gt;" "), "Delayed", Y228=" ", "pending" )</f>
        <v>#NAME?</v>
      </c>
    </row>
    <row r="229" spans="1:26">
      <c r="A229" s="7" t="s">
        <v>1122</v>
      </c>
      <c r="B229" s="8" t="s">
        <v>75</v>
      </c>
      <c r="C229" s="8" t="s">
        <v>96</v>
      </c>
      <c r="D229" s="8" t="s">
        <v>1123</v>
      </c>
      <c r="E229" s="8" t="s">
        <v>1124</v>
      </c>
      <c r="F229" s="8" t="s">
        <v>221</v>
      </c>
      <c r="G229" s="8" t="s">
        <v>80</v>
      </c>
      <c r="H229" s="32"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c r="W229" s="40" t="str">
        <f t="shared" si="9"/>
        <v>Mohit Verma</v>
      </c>
      <c r="X229" s="35">
        <f t="shared" ca="1" si="10"/>
        <v>32</v>
      </c>
      <c r="Y229" s="29">
        <f t="shared" si="11"/>
        <v>8</v>
      </c>
      <c r="Z229" s="41" t="e" cm="1">
        <f t="array" aca="1" ref="Z229" ca="1">_xlfn.IFS(Y229&lt;=5, "On time", AND(Y229&gt;5, Y229&lt;&gt;" "), "Delayed", Y229=" ", "pending" )</f>
        <v>#NAME?</v>
      </c>
    </row>
    <row r="230" spans="1:26">
      <c r="A230" s="3" t="s">
        <v>1127</v>
      </c>
      <c r="B230" s="4" t="s">
        <v>104</v>
      </c>
      <c r="C230" s="4" t="s">
        <v>188</v>
      </c>
      <c r="D230" s="4" t="s">
        <v>1090</v>
      </c>
      <c r="E230" s="4" t="s">
        <v>1128</v>
      </c>
      <c r="F230" s="4" t="s">
        <v>107</v>
      </c>
      <c r="G230" s="4" t="s">
        <v>32</v>
      </c>
      <c r="H230" s="31"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c r="W230" s="40" t="str">
        <f t="shared" si="9"/>
        <v>Priya Patel</v>
      </c>
      <c r="X230" s="35">
        <f t="shared" ca="1" si="10"/>
        <v>33</v>
      </c>
      <c r="Y230" s="29">
        <f t="shared" si="11"/>
        <v>3</v>
      </c>
      <c r="Z230" s="41" t="e" cm="1">
        <f t="array" aca="1" ref="Z230" ca="1">_xlfn.IFS(Y230&lt;=5, "On time", AND(Y230&gt;5, Y230&lt;&gt;" "), "Delayed", Y230=" ", "pending" )</f>
        <v>#NAME?</v>
      </c>
    </row>
    <row r="231" spans="1:26">
      <c r="A231" s="7" t="s">
        <v>1131</v>
      </c>
      <c r="B231" s="8" t="s">
        <v>75</v>
      </c>
      <c r="C231" s="8" t="s">
        <v>96</v>
      </c>
      <c r="D231" s="8" t="s">
        <v>1132</v>
      </c>
      <c r="E231" s="8" t="s">
        <v>114</v>
      </c>
      <c r="F231" s="8" t="s">
        <v>221</v>
      </c>
      <c r="G231" s="8" t="s">
        <v>80</v>
      </c>
      <c r="H231" s="32"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c r="W231" s="40" t="str">
        <f t="shared" si="9"/>
        <v>Mohit Verma</v>
      </c>
      <c r="X231" s="35">
        <f t="shared" ca="1" si="10"/>
        <v>47</v>
      </c>
      <c r="Y231" s="29">
        <f t="shared" si="11"/>
        <v>7</v>
      </c>
      <c r="Z231" s="41" t="e" cm="1">
        <f t="array" aca="1" ref="Z231" ca="1">_xlfn.IFS(Y231&lt;=5, "On time", AND(Y231&gt;5, Y231&lt;&gt;" "), "Delayed", Y231=" ", "pending" )</f>
        <v>#NAME?</v>
      </c>
    </row>
    <row r="232" spans="1:26">
      <c r="A232" s="3" t="s">
        <v>1135</v>
      </c>
      <c r="B232" s="4" t="s">
        <v>104</v>
      </c>
      <c r="C232" s="4" t="s">
        <v>188</v>
      </c>
      <c r="D232" s="4" t="s">
        <v>688</v>
      </c>
      <c r="E232" s="4" t="s">
        <v>322</v>
      </c>
      <c r="F232" s="4" t="s">
        <v>107</v>
      </c>
      <c r="G232" s="4" t="s">
        <v>32</v>
      </c>
      <c r="H232" s="31"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c r="W232" s="40" t="str">
        <f t="shared" si="9"/>
        <v>Priya Patel</v>
      </c>
      <c r="X232" s="35">
        <f t="shared" ca="1" si="10"/>
        <v>35</v>
      </c>
      <c r="Y232" s="29">
        <f t="shared" si="11"/>
        <v>2</v>
      </c>
      <c r="Z232" s="41" t="e" cm="1">
        <f t="array" aca="1" ref="Z232" ca="1">_xlfn.IFS(Y232&lt;=5, "On time", AND(Y232&gt;5, Y232&lt;&gt;" "), "Delayed", Y232=" ", "pending" )</f>
        <v>#NAME?</v>
      </c>
    </row>
    <row r="233" spans="1:26">
      <c r="A233" s="7" t="s">
        <v>1138</v>
      </c>
      <c r="B233" s="8" t="s">
        <v>104</v>
      </c>
      <c r="C233" s="8" t="s">
        <v>96</v>
      </c>
      <c r="D233" s="8" t="s">
        <v>683</v>
      </c>
      <c r="E233" s="8" t="s">
        <v>876</v>
      </c>
      <c r="F233" s="8" t="s">
        <v>107</v>
      </c>
      <c r="G233" s="8" t="s">
        <v>32</v>
      </c>
      <c r="H233" s="32"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c r="W233" s="40" t="str">
        <f t="shared" si="9"/>
        <v>Priya Patel</v>
      </c>
      <c r="X233" s="35">
        <f t="shared" ca="1" si="10"/>
        <v>22</v>
      </c>
      <c r="Y233" s="29">
        <f t="shared" si="11"/>
        <v>8</v>
      </c>
      <c r="Z233" s="41" t="e" cm="1">
        <f t="array" aca="1" ref="Z233" ca="1">_xlfn.IFS(Y233&lt;=5, "On time", AND(Y233&gt;5, Y233&lt;&gt;" "), "Delayed", Y233=" ", "pending" )</f>
        <v>#NAME?</v>
      </c>
    </row>
    <row r="234" spans="1:26">
      <c r="A234" s="3" t="s">
        <v>1141</v>
      </c>
      <c r="B234" s="4" t="s">
        <v>255</v>
      </c>
      <c r="C234" s="4" t="s">
        <v>226</v>
      </c>
      <c r="D234" s="4" t="s">
        <v>257</v>
      </c>
      <c r="E234" s="4" t="s">
        <v>1132</v>
      </c>
      <c r="F234" s="4" t="s">
        <v>258</v>
      </c>
      <c r="G234" s="4" t="s">
        <v>32</v>
      </c>
      <c r="H234" s="31"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c r="W234" s="40" t="str">
        <f t="shared" si="9"/>
        <v>Sneha Joshi</v>
      </c>
      <c r="X234" s="35">
        <f t="shared" ca="1" si="10"/>
        <v>49</v>
      </c>
      <c r="Y234" s="29">
        <f t="shared" si="11"/>
        <v>8</v>
      </c>
      <c r="Z234" s="41" t="e" cm="1">
        <f t="array" aca="1" ref="Z234" ca="1">_xlfn.IFS(Y234&lt;=5, "On time", AND(Y234&gt;5, Y234&lt;&gt;" "), "Delayed", Y234=" ", "pending" )</f>
        <v>#NAME?</v>
      </c>
    </row>
    <row r="235" spans="1:26">
      <c r="A235" s="7" t="s">
        <v>1144</v>
      </c>
      <c r="B235" s="8" t="s">
        <v>27</v>
      </c>
      <c r="C235" s="8" t="s">
        <v>28</v>
      </c>
      <c r="D235" s="8" t="s">
        <v>1145</v>
      </c>
      <c r="E235" s="8" t="s">
        <v>1146</v>
      </c>
      <c r="F235" s="8" t="s">
        <v>31</v>
      </c>
      <c r="G235" s="8" t="s">
        <v>32</v>
      </c>
      <c r="H235" s="32"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c r="W235" s="40" t="str">
        <f t="shared" si="9"/>
        <v>Kavya Nair</v>
      </c>
      <c r="X235" s="35">
        <f t="shared" ca="1" si="10"/>
        <v>32</v>
      </c>
      <c r="Y235" s="29">
        <f t="shared" si="11"/>
        <v>12</v>
      </c>
      <c r="Z235" s="41" t="e" cm="1">
        <f t="array" aca="1" ref="Z235" ca="1">_xlfn.IFS(Y235&lt;=5, "On time", AND(Y235&gt;5, Y235&lt;&gt;" "), "Delayed", Y235=" ", "pending" )</f>
        <v>#NAME?</v>
      </c>
    </row>
    <row r="236" spans="1:26">
      <c r="A236" s="3" t="s">
        <v>1149</v>
      </c>
      <c r="B236" s="4" t="s">
        <v>75</v>
      </c>
      <c r="C236" s="4" t="s">
        <v>226</v>
      </c>
      <c r="D236" s="4" t="s">
        <v>740</v>
      </c>
      <c r="E236" s="4" t="s">
        <v>98</v>
      </c>
      <c r="F236" s="4" t="s">
        <v>221</v>
      </c>
      <c r="G236" s="4" t="s">
        <v>80</v>
      </c>
      <c r="H236" s="31"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c r="W236" s="40" t="str">
        <f t="shared" si="9"/>
        <v>Mohit Verma</v>
      </c>
      <c r="X236" s="35">
        <f t="shared" ca="1" si="10"/>
        <v>46</v>
      </c>
      <c r="Y236" s="29">
        <f t="shared" si="11"/>
        <v>8</v>
      </c>
      <c r="Z236" s="41" t="e" cm="1">
        <f t="array" aca="1" ref="Z236" ca="1">_xlfn.IFS(Y236&lt;=5, "On time", AND(Y236&gt;5, Y236&lt;&gt;" "), "Delayed", Y236=" ", "pending" )</f>
        <v>#NAME?</v>
      </c>
    </row>
    <row r="237" spans="1:26">
      <c r="A237" s="7" t="s">
        <v>1152</v>
      </c>
      <c r="B237" s="8" t="s">
        <v>131</v>
      </c>
      <c r="C237" s="8" t="s">
        <v>44</v>
      </c>
      <c r="D237" s="8" t="s">
        <v>1153</v>
      </c>
      <c r="E237" s="8" t="s">
        <v>783</v>
      </c>
      <c r="F237" s="8" t="s">
        <v>204</v>
      </c>
      <c r="G237" s="8" t="s">
        <v>80</v>
      </c>
      <c r="H237" s="32"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c r="W237" s="40" t="str">
        <f t="shared" si="9"/>
        <v>Rohit Singh</v>
      </c>
      <c r="X237" s="35">
        <f t="shared" ca="1" si="10"/>
        <v>31</v>
      </c>
      <c r="Y237" s="29">
        <f t="shared" si="11"/>
        <v>5</v>
      </c>
      <c r="Z237" s="41" t="e" cm="1">
        <f t="array" aca="1" ref="Z237" ca="1">_xlfn.IFS(Y237&lt;=5, "On time", AND(Y237&gt;5, Y237&lt;&gt;" "), "Delayed", Y237=" ", "pending" )</f>
        <v>#NAME?</v>
      </c>
    </row>
    <row r="238" spans="1:26">
      <c r="A238" s="3" t="s">
        <v>1156</v>
      </c>
      <c r="B238" s="4" t="s">
        <v>131</v>
      </c>
      <c r="C238" s="4" t="s">
        <v>96</v>
      </c>
      <c r="D238" s="4" t="s">
        <v>1157</v>
      </c>
      <c r="E238" s="4" t="s">
        <v>991</v>
      </c>
      <c r="F238" s="4" t="s">
        <v>204</v>
      </c>
      <c r="G238" s="4" t="s">
        <v>80</v>
      </c>
      <c r="H238" s="31"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c r="W238" s="40" t="str">
        <f t="shared" si="9"/>
        <v>Rohit Singh</v>
      </c>
      <c r="X238" s="35">
        <f t="shared" ca="1" si="10"/>
        <v>28</v>
      </c>
      <c r="Y238" s="29">
        <f t="shared" si="11"/>
        <v>8</v>
      </c>
      <c r="Z238" s="41" t="e" cm="1">
        <f t="array" aca="1" ref="Z238" ca="1">_xlfn.IFS(Y238&lt;=5, "On time", AND(Y238&gt;5, Y238&lt;&gt;" "), "Delayed", Y238=" ", "pending" )</f>
        <v>#NAME?</v>
      </c>
    </row>
    <row r="239" spans="1:26">
      <c r="A239" s="7" t="s">
        <v>1160</v>
      </c>
      <c r="B239" s="8" t="s">
        <v>225</v>
      </c>
      <c r="C239" s="8" t="s">
        <v>263</v>
      </c>
      <c r="D239" s="8" t="s">
        <v>632</v>
      </c>
      <c r="E239" s="8" t="s">
        <v>1161</v>
      </c>
      <c r="F239" s="8" t="s">
        <v>229</v>
      </c>
      <c r="G239" s="8" t="s">
        <v>80</v>
      </c>
      <c r="H239" s="32"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c r="W239" s="40" t="str">
        <f t="shared" si="9"/>
        <v>Vikas Mehta</v>
      </c>
      <c r="X239" s="35">
        <f t="shared" ca="1" si="10"/>
        <v>43</v>
      </c>
      <c r="Y239" s="29">
        <f t="shared" si="11"/>
        <v>7</v>
      </c>
      <c r="Z239" s="41" t="e" cm="1">
        <f t="array" aca="1" ref="Z239" ca="1">_xlfn.IFS(Y239&lt;=5, "On time", AND(Y239&gt;5, Y239&lt;&gt;" "), "Delayed", Y239=" ", "pending" )</f>
        <v>#NAME?</v>
      </c>
    </row>
    <row r="240" spans="1:26">
      <c r="A240" s="3" t="s">
        <v>1164</v>
      </c>
      <c r="B240" s="4" t="s">
        <v>57</v>
      </c>
      <c r="C240" s="4" t="s">
        <v>263</v>
      </c>
      <c r="D240" s="4" t="s">
        <v>592</v>
      </c>
      <c r="E240" s="4" t="s">
        <v>1165</v>
      </c>
      <c r="F240" s="4" t="s">
        <v>167</v>
      </c>
      <c r="G240" s="4" t="s">
        <v>32</v>
      </c>
      <c r="H240" s="31"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c r="W240" s="40" t="str">
        <f t="shared" si="9"/>
        <v>Pooja Shah</v>
      </c>
      <c r="X240" s="35">
        <f t="shared" ca="1" si="10"/>
        <v>48</v>
      </c>
      <c r="Y240" s="29">
        <f t="shared" si="11"/>
        <v>10</v>
      </c>
      <c r="Z240" s="41" t="e" cm="1">
        <f t="array" aca="1" ref="Z240" ca="1">_xlfn.IFS(Y240&lt;=5, "On time", AND(Y240&gt;5, Y240&lt;&gt;" "), "Delayed", Y240=" ", "pending" )</f>
        <v>#NAME?</v>
      </c>
    </row>
    <row r="241" spans="1:26">
      <c r="A241" s="7" t="s">
        <v>1168</v>
      </c>
      <c r="B241" s="8" t="s">
        <v>57</v>
      </c>
      <c r="C241" s="8" t="s">
        <v>263</v>
      </c>
      <c r="D241" s="8" t="s">
        <v>1169</v>
      </c>
      <c r="E241" s="8" t="s">
        <v>1043</v>
      </c>
      <c r="F241" s="8" t="s">
        <v>167</v>
      </c>
      <c r="G241" s="8" t="s">
        <v>32</v>
      </c>
      <c r="H241" s="32"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c r="W241" s="40" t="str">
        <f t="shared" si="9"/>
        <v>Pooja Shah</v>
      </c>
      <c r="X241" s="35">
        <f t="shared" ca="1" si="10"/>
        <v>29</v>
      </c>
      <c r="Y241" s="29">
        <f t="shared" si="11"/>
        <v>9</v>
      </c>
      <c r="Z241" s="41" t="e" cm="1">
        <f t="array" aca="1" ref="Z241" ca="1">_xlfn.IFS(Y241&lt;=5, "On time", AND(Y241&gt;5, Y241&lt;&gt;" "), "Delayed", Y241=" ", "pending" )</f>
        <v>#NAME?</v>
      </c>
    </row>
    <row r="242" spans="1:26">
      <c r="A242" s="3" t="s">
        <v>1172</v>
      </c>
      <c r="B242" s="4" t="s">
        <v>172</v>
      </c>
      <c r="C242" s="4" t="s">
        <v>173</v>
      </c>
      <c r="D242" s="4" t="s">
        <v>123</v>
      </c>
      <c r="E242" s="4" t="s">
        <v>124</v>
      </c>
      <c r="F242" s="4" t="s">
        <v>365</v>
      </c>
      <c r="G242" s="4" t="s">
        <v>32</v>
      </c>
      <c r="H242" s="31"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c r="W242" s="40" t="str">
        <f t="shared" si="9"/>
        <v>Anita Gupta</v>
      </c>
      <c r="X242" s="35">
        <f t="shared" ca="1" si="10"/>
        <v>49</v>
      </c>
      <c r="Y242" s="29">
        <f t="shared" si="11"/>
        <v>2</v>
      </c>
      <c r="Z242" s="41" t="e" cm="1">
        <f t="array" aca="1" ref="Z242" ca="1">_xlfn.IFS(Y242&lt;=5, "On time", AND(Y242&gt;5, Y242&lt;&gt;" "), "Delayed", Y242=" ", "pending" )</f>
        <v>#NAME?</v>
      </c>
    </row>
    <row r="243" spans="1:26">
      <c r="A243" s="7" t="s">
        <v>1175</v>
      </c>
      <c r="B243" s="8" t="s">
        <v>172</v>
      </c>
      <c r="C243" s="8" t="s">
        <v>226</v>
      </c>
      <c r="D243" s="8" t="s">
        <v>449</v>
      </c>
      <c r="E243" s="8" t="s">
        <v>1176</v>
      </c>
      <c r="F243" s="8" t="s">
        <v>365</v>
      </c>
      <c r="G243" s="8" t="s">
        <v>32</v>
      </c>
      <c r="H243" s="32"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c r="W243" s="40" t="str">
        <f t="shared" si="9"/>
        <v>Anita Gupta</v>
      </c>
      <c r="X243" s="35">
        <f t="shared" ca="1" si="10"/>
        <v>30</v>
      </c>
      <c r="Y243" s="29">
        <f t="shared" si="11"/>
        <v>11</v>
      </c>
      <c r="Z243" s="41" t="e" cm="1">
        <f t="array" aca="1" ref="Z243" ca="1">_xlfn.IFS(Y243&lt;=5, "On time", AND(Y243&gt;5, Y243&lt;&gt;" "), "Delayed", Y243=" ", "pending" )</f>
        <v>#NAME?</v>
      </c>
    </row>
    <row r="244" spans="1:26">
      <c r="A244" s="3" t="s">
        <v>1179</v>
      </c>
      <c r="B244" s="4" t="s">
        <v>87</v>
      </c>
      <c r="C244" s="4" t="s">
        <v>122</v>
      </c>
      <c r="D244" s="4" t="s">
        <v>444</v>
      </c>
      <c r="E244" s="4" t="s">
        <v>1180</v>
      </c>
      <c r="F244" s="4" t="s">
        <v>184</v>
      </c>
      <c r="G244" s="4" t="s">
        <v>80</v>
      </c>
      <c r="H244" s="31"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c r="W244" s="40" t="str">
        <f t="shared" si="9"/>
        <v>Arjun Rao</v>
      </c>
      <c r="X244" s="35">
        <f t="shared" ca="1" si="10"/>
        <v>24</v>
      </c>
      <c r="Y244" s="29">
        <f t="shared" si="11"/>
        <v>4</v>
      </c>
      <c r="Z244" s="41" t="e" cm="1">
        <f t="array" aca="1" ref="Z244" ca="1">_xlfn.IFS(Y244&lt;=5, "On time", AND(Y244&gt;5, Y244&lt;&gt;" "), "Delayed", Y244=" ", "pending" )</f>
        <v>#NAME?</v>
      </c>
    </row>
    <row r="245" spans="1:26">
      <c r="A245" s="7" t="s">
        <v>1183</v>
      </c>
      <c r="B245" s="8" t="s">
        <v>57</v>
      </c>
      <c r="C245" s="8" t="s">
        <v>76</v>
      </c>
      <c r="D245" s="8" t="s">
        <v>1184</v>
      </c>
      <c r="E245" s="8" t="s">
        <v>1185</v>
      </c>
      <c r="F245" s="8" t="s">
        <v>167</v>
      </c>
      <c r="G245" s="8" t="s">
        <v>32</v>
      </c>
      <c r="H245" s="32"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c r="W245" s="40" t="str">
        <f t="shared" si="9"/>
        <v>Pooja Shah</v>
      </c>
      <c r="X245" s="35">
        <f t="shared" ca="1" si="10"/>
        <v>31</v>
      </c>
      <c r="Y245" s="29">
        <f t="shared" si="11"/>
        <v>3</v>
      </c>
      <c r="Z245" s="41" t="e" cm="1">
        <f t="array" aca="1" ref="Z245" ca="1">_xlfn.IFS(Y245&lt;=5, "On time", AND(Y245&gt;5, Y245&lt;&gt;" "), "Delayed", Y245=" ", "pending" )</f>
        <v>#NAME?</v>
      </c>
    </row>
    <row r="246" spans="1:26">
      <c r="A246" s="3" t="s">
        <v>1188</v>
      </c>
      <c r="B246" s="4" t="s">
        <v>27</v>
      </c>
      <c r="C246" s="4" t="s">
        <v>263</v>
      </c>
      <c r="D246" s="4" t="s">
        <v>344</v>
      </c>
      <c r="E246" s="4" t="s">
        <v>350</v>
      </c>
      <c r="F246" s="4" t="s">
        <v>31</v>
      </c>
      <c r="G246" s="4" t="s">
        <v>32</v>
      </c>
      <c r="H246" s="31"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c r="W246" s="40" t="str">
        <f t="shared" si="9"/>
        <v>Kavya Nair</v>
      </c>
      <c r="X246" s="35">
        <f t="shared" ca="1" si="10"/>
        <v>26</v>
      </c>
      <c r="Y246" s="29">
        <f t="shared" si="11"/>
        <v>1</v>
      </c>
      <c r="Z246" s="41" t="e" cm="1">
        <f t="array" aca="1" ref="Z246" ca="1">_xlfn.IFS(Y246&lt;=5, "On time", AND(Y246&gt;5, Y246&lt;&gt;" "), "Delayed", Y246=" ", "pending" )</f>
        <v>#NAME?</v>
      </c>
    </row>
    <row r="247" spans="1:26">
      <c r="A247" s="7" t="s">
        <v>1191</v>
      </c>
      <c r="B247" s="8" t="s">
        <v>331</v>
      </c>
      <c r="C247" s="8" t="s">
        <v>188</v>
      </c>
      <c r="D247" s="8" t="s">
        <v>241</v>
      </c>
      <c r="E247" s="8" t="s">
        <v>1192</v>
      </c>
      <c r="F247" s="8" t="s">
        <v>398</v>
      </c>
      <c r="G247" s="8" t="s">
        <v>80</v>
      </c>
      <c r="H247" s="32"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c r="W247" s="40" t="str">
        <f t="shared" si="9"/>
        <v>Amit Sharma</v>
      </c>
      <c r="X247" s="35">
        <f t="shared" ca="1" si="10"/>
        <v>24</v>
      </c>
      <c r="Y247" s="29">
        <f t="shared" si="11"/>
        <v>7</v>
      </c>
      <c r="Z247" s="41" t="e" cm="1">
        <f t="array" aca="1" ref="Z247" ca="1">_xlfn.IFS(Y247&lt;=5, "On time", AND(Y247&gt;5, Y247&lt;&gt;" "), "Delayed", Y247=" ", "pending" )</f>
        <v>#NAME?</v>
      </c>
    </row>
    <row r="248" spans="1:26">
      <c r="A248" s="3" t="s">
        <v>1195</v>
      </c>
      <c r="B248" s="4" t="s">
        <v>131</v>
      </c>
      <c r="C248" s="4" t="s">
        <v>122</v>
      </c>
      <c r="D248" s="4" t="s">
        <v>468</v>
      </c>
      <c r="E248" s="4" t="s">
        <v>88</v>
      </c>
      <c r="F248" s="4" t="s">
        <v>204</v>
      </c>
      <c r="G248" s="4" t="s">
        <v>80</v>
      </c>
      <c r="H248" s="31"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c r="W248" s="40" t="str">
        <f t="shared" si="9"/>
        <v>Rohit Singh</v>
      </c>
      <c r="X248" s="35">
        <f t="shared" ca="1" si="10"/>
        <v>51</v>
      </c>
      <c r="Y248" s="29">
        <f t="shared" si="11"/>
        <v>1</v>
      </c>
      <c r="Z248" s="41" t="e" cm="1">
        <f t="array" aca="1" ref="Z248" ca="1">_xlfn.IFS(Y248&lt;=5, "On time", AND(Y248&gt;5, Y248&lt;&gt;" "), "Delayed", Y248=" ", "pending" )</f>
        <v>#NAME?</v>
      </c>
    </row>
    <row r="249" spans="1:26">
      <c r="A249" s="7" t="s">
        <v>1198</v>
      </c>
      <c r="B249" s="8" t="s">
        <v>75</v>
      </c>
      <c r="C249" s="8" t="s">
        <v>28</v>
      </c>
      <c r="D249" s="8" t="s">
        <v>219</v>
      </c>
      <c r="E249" s="8" t="s">
        <v>715</v>
      </c>
      <c r="F249" s="8" t="s">
        <v>221</v>
      </c>
      <c r="G249" s="8" t="s">
        <v>80</v>
      </c>
      <c r="H249" s="32"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c r="W249" s="40" t="str">
        <f t="shared" si="9"/>
        <v>Mohit Verma</v>
      </c>
      <c r="X249" s="35">
        <f t="shared" ca="1" si="10"/>
        <v>37</v>
      </c>
      <c r="Y249" s="29">
        <f t="shared" si="11"/>
        <v>11</v>
      </c>
      <c r="Z249" s="41" t="e" cm="1">
        <f t="array" aca="1" ref="Z249" ca="1">_xlfn.IFS(Y249&lt;=5, "On time", AND(Y249&gt;5, Y249&lt;&gt;" "), "Delayed", Y249=" ", "pending" )</f>
        <v>#NAME?</v>
      </c>
    </row>
    <row r="250" spans="1:26">
      <c r="A250" s="3" t="s">
        <v>1201</v>
      </c>
      <c r="B250" s="4" t="s">
        <v>75</v>
      </c>
      <c r="C250" s="4" t="s">
        <v>28</v>
      </c>
      <c r="D250" s="4" t="s">
        <v>1202</v>
      </c>
      <c r="E250" s="4" t="s">
        <v>1203</v>
      </c>
      <c r="F250" s="4" t="s">
        <v>221</v>
      </c>
      <c r="G250" s="4" t="s">
        <v>80</v>
      </c>
      <c r="H250" s="31"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c r="W250" s="40" t="str">
        <f t="shared" si="9"/>
        <v>Mohit Verma</v>
      </c>
      <c r="X250" s="35">
        <f t="shared" ca="1" si="10"/>
        <v>41</v>
      </c>
      <c r="Y250" s="29">
        <f t="shared" si="11"/>
        <v>8</v>
      </c>
      <c r="Z250" s="41" t="e" cm="1">
        <f t="array" aca="1" ref="Z250" ca="1">_xlfn.IFS(Y250&lt;=5, "On time", AND(Y250&gt;5, Y250&lt;&gt;" "), "Delayed", Y250=" ", "pending" )</f>
        <v>#NAME?</v>
      </c>
    </row>
    <row r="251" spans="1:26">
      <c r="A251" s="7" t="s">
        <v>1207</v>
      </c>
      <c r="B251" s="8" t="s">
        <v>331</v>
      </c>
      <c r="C251" s="8" t="s">
        <v>173</v>
      </c>
      <c r="D251" s="8" t="s">
        <v>948</v>
      </c>
      <c r="E251" s="8" t="s">
        <v>1208</v>
      </c>
      <c r="F251" s="8" t="s">
        <v>398</v>
      </c>
      <c r="G251" s="8" t="s">
        <v>80</v>
      </c>
      <c r="H251" s="32"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c r="W251" s="40" t="str">
        <f t="shared" si="9"/>
        <v>Amit Sharma</v>
      </c>
      <c r="X251" s="35">
        <f t="shared" ca="1" si="10"/>
        <v>36</v>
      </c>
      <c r="Y251" s="29">
        <f t="shared" si="11"/>
        <v>2</v>
      </c>
      <c r="Z251" s="41" t="e" cm="1">
        <f t="array" aca="1" ref="Z251" ca="1">_xlfn.IFS(Y251&lt;=5, "On time", AND(Y251&gt;5, Y251&lt;&gt;" "), "Delayed", Y251=" ", "pending" )</f>
        <v>#NAME?</v>
      </c>
    </row>
    <row r="252" spans="1:26">
      <c r="A252" s="3" t="s">
        <v>1211</v>
      </c>
      <c r="B252" s="4" t="s">
        <v>225</v>
      </c>
      <c r="C252" s="4" t="s">
        <v>28</v>
      </c>
      <c r="D252" s="4" t="s">
        <v>740</v>
      </c>
      <c r="E252" s="4" t="s">
        <v>98</v>
      </c>
      <c r="F252" s="4" t="s">
        <v>229</v>
      </c>
      <c r="G252" s="4" t="s">
        <v>80</v>
      </c>
      <c r="H252" s="31"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c r="W252" s="40" t="str">
        <f t="shared" si="9"/>
        <v>Vikas Mehta</v>
      </c>
      <c r="X252" s="35">
        <f t="shared" ca="1" si="10"/>
        <v>38</v>
      </c>
      <c r="Y252" s="29">
        <f t="shared" si="11"/>
        <v>8</v>
      </c>
      <c r="Z252" s="41" t="e" cm="1">
        <f t="array" aca="1" ref="Z252" ca="1">_xlfn.IFS(Y252&lt;=5, "On time", AND(Y252&gt;5, Y252&lt;&gt;" "), "Delayed", Y252=" ", "pending" )</f>
        <v>#NAME?</v>
      </c>
    </row>
    <row r="253" spans="1:26">
      <c r="A253" s="7" t="s">
        <v>1214</v>
      </c>
      <c r="B253" s="8" t="s">
        <v>27</v>
      </c>
      <c r="C253" s="8" t="s">
        <v>173</v>
      </c>
      <c r="D253" s="8" t="s">
        <v>829</v>
      </c>
      <c r="E253" s="8" t="s">
        <v>880</v>
      </c>
      <c r="F253" s="8" t="s">
        <v>31</v>
      </c>
      <c r="G253" s="8" t="s">
        <v>32</v>
      </c>
      <c r="H253" s="32"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c r="W253" s="40" t="str">
        <f t="shared" si="9"/>
        <v>Kavya Nair</v>
      </c>
      <c r="X253" s="35">
        <f t="shared" ca="1" si="10"/>
        <v>44</v>
      </c>
      <c r="Y253" s="29">
        <f t="shared" si="11"/>
        <v>3</v>
      </c>
      <c r="Z253" s="41" t="e" cm="1">
        <f t="array" aca="1" ref="Z253" ca="1">_xlfn.IFS(Y253&lt;=5, "On time", AND(Y253&gt;5, Y253&lt;&gt;" "), "Delayed", Y253=" ", "pending" )</f>
        <v>#NAME?</v>
      </c>
    </row>
    <row r="254" spans="1:26">
      <c r="A254" s="3" t="s">
        <v>1217</v>
      </c>
      <c r="B254" s="4" t="s">
        <v>331</v>
      </c>
      <c r="C254" s="4" t="s">
        <v>76</v>
      </c>
      <c r="D254" s="4" t="s">
        <v>1218</v>
      </c>
      <c r="E254" s="4" t="s">
        <v>696</v>
      </c>
      <c r="F254" s="4" t="s">
        <v>398</v>
      </c>
      <c r="G254" s="4" t="s">
        <v>80</v>
      </c>
      <c r="H254" s="31"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c r="W254" s="40" t="str">
        <f t="shared" si="9"/>
        <v>Amit Sharma</v>
      </c>
      <c r="X254" s="35">
        <f t="shared" ca="1" si="10"/>
        <v>49</v>
      </c>
      <c r="Y254" s="29">
        <f t="shared" si="11"/>
        <v>1</v>
      </c>
      <c r="Z254" s="41" t="e" cm="1">
        <f t="array" aca="1" ref="Z254" ca="1">_xlfn.IFS(Y254&lt;=5, "On time", AND(Y254&gt;5, Y254&lt;&gt;" "), "Delayed", Y254=" ", "pending" )</f>
        <v>#NAME?</v>
      </c>
    </row>
    <row r="255" spans="1:26">
      <c r="A255" s="7" t="s">
        <v>1221</v>
      </c>
      <c r="B255" s="8" t="s">
        <v>131</v>
      </c>
      <c r="C255" s="8" t="s">
        <v>44</v>
      </c>
      <c r="D255" s="8" t="s">
        <v>417</v>
      </c>
      <c r="E255" s="8" t="s">
        <v>140</v>
      </c>
      <c r="F255" s="8" t="s">
        <v>204</v>
      </c>
      <c r="G255" s="8" t="s">
        <v>80</v>
      </c>
      <c r="H255" s="32"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c r="W255" s="40" t="str">
        <f t="shared" si="9"/>
        <v>Rohit Singh</v>
      </c>
      <c r="X255" s="35">
        <f t="shared" ca="1" si="10"/>
        <v>22</v>
      </c>
      <c r="Y255" s="29">
        <f t="shared" si="11"/>
        <v>10</v>
      </c>
      <c r="Z255" s="41" t="e" cm="1">
        <f t="array" aca="1" ref="Z255" ca="1">_xlfn.IFS(Y255&lt;=5, "On time", AND(Y255&gt;5, Y255&lt;&gt;" "), "Delayed", Y255=" ", "pending" )</f>
        <v>#NAME?</v>
      </c>
    </row>
    <row r="256" spans="1:26">
      <c r="A256" s="3" t="s">
        <v>1224</v>
      </c>
      <c r="B256" s="4" t="s">
        <v>225</v>
      </c>
      <c r="C256" s="4" t="s">
        <v>44</v>
      </c>
      <c r="D256" s="4" t="s">
        <v>132</v>
      </c>
      <c r="E256" s="4" t="s">
        <v>1225</v>
      </c>
      <c r="F256" s="4" t="s">
        <v>229</v>
      </c>
      <c r="G256" s="4" t="s">
        <v>80</v>
      </c>
      <c r="H256" s="31"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c r="W256" s="40" t="str">
        <f t="shared" si="9"/>
        <v>Vikas Mehta</v>
      </c>
      <c r="X256" s="35">
        <f t="shared" ca="1" si="10"/>
        <v>40</v>
      </c>
      <c r="Y256" s="29">
        <f t="shared" si="11"/>
        <v>12</v>
      </c>
      <c r="Z256" s="41" t="e" cm="1">
        <f t="array" aca="1" ref="Z256" ca="1">_xlfn.IFS(Y256&lt;=5, "On time", AND(Y256&gt;5, Y256&lt;&gt;" "), "Delayed", Y256=" ", "pending" )</f>
        <v>#NAME?</v>
      </c>
    </row>
    <row r="257" spans="1:26">
      <c r="A257" s="7" t="s">
        <v>1228</v>
      </c>
      <c r="B257" s="8" t="s">
        <v>225</v>
      </c>
      <c r="C257" s="8" t="s">
        <v>44</v>
      </c>
      <c r="D257" s="8" t="s">
        <v>1229</v>
      </c>
      <c r="E257" s="8" t="s">
        <v>931</v>
      </c>
      <c r="F257" s="8" t="s">
        <v>229</v>
      </c>
      <c r="G257" s="8" t="s">
        <v>80</v>
      </c>
      <c r="H257" s="32"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c r="W257" s="40" t="str">
        <f t="shared" si="9"/>
        <v>Vikas Mehta</v>
      </c>
      <c r="X257" s="35">
        <f t="shared" ca="1" si="10"/>
        <v>37</v>
      </c>
      <c r="Y257" s="29">
        <f t="shared" si="11"/>
        <v>6</v>
      </c>
      <c r="Z257" s="41" t="e" cm="1">
        <f t="array" aca="1" ref="Z257" ca="1">_xlfn.IFS(Y257&lt;=5, "On time", AND(Y257&gt;5, Y257&lt;&gt;" "), "Delayed", Y257=" ", "pending" )</f>
        <v>#NAME?</v>
      </c>
    </row>
    <row r="258" spans="1:26">
      <c r="A258" s="3" t="s">
        <v>1232</v>
      </c>
      <c r="B258" s="4" t="s">
        <v>131</v>
      </c>
      <c r="C258" s="4" t="s">
        <v>44</v>
      </c>
      <c r="D258" s="4" t="s">
        <v>264</v>
      </c>
      <c r="E258" s="4" t="s">
        <v>502</v>
      </c>
      <c r="F258" s="4" t="s">
        <v>204</v>
      </c>
      <c r="G258" s="4" t="s">
        <v>80</v>
      </c>
      <c r="H258" s="31"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c r="W258" s="40" t="str">
        <f t="shared" ref="W258:W321" si="12">PROPER(TRIM(F258))</f>
        <v>Rohit Singh</v>
      </c>
      <c r="X258" s="35">
        <f t="shared" ca="1" si="10"/>
        <v>46</v>
      </c>
      <c r="Y258" s="29">
        <f t="shared" si="11"/>
        <v>2</v>
      </c>
      <c r="Z258" s="41" t="e" cm="1">
        <f t="array" aca="1" ref="Z258" ca="1">_xlfn.IFS(Y258&lt;=5, "On time", AND(Y258&gt;5, Y258&lt;&gt;" "), "Delayed", Y258=" ", "pending" )</f>
        <v>#NAME?</v>
      </c>
    </row>
    <row r="259" spans="1:26">
      <c r="A259" s="7" t="s">
        <v>1235</v>
      </c>
      <c r="B259" s="8" t="s">
        <v>27</v>
      </c>
      <c r="C259" s="8" t="s">
        <v>96</v>
      </c>
      <c r="D259" s="8" t="s">
        <v>322</v>
      </c>
      <c r="E259" s="8" t="s">
        <v>683</v>
      </c>
      <c r="F259" s="8" t="s">
        <v>31</v>
      </c>
      <c r="G259" s="8" t="s">
        <v>32</v>
      </c>
      <c r="H259" s="32"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c r="W259" s="40" t="str">
        <f t="shared" si="12"/>
        <v>Kavya Nair</v>
      </c>
      <c r="X259" s="35">
        <f t="shared" ref="X259:X322" ca="1" si="13">IFERROR(DATEDIF(H259, TODAY(), "y"), " ")</f>
        <v>41</v>
      </c>
      <c r="Y259" s="29">
        <f t="shared" ref="Y259:Y322" si="14">IFERROR(DATEDIF(D259, E259, "D"), " ")</f>
        <v>7</v>
      </c>
      <c r="Z259" s="41" t="e" cm="1">
        <f t="array" aca="1" ref="Z259" ca="1">_xlfn.IFS(Y259&lt;=5, "On time", AND(Y259&gt;5, Y259&lt;&gt;" "), "Delayed", Y259=" ", "pending" )</f>
        <v>#NAME?</v>
      </c>
    </row>
    <row r="260" spans="1:26">
      <c r="A260" s="3" t="s">
        <v>1238</v>
      </c>
      <c r="B260" s="4" t="s">
        <v>27</v>
      </c>
      <c r="C260" s="4" t="s">
        <v>28</v>
      </c>
      <c r="D260" s="4" t="s">
        <v>936</v>
      </c>
      <c r="E260" s="4" t="s">
        <v>440</v>
      </c>
      <c r="F260" s="4" t="s">
        <v>31</v>
      </c>
      <c r="G260" s="4" t="s">
        <v>32</v>
      </c>
      <c r="H260" s="31"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c r="W260" s="40" t="str">
        <f t="shared" si="12"/>
        <v>Kavya Nair</v>
      </c>
      <c r="X260" s="35">
        <f t="shared" ca="1" si="13"/>
        <v>47</v>
      </c>
      <c r="Y260" s="29">
        <f t="shared" si="14"/>
        <v>5</v>
      </c>
      <c r="Z260" s="41" t="e" cm="1">
        <f t="array" aca="1" ref="Z260" ca="1">_xlfn.IFS(Y260&lt;=5, "On time", AND(Y260&gt;5, Y260&lt;&gt;" "), "Delayed", Y260=" ", "pending" )</f>
        <v>#NAME?</v>
      </c>
    </row>
    <row r="261" spans="1:26">
      <c r="A261" s="7" t="s">
        <v>1241</v>
      </c>
      <c r="B261" s="8" t="s">
        <v>87</v>
      </c>
      <c r="C261" s="8" t="s">
        <v>188</v>
      </c>
      <c r="D261" s="8" t="s">
        <v>1242</v>
      </c>
      <c r="E261" s="8" t="s">
        <v>430</v>
      </c>
      <c r="F261" s="8" t="s">
        <v>184</v>
      </c>
      <c r="G261" s="8" t="s">
        <v>80</v>
      </c>
      <c r="H261" s="32"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c r="W261" s="40" t="str">
        <f t="shared" si="12"/>
        <v>Arjun Rao</v>
      </c>
      <c r="X261" s="35">
        <f t="shared" ca="1" si="13"/>
        <v>32</v>
      </c>
      <c r="Y261" s="29">
        <f t="shared" si="14"/>
        <v>4</v>
      </c>
      <c r="Z261" s="41" t="e" cm="1">
        <f t="array" aca="1" ref="Z261" ca="1">_xlfn.IFS(Y261&lt;=5, "On time", AND(Y261&gt;5, Y261&lt;&gt;" "), "Delayed", Y261=" ", "pending" )</f>
        <v>#NAME?</v>
      </c>
    </row>
    <row r="262" spans="1:26">
      <c r="A262" s="3" t="s">
        <v>1245</v>
      </c>
      <c r="B262" s="4" t="s">
        <v>27</v>
      </c>
      <c r="C262" s="4" t="s">
        <v>226</v>
      </c>
      <c r="D262" s="4" t="s">
        <v>1110</v>
      </c>
      <c r="E262" s="4" t="s">
        <v>1246</v>
      </c>
      <c r="F262" s="4" t="s">
        <v>31</v>
      </c>
      <c r="G262" s="4" t="s">
        <v>32</v>
      </c>
      <c r="H262" s="31"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c r="W262" s="40" t="str">
        <f t="shared" si="12"/>
        <v>Kavya Nair</v>
      </c>
      <c r="X262" s="35">
        <f t="shared" ca="1" si="13"/>
        <v>50</v>
      </c>
      <c r="Y262" s="29">
        <f t="shared" si="14"/>
        <v>10</v>
      </c>
      <c r="Z262" s="41" t="e" cm="1">
        <f t="array" aca="1" ref="Z262" ca="1">_xlfn.IFS(Y262&lt;=5, "On time", AND(Y262&gt;5, Y262&lt;&gt;" "), "Delayed", Y262=" ", "pending" )</f>
        <v>#NAME?</v>
      </c>
    </row>
    <row r="263" spans="1:26">
      <c r="A263" s="7" t="s">
        <v>1249</v>
      </c>
      <c r="B263" s="8" t="s">
        <v>331</v>
      </c>
      <c r="C263" s="8" t="s">
        <v>44</v>
      </c>
      <c r="D263" s="8" t="s">
        <v>1073</v>
      </c>
      <c r="E263" s="8" t="s">
        <v>276</v>
      </c>
      <c r="F263" s="8" t="s">
        <v>398</v>
      </c>
      <c r="G263" s="8" t="s">
        <v>80</v>
      </c>
      <c r="H263" s="32"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c r="W263" s="40" t="str">
        <f t="shared" si="12"/>
        <v>Amit Sharma</v>
      </c>
      <c r="X263" s="35">
        <f t="shared" ca="1" si="13"/>
        <v>48</v>
      </c>
      <c r="Y263" s="29">
        <f t="shared" si="14"/>
        <v>7</v>
      </c>
      <c r="Z263" s="41" t="e" cm="1">
        <f t="array" aca="1" ref="Z263" ca="1">_xlfn.IFS(Y263&lt;=5, "On time", AND(Y263&gt;5, Y263&lt;&gt;" "), "Delayed", Y263=" ", "pending" )</f>
        <v>#NAME?</v>
      </c>
    </row>
    <row r="264" spans="1:26">
      <c r="A264" s="3" t="s">
        <v>1252</v>
      </c>
      <c r="B264" s="4" t="s">
        <v>255</v>
      </c>
      <c r="C264" s="4" t="s">
        <v>28</v>
      </c>
      <c r="D264" s="4" t="s">
        <v>1253</v>
      </c>
      <c r="E264" s="4" t="s">
        <v>271</v>
      </c>
      <c r="F264" s="4" t="s">
        <v>258</v>
      </c>
      <c r="G264" s="4" t="s">
        <v>32</v>
      </c>
      <c r="H264" s="31"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c r="W264" s="40" t="str">
        <f t="shared" si="12"/>
        <v>Sneha Joshi</v>
      </c>
      <c r="X264" s="35">
        <f t="shared" ca="1" si="13"/>
        <v>22</v>
      </c>
      <c r="Y264" s="29">
        <f t="shared" si="14"/>
        <v>5</v>
      </c>
      <c r="Z264" s="41" t="e" cm="1">
        <f t="array" aca="1" ref="Z264" ca="1">_xlfn.IFS(Y264&lt;=5, "On time", AND(Y264&gt;5, Y264&lt;&gt;" "), "Delayed", Y264=" ", "pending" )</f>
        <v>#NAME?</v>
      </c>
    </row>
    <row r="265" spans="1:26">
      <c r="A265" s="7" t="s">
        <v>1256</v>
      </c>
      <c r="B265" s="8" t="s">
        <v>27</v>
      </c>
      <c r="C265" s="8" t="s">
        <v>58</v>
      </c>
      <c r="D265" s="8" t="s">
        <v>1257</v>
      </c>
      <c r="E265" s="8" t="s">
        <v>459</v>
      </c>
      <c r="F265" s="8" t="s">
        <v>31</v>
      </c>
      <c r="G265" s="8" t="s">
        <v>32</v>
      </c>
      <c r="H265" s="32"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c r="W265" s="40" t="str">
        <f t="shared" si="12"/>
        <v>Kavya Nair</v>
      </c>
      <c r="X265" s="35">
        <f t="shared" ca="1" si="13"/>
        <v>24</v>
      </c>
      <c r="Y265" s="29">
        <f t="shared" si="14"/>
        <v>7</v>
      </c>
      <c r="Z265" s="41" t="e" cm="1">
        <f t="array" aca="1" ref="Z265" ca="1">_xlfn.IFS(Y265&lt;=5, "On time", AND(Y265&gt;5, Y265&lt;&gt;" "), "Delayed", Y265=" ", "pending" )</f>
        <v>#NAME?</v>
      </c>
    </row>
    <row r="266" spans="1:26">
      <c r="A266" s="3" t="s">
        <v>1260</v>
      </c>
      <c r="B266" s="4" t="s">
        <v>75</v>
      </c>
      <c r="C266" s="4" t="s">
        <v>173</v>
      </c>
      <c r="D266" s="4" t="s">
        <v>88</v>
      </c>
      <c r="E266" s="4" t="s">
        <v>1002</v>
      </c>
      <c r="F266" s="4" t="s">
        <v>221</v>
      </c>
      <c r="G266" s="4" t="s">
        <v>80</v>
      </c>
      <c r="H266" s="31"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c r="W266" s="40" t="str">
        <f t="shared" si="12"/>
        <v>Mohit Verma</v>
      </c>
      <c r="X266" s="35">
        <f t="shared" ca="1" si="13"/>
        <v>40</v>
      </c>
      <c r="Y266" s="29">
        <f t="shared" si="14"/>
        <v>10</v>
      </c>
      <c r="Z266" s="41" t="e" cm="1">
        <f t="array" aca="1" ref="Z266" ca="1">_xlfn.IFS(Y266&lt;=5, "On time", AND(Y266&gt;5, Y266&lt;&gt;" "), "Delayed", Y266=" ", "pending" )</f>
        <v>#NAME?</v>
      </c>
    </row>
    <row r="267" spans="1:26">
      <c r="A267" s="7" t="s">
        <v>1263</v>
      </c>
      <c r="B267" s="8" t="s">
        <v>27</v>
      </c>
      <c r="C267" s="8" t="s">
        <v>226</v>
      </c>
      <c r="D267" s="8" t="s">
        <v>562</v>
      </c>
      <c r="E267" s="8" t="s">
        <v>375</v>
      </c>
      <c r="F267" s="8" t="s">
        <v>31</v>
      </c>
      <c r="G267" s="8" t="s">
        <v>32</v>
      </c>
      <c r="H267" s="32"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c r="W267" s="40" t="str">
        <f t="shared" si="12"/>
        <v>Kavya Nair</v>
      </c>
      <c r="X267" s="35">
        <f t="shared" ca="1" si="13"/>
        <v>41</v>
      </c>
      <c r="Y267" s="29">
        <f t="shared" si="14"/>
        <v>5</v>
      </c>
      <c r="Z267" s="41" t="e" cm="1">
        <f t="array" aca="1" ref="Z267" ca="1">_xlfn.IFS(Y267&lt;=5, "On time", AND(Y267&gt;5, Y267&lt;&gt;" "), "Delayed", Y267=" ", "pending" )</f>
        <v>#NAME?</v>
      </c>
    </row>
    <row r="268" spans="1:26">
      <c r="A268" s="3" t="s">
        <v>1266</v>
      </c>
      <c r="B268" s="4" t="s">
        <v>57</v>
      </c>
      <c r="C268" s="4" t="s">
        <v>122</v>
      </c>
      <c r="D268" s="4" t="s">
        <v>1267</v>
      </c>
      <c r="E268" s="4" t="s">
        <v>601</v>
      </c>
      <c r="F268" s="4" t="s">
        <v>167</v>
      </c>
      <c r="G268" s="4" t="s">
        <v>32</v>
      </c>
      <c r="H268" s="31"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c r="W268" s="40" t="str">
        <f t="shared" si="12"/>
        <v>Pooja Shah</v>
      </c>
      <c r="X268" s="35">
        <f t="shared" ca="1" si="13"/>
        <v>42</v>
      </c>
      <c r="Y268" s="29">
        <f t="shared" si="14"/>
        <v>8</v>
      </c>
      <c r="Z268" s="41" t="e" cm="1">
        <f t="array" aca="1" ref="Z268" ca="1">_xlfn.IFS(Y268&lt;=5, "On time", AND(Y268&gt;5, Y268&lt;&gt;" "), "Delayed", Y268=" ", "pending" )</f>
        <v>#NAME?</v>
      </c>
    </row>
    <row r="269" spans="1:26">
      <c r="A269" s="7" t="s">
        <v>1270</v>
      </c>
      <c r="B269" s="8" t="s">
        <v>131</v>
      </c>
      <c r="C269" s="8" t="s">
        <v>173</v>
      </c>
      <c r="D269" s="8" t="s">
        <v>1271</v>
      </c>
      <c r="E269" s="8" t="s">
        <v>1272</v>
      </c>
      <c r="F269" s="8" t="s">
        <v>204</v>
      </c>
      <c r="G269" s="8" t="s">
        <v>80</v>
      </c>
      <c r="H269" s="32"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c r="W269" s="40" t="str">
        <f t="shared" si="12"/>
        <v>Rohit Singh</v>
      </c>
      <c r="X269" s="35">
        <f t="shared" ca="1" si="13"/>
        <v>38</v>
      </c>
      <c r="Y269" s="29">
        <f t="shared" si="14"/>
        <v>3</v>
      </c>
      <c r="Z269" s="41" t="e" cm="1">
        <f t="array" aca="1" ref="Z269" ca="1">_xlfn.IFS(Y269&lt;=5, "On time", AND(Y269&gt;5, Y269&lt;&gt;" "), "Delayed", Y269=" ", "pending" )</f>
        <v>#NAME?</v>
      </c>
    </row>
    <row r="270" spans="1:26">
      <c r="A270" s="3" t="s">
        <v>1275</v>
      </c>
      <c r="B270" s="4" t="s">
        <v>255</v>
      </c>
      <c r="C270" s="4" t="s">
        <v>58</v>
      </c>
      <c r="D270" s="4" t="s">
        <v>449</v>
      </c>
      <c r="E270" s="4" t="s">
        <v>577</v>
      </c>
      <c r="F270" s="4" t="s">
        <v>258</v>
      </c>
      <c r="G270" s="4" t="s">
        <v>32</v>
      </c>
      <c r="H270" s="31"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c r="W270" s="40" t="str">
        <f t="shared" si="12"/>
        <v>Sneha Joshi</v>
      </c>
      <c r="X270" s="35">
        <f t="shared" ca="1" si="13"/>
        <v>39</v>
      </c>
      <c r="Y270" s="29">
        <f t="shared" si="14"/>
        <v>9</v>
      </c>
      <c r="Z270" s="41" t="e" cm="1">
        <f t="array" aca="1" ref="Z270" ca="1">_xlfn.IFS(Y270&lt;=5, "On time", AND(Y270&gt;5, Y270&lt;&gt;" "), "Delayed", Y270=" ", "pending" )</f>
        <v>#NAME?</v>
      </c>
    </row>
    <row r="271" spans="1:26">
      <c r="A271" s="7" t="s">
        <v>1278</v>
      </c>
      <c r="B271" s="8" t="s">
        <v>75</v>
      </c>
      <c r="C271" s="8" t="s">
        <v>44</v>
      </c>
      <c r="D271" s="8" t="s">
        <v>1102</v>
      </c>
      <c r="E271" s="8" t="s">
        <v>587</v>
      </c>
      <c r="F271" s="8" t="s">
        <v>221</v>
      </c>
      <c r="G271" s="8" t="s">
        <v>80</v>
      </c>
      <c r="H271" s="32"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c r="W271" s="40" t="str">
        <f t="shared" si="12"/>
        <v>Mohit Verma</v>
      </c>
      <c r="X271" s="35">
        <f t="shared" ca="1" si="13"/>
        <v>37</v>
      </c>
      <c r="Y271" s="29">
        <f t="shared" si="14"/>
        <v>5</v>
      </c>
      <c r="Z271" s="41" t="e" cm="1">
        <f t="array" aca="1" ref="Z271" ca="1">_xlfn.IFS(Y271&lt;=5, "On time", AND(Y271&gt;5, Y271&lt;&gt;" "), "Delayed", Y271=" ", "pending" )</f>
        <v>#NAME?</v>
      </c>
    </row>
    <row r="272" spans="1:26">
      <c r="A272" s="3" t="s">
        <v>1281</v>
      </c>
      <c r="B272" s="4" t="s">
        <v>131</v>
      </c>
      <c r="C272" s="4" t="s">
        <v>173</v>
      </c>
      <c r="D272" s="4" t="s">
        <v>1282</v>
      </c>
      <c r="E272" s="4" t="s">
        <v>202</v>
      </c>
      <c r="F272" s="4" t="s">
        <v>204</v>
      </c>
      <c r="G272" s="4" t="s">
        <v>80</v>
      </c>
      <c r="H272" s="31"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c r="W272" s="40" t="str">
        <f t="shared" si="12"/>
        <v>Rohit Singh</v>
      </c>
      <c r="X272" s="35">
        <f t="shared" ca="1" si="13"/>
        <v>35</v>
      </c>
      <c r="Y272" s="29">
        <f t="shared" si="14"/>
        <v>9</v>
      </c>
      <c r="Z272" s="41" t="e" cm="1">
        <f t="array" aca="1" ref="Z272" ca="1">_xlfn.IFS(Y272&lt;=5, "On time", AND(Y272&gt;5, Y272&lt;&gt;" "), "Delayed", Y272=" ", "pending" )</f>
        <v>#NAME?</v>
      </c>
    </row>
    <row r="273" spans="1:26">
      <c r="A273" s="7" t="s">
        <v>1285</v>
      </c>
      <c r="B273" s="8" t="s">
        <v>27</v>
      </c>
      <c r="C273" s="8" t="s">
        <v>226</v>
      </c>
      <c r="D273" s="8" t="s">
        <v>1286</v>
      </c>
      <c r="E273" s="8" t="s">
        <v>728</v>
      </c>
      <c r="F273" s="8" t="s">
        <v>31</v>
      </c>
      <c r="G273" s="8" t="s">
        <v>32</v>
      </c>
      <c r="H273" s="32"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c r="W273" s="40" t="str">
        <f t="shared" si="12"/>
        <v>Kavya Nair</v>
      </c>
      <c r="X273" s="35">
        <f t="shared" ca="1" si="13"/>
        <v>45</v>
      </c>
      <c r="Y273" s="29">
        <f t="shared" si="14"/>
        <v>9</v>
      </c>
      <c r="Z273" s="41" t="e" cm="1">
        <f t="array" aca="1" ref="Z273" ca="1">_xlfn.IFS(Y273&lt;=5, "On time", AND(Y273&gt;5, Y273&lt;&gt;" "), "Delayed", Y273=" ", "pending" )</f>
        <v>#NAME?</v>
      </c>
    </row>
    <row r="274" spans="1:26">
      <c r="A274" s="3" t="s">
        <v>1289</v>
      </c>
      <c r="B274" s="4" t="s">
        <v>87</v>
      </c>
      <c r="C274" s="4" t="s">
        <v>122</v>
      </c>
      <c r="D274" s="4" t="s">
        <v>744</v>
      </c>
      <c r="E274" s="4" t="s">
        <v>1290</v>
      </c>
      <c r="F274" s="4" t="s">
        <v>184</v>
      </c>
      <c r="G274" s="4" t="s">
        <v>80</v>
      </c>
      <c r="H274" s="31"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c r="W274" s="40" t="str">
        <f t="shared" si="12"/>
        <v>Arjun Rao</v>
      </c>
      <c r="X274" s="35">
        <f t="shared" ca="1" si="13"/>
        <v>41</v>
      </c>
      <c r="Y274" s="29">
        <f t="shared" si="14"/>
        <v>12</v>
      </c>
      <c r="Z274" s="41" t="e" cm="1">
        <f t="array" aca="1" ref="Z274" ca="1">_xlfn.IFS(Y274&lt;=5, "On time", AND(Y274&gt;5, Y274&lt;&gt;" "), "Delayed", Y274=" ", "pending" )</f>
        <v>#NAME?</v>
      </c>
    </row>
    <row r="275" spans="1:26">
      <c r="A275" s="7" t="s">
        <v>1293</v>
      </c>
      <c r="B275" s="8" t="s">
        <v>57</v>
      </c>
      <c r="C275" s="8" t="s">
        <v>226</v>
      </c>
      <c r="D275" s="8" t="s">
        <v>1294</v>
      </c>
      <c r="E275" s="8" t="s">
        <v>969</v>
      </c>
      <c r="F275" s="8" t="s">
        <v>167</v>
      </c>
      <c r="G275" s="8" t="s">
        <v>32</v>
      </c>
      <c r="H275" s="32"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c r="W275" s="40" t="str">
        <f t="shared" si="12"/>
        <v>Pooja Shah</v>
      </c>
      <c r="X275" s="35">
        <f t="shared" ca="1" si="13"/>
        <v>49</v>
      </c>
      <c r="Y275" s="29">
        <f t="shared" si="14"/>
        <v>6</v>
      </c>
      <c r="Z275" s="41" t="e" cm="1">
        <f t="array" aca="1" ref="Z275" ca="1">_xlfn.IFS(Y275&lt;=5, "On time", AND(Y275&gt;5, Y275&lt;&gt;" "), "Delayed", Y275=" ", "pending" )</f>
        <v>#NAME?</v>
      </c>
    </row>
    <row r="276" spans="1:26">
      <c r="A276" s="3" t="s">
        <v>1297</v>
      </c>
      <c r="B276" s="4" t="s">
        <v>225</v>
      </c>
      <c r="C276" s="4" t="s">
        <v>226</v>
      </c>
      <c r="D276" s="4" t="s">
        <v>1298</v>
      </c>
      <c r="E276" s="4" t="s">
        <v>1021</v>
      </c>
      <c r="F276" s="4" t="s">
        <v>229</v>
      </c>
      <c r="G276" s="4" t="s">
        <v>80</v>
      </c>
      <c r="H276" s="31"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c r="W276" s="40" t="str">
        <f t="shared" si="12"/>
        <v>Vikas Mehta</v>
      </c>
      <c r="X276" s="35">
        <f t="shared" ca="1" si="13"/>
        <v>48</v>
      </c>
      <c r="Y276" s="29">
        <f t="shared" si="14"/>
        <v>5</v>
      </c>
      <c r="Z276" s="41" t="e" cm="1">
        <f t="array" aca="1" ref="Z276" ca="1">_xlfn.IFS(Y276&lt;=5, "On time", AND(Y276&gt;5, Y276&lt;&gt;" "), "Delayed", Y276=" ", "pending" )</f>
        <v>#NAME?</v>
      </c>
    </row>
    <row r="277" spans="1:26">
      <c r="A277" s="7" t="s">
        <v>1301</v>
      </c>
      <c r="B277" s="8" t="s">
        <v>104</v>
      </c>
      <c r="C277" s="8" t="s">
        <v>263</v>
      </c>
      <c r="D277" s="8" t="s">
        <v>1302</v>
      </c>
      <c r="E277" s="8" t="s">
        <v>370</v>
      </c>
      <c r="F277" s="8" t="s">
        <v>107</v>
      </c>
      <c r="G277" s="8" t="s">
        <v>32</v>
      </c>
      <c r="H277" s="32"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c r="W277" s="40" t="str">
        <f t="shared" si="12"/>
        <v>Priya Patel</v>
      </c>
      <c r="X277" s="35">
        <f t="shared" ca="1" si="13"/>
        <v>27</v>
      </c>
      <c r="Y277" s="29">
        <f t="shared" si="14"/>
        <v>9</v>
      </c>
      <c r="Z277" s="41" t="e" cm="1">
        <f t="array" aca="1" ref="Z277" ca="1">_xlfn.IFS(Y277&lt;=5, "On time", AND(Y277&gt;5, Y277&lt;&gt;" "), "Delayed", Y277=" ", "pending" )</f>
        <v>#NAME?</v>
      </c>
    </row>
    <row r="278" spans="1:26">
      <c r="A278" s="3" t="s">
        <v>1305</v>
      </c>
      <c r="B278" s="4" t="s">
        <v>87</v>
      </c>
      <c r="C278" s="4" t="s">
        <v>188</v>
      </c>
      <c r="D278" s="4" t="s">
        <v>1306</v>
      </c>
      <c r="E278" s="4" t="s">
        <v>174</v>
      </c>
      <c r="F278" s="4" t="s">
        <v>184</v>
      </c>
      <c r="G278" s="4" t="s">
        <v>80</v>
      </c>
      <c r="H278" s="31"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c r="W278" s="40" t="str">
        <f t="shared" si="12"/>
        <v>Arjun Rao</v>
      </c>
      <c r="X278" s="35">
        <f t="shared" ca="1" si="13"/>
        <v>50</v>
      </c>
      <c r="Y278" s="29">
        <f t="shared" si="14"/>
        <v>4</v>
      </c>
      <c r="Z278" s="41" t="e" cm="1">
        <f t="array" aca="1" ref="Z278" ca="1">_xlfn.IFS(Y278&lt;=5, "On time", AND(Y278&gt;5, Y278&lt;&gt;" "), "Delayed", Y278=" ", "pending" )</f>
        <v>#NAME?</v>
      </c>
    </row>
    <row r="279" spans="1:26">
      <c r="A279" s="7" t="s">
        <v>1309</v>
      </c>
      <c r="B279" s="8" t="s">
        <v>172</v>
      </c>
      <c r="C279" s="8" t="s">
        <v>28</v>
      </c>
      <c r="D279" s="8" t="s">
        <v>1310</v>
      </c>
      <c r="E279" s="8" t="s">
        <v>1311</v>
      </c>
      <c r="F279" s="8" t="s">
        <v>365</v>
      </c>
      <c r="G279" s="8" t="s">
        <v>32</v>
      </c>
      <c r="H279" s="32"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c r="W279" s="40" t="str">
        <f t="shared" si="12"/>
        <v>Anita Gupta</v>
      </c>
      <c r="X279" s="35">
        <f t="shared" ca="1" si="13"/>
        <v>50</v>
      </c>
      <c r="Y279" s="29">
        <f t="shared" si="14"/>
        <v>8</v>
      </c>
      <c r="Z279" s="41" t="e" cm="1">
        <f t="array" aca="1" ref="Z279" ca="1">_xlfn.IFS(Y279&lt;=5, "On time", AND(Y279&gt;5, Y279&lt;&gt;" "), "Delayed", Y279=" ", "pending" )</f>
        <v>#NAME?</v>
      </c>
    </row>
    <row r="280" spans="1:26">
      <c r="A280" s="3" t="s">
        <v>1314</v>
      </c>
      <c r="B280" s="4" t="s">
        <v>104</v>
      </c>
      <c r="C280" s="4" t="s">
        <v>28</v>
      </c>
      <c r="D280" s="4" t="s">
        <v>864</v>
      </c>
      <c r="E280" s="4" t="s">
        <v>1315</v>
      </c>
      <c r="F280" s="4" t="s">
        <v>107</v>
      </c>
      <c r="G280" s="4" t="s">
        <v>32</v>
      </c>
      <c r="H280" s="31"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c r="W280" s="40" t="str">
        <f t="shared" si="12"/>
        <v>Priya Patel</v>
      </c>
      <c r="X280" s="35">
        <f t="shared" ca="1" si="13"/>
        <v>23</v>
      </c>
      <c r="Y280" s="29">
        <f t="shared" si="14"/>
        <v>12</v>
      </c>
      <c r="Z280" s="41" t="e" cm="1">
        <f t="array" aca="1" ref="Z280" ca="1">_xlfn.IFS(Y280&lt;=5, "On time", AND(Y280&gt;5, Y280&lt;&gt;" "), "Delayed", Y280=" ", "pending" )</f>
        <v>#NAME?</v>
      </c>
    </row>
    <row r="281" spans="1:26">
      <c r="A281" s="7" t="s">
        <v>1318</v>
      </c>
      <c r="B281" s="8" t="s">
        <v>255</v>
      </c>
      <c r="C281" s="8" t="s">
        <v>96</v>
      </c>
      <c r="D281" s="8" t="s">
        <v>876</v>
      </c>
      <c r="E281" s="8" t="s">
        <v>1319</v>
      </c>
      <c r="F281" s="8" t="s">
        <v>258</v>
      </c>
      <c r="G281" s="8" t="s">
        <v>32</v>
      </c>
      <c r="H281" s="32"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c r="W281" s="40" t="str">
        <f t="shared" si="12"/>
        <v>Sneha Joshi</v>
      </c>
      <c r="X281" s="35">
        <f t="shared" ca="1" si="13"/>
        <v>38</v>
      </c>
      <c r="Y281" s="29">
        <f t="shared" si="14"/>
        <v>11</v>
      </c>
      <c r="Z281" s="41" t="e" cm="1">
        <f t="array" aca="1" ref="Z281" ca="1">_xlfn.IFS(Y281&lt;=5, "On time", AND(Y281&gt;5, Y281&lt;&gt;" "), "Delayed", Y281=" ", "pending" )</f>
        <v>#NAME?</v>
      </c>
    </row>
    <row r="282" spans="1:26">
      <c r="A282" s="3" t="s">
        <v>1322</v>
      </c>
      <c r="B282" s="4" t="s">
        <v>75</v>
      </c>
      <c r="C282" s="4" t="s">
        <v>96</v>
      </c>
      <c r="D282" s="4" t="s">
        <v>1323</v>
      </c>
      <c r="E282" s="4" t="s">
        <v>1324</v>
      </c>
      <c r="F282" s="4" t="s">
        <v>221</v>
      </c>
      <c r="G282" s="4" t="s">
        <v>80</v>
      </c>
      <c r="H282" s="31"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c r="W282" s="40" t="str">
        <f t="shared" si="12"/>
        <v>Mohit Verma</v>
      </c>
      <c r="X282" s="35">
        <f t="shared" ca="1" si="13"/>
        <v>35</v>
      </c>
      <c r="Y282" s="29">
        <f t="shared" si="14"/>
        <v>4</v>
      </c>
      <c r="Z282" s="41" t="e" cm="1">
        <f t="array" aca="1" ref="Z282" ca="1">_xlfn.IFS(Y282&lt;=5, "On time", AND(Y282&gt;5, Y282&lt;&gt;" "), "Delayed", Y282=" ", "pending" )</f>
        <v>#NAME?</v>
      </c>
    </row>
    <row r="283" spans="1:26">
      <c r="A283" s="7" t="s">
        <v>1327</v>
      </c>
      <c r="B283" s="8" t="s">
        <v>255</v>
      </c>
      <c r="C283" s="8" t="s">
        <v>44</v>
      </c>
      <c r="D283" s="8" t="s">
        <v>1328</v>
      </c>
      <c r="E283" s="8" t="s">
        <v>29</v>
      </c>
      <c r="F283" s="8" t="s">
        <v>258</v>
      </c>
      <c r="G283" s="8" t="s">
        <v>32</v>
      </c>
      <c r="H283" s="32"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c r="W283" s="40" t="str">
        <f t="shared" si="12"/>
        <v>Sneha Joshi</v>
      </c>
      <c r="X283" s="35">
        <f t="shared" ca="1" si="13"/>
        <v>47</v>
      </c>
      <c r="Y283" s="29">
        <f t="shared" si="14"/>
        <v>12</v>
      </c>
      <c r="Z283" s="41" t="e" cm="1">
        <f t="array" aca="1" ref="Z283" ca="1">_xlfn.IFS(Y283&lt;=5, "On time", AND(Y283&gt;5, Y283&lt;&gt;" "), "Delayed", Y283=" ", "pending" )</f>
        <v>#NAME?</v>
      </c>
    </row>
    <row r="284" spans="1:26">
      <c r="A284" s="3" t="s">
        <v>1331</v>
      </c>
      <c r="B284" s="4" t="s">
        <v>87</v>
      </c>
      <c r="C284" s="4" t="s">
        <v>188</v>
      </c>
      <c r="D284" s="4" t="s">
        <v>1332</v>
      </c>
      <c r="E284" s="4" t="s">
        <v>610</v>
      </c>
      <c r="F284" s="4" t="s">
        <v>184</v>
      </c>
      <c r="G284" s="4" t="s">
        <v>80</v>
      </c>
      <c r="H284" s="31"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c r="W284" s="40" t="str">
        <f t="shared" si="12"/>
        <v>Arjun Rao</v>
      </c>
      <c r="X284" s="35">
        <f t="shared" ca="1" si="13"/>
        <v>32</v>
      </c>
      <c r="Y284" s="29">
        <f t="shared" si="14"/>
        <v>6</v>
      </c>
      <c r="Z284" s="41" t="e" cm="1">
        <f t="array" aca="1" ref="Z284" ca="1">_xlfn.IFS(Y284&lt;=5, "On time", AND(Y284&gt;5, Y284&lt;&gt;" "), "Delayed", Y284=" ", "pending" )</f>
        <v>#NAME?</v>
      </c>
    </row>
    <row r="285" spans="1:26">
      <c r="A285" s="7" t="s">
        <v>1335</v>
      </c>
      <c r="B285" s="8" t="s">
        <v>75</v>
      </c>
      <c r="C285" s="8" t="s">
        <v>28</v>
      </c>
      <c r="D285" s="8" t="s">
        <v>927</v>
      </c>
      <c r="E285" s="8" t="s">
        <v>1336</v>
      </c>
      <c r="F285" s="8" t="s">
        <v>221</v>
      </c>
      <c r="G285" s="8" t="s">
        <v>80</v>
      </c>
      <c r="H285" s="32"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c r="W285" s="40" t="str">
        <f t="shared" si="12"/>
        <v>Mohit Verma</v>
      </c>
      <c r="X285" s="35">
        <f t="shared" ca="1" si="13"/>
        <v>31</v>
      </c>
      <c r="Y285" s="29">
        <f t="shared" si="14"/>
        <v>6</v>
      </c>
      <c r="Z285" s="41" t="e" cm="1">
        <f t="array" aca="1" ref="Z285" ca="1">_xlfn.IFS(Y285&lt;=5, "On time", AND(Y285&gt;5, Y285&lt;&gt;" "), "Delayed", Y285=" ", "pending" )</f>
        <v>#NAME?</v>
      </c>
    </row>
    <row r="286" spans="1:26">
      <c r="A286" s="3" t="s">
        <v>1339</v>
      </c>
      <c r="B286" s="4" t="s">
        <v>255</v>
      </c>
      <c r="C286" s="4" t="s">
        <v>263</v>
      </c>
      <c r="D286" s="4" t="s">
        <v>1202</v>
      </c>
      <c r="E286" s="4" t="s">
        <v>220</v>
      </c>
      <c r="F286" s="4" t="s">
        <v>258</v>
      </c>
      <c r="G286" s="4" t="s">
        <v>32</v>
      </c>
      <c r="H286" s="31"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c r="W286" s="40" t="str">
        <f t="shared" si="12"/>
        <v>Sneha Joshi</v>
      </c>
      <c r="X286" s="35">
        <f t="shared" ca="1" si="13"/>
        <v>34</v>
      </c>
      <c r="Y286" s="29">
        <f t="shared" si="14"/>
        <v>4</v>
      </c>
      <c r="Z286" s="41" t="e" cm="1">
        <f t="array" aca="1" ref="Z286" ca="1">_xlfn.IFS(Y286&lt;=5, "On time", AND(Y286&gt;5, Y286&lt;&gt;" "), "Delayed", Y286=" ", "pending" )</f>
        <v>#NAME?</v>
      </c>
    </row>
    <row r="287" spans="1:26">
      <c r="A287" s="7" t="s">
        <v>1342</v>
      </c>
      <c r="B287" s="8" t="s">
        <v>255</v>
      </c>
      <c r="C287" s="8" t="s">
        <v>76</v>
      </c>
      <c r="D287" s="8" t="s">
        <v>30</v>
      </c>
      <c r="E287" s="8" t="s">
        <v>1343</v>
      </c>
      <c r="F287" s="8" t="s">
        <v>258</v>
      </c>
      <c r="G287" s="8" t="s">
        <v>32</v>
      </c>
      <c r="H287" s="32"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c r="W287" s="40" t="str">
        <f t="shared" si="12"/>
        <v>Sneha Joshi</v>
      </c>
      <c r="X287" s="35">
        <f t="shared" ca="1" si="13"/>
        <v>45</v>
      </c>
      <c r="Y287" s="29">
        <f t="shared" si="14"/>
        <v>8</v>
      </c>
      <c r="Z287" s="41" t="e" cm="1">
        <f t="array" aca="1" ref="Z287" ca="1">_xlfn.IFS(Y287&lt;=5, "On time", AND(Y287&gt;5, Y287&lt;&gt;" "), "Delayed", Y287=" ", "pending" )</f>
        <v>#NAME?</v>
      </c>
    </row>
    <row r="288" spans="1:26">
      <c r="A288" s="3" t="s">
        <v>1346</v>
      </c>
      <c r="B288" s="4" t="s">
        <v>172</v>
      </c>
      <c r="C288" s="4" t="s">
        <v>188</v>
      </c>
      <c r="D288" s="4" t="s">
        <v>1347</v>
      </c>
      <c r="E288" s="4" t="s">
        <v>1348</v>
      </c>
      <c r="F288" s="4" t="s">
        <v>365</v>
      </c>
      <c r="G288" s="4" t="s">
        <v>32</v>
      </c>
      <c r="H288" s="31"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c r="W288" s="40" t="str">
        <f t="shared" si="12"/>
        <v>Anita Gupta</v>
      </c>
      <c r="X288" s="35">
        <f t="shared" ca="1" si="13"/>
        <v>41</v>
      </c>
      <c r="Y288" s="29">
        <f t="shared" si="14"/>
        <v>3</v>
      </c>
      <c r="Z288" s="41" t="e" cm="1">
        <f t="array" aca="1" ref="Z288" ca="1">_xlfn.IFS(Y288&lt;=5, "On time", AND(Y288&gt;5, Y288&lt;&gt;" "), "Delayed", Y288=" ", "pending" )</f>
        <v>#NAME?</v>
      </c>
    </row>
    <row r="289" spans="1:26">
      <c r="A289" s="7" t="s">
        <v>1351</v>
      </c>
      <c r="B289" s="8" t="s">
        <v>104</v>
      </c>
      <c r="C289" s="8" t="s">
        <v>226</v>
      </c>
      <c r="D289" s="8" t="s">
        <v>295</v>
      </c>
      <c r="E289" s="8" t="s">
        <v>511</v>
      </c>
      <c r="F289" s="8" t="s">
        <v>107</v>
      </c>
      <c r="G289" s="8" t="s">
        <v>32</v>
      </c>
      <c r="H289" s="32"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c r="W289" s="40" t="str">
        <f t="shared" si="12"/>
        <v>Priya Patel</v>
      </c>
      <c r="X289" s="35">
        <f t="shared" ca="1" si="13"/>
        <v>50</v>
      </c>
      <c r="Y289" s="29">
        <f t="shared" si="14"/>
        <v>1</v>
      </c>
      <c r="Z289" s="41" t="e" cm="1">
        <f t="array" aca="1" ref="Z289" ca="1">_xlfn.IFS(Y289&lt;=5, "On time", AND(Y289&gt;5, Y289&lt;&gt;" "), "Delayed", Y289=" ", "pending" )</f>
        <v>#NAME?</v>
      </c>
    </row>
    <row r="290" spans="1:26">
      <c r="A290" s="3" t="s">
        <v>1355</v>
      </c>
      <c r="B290" s="4" t="s">
        <v>75</v>
      </c>
      <c r="C290" s="4" t="s">
        <v>28</v>
      </c>
      <c r="D290" s="4" t="s">
        <v>139</v>
      </c>
      <c r="E290" s="4" t="s">
        <v>140</v>
      </c>
      <c r="F290" s="4" t="s">
        <v>221</v>
      </c>
      <c r="G290" s="4" t="s">
        <v>80</v>
      </c>
      <c r="H290" s="31"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c r="W290" s="40" t="str">
        <f t="shared" si="12"/>
        <v>Mohit Verma</v>
      </c>
      <c r="X290" s="35">
        <f t="shared" ca="1" si="13"/>
        <v>31</v>
      </c>
      <c r="Y290" s="29">
        <f t="shared" si="14"/>
        <v>7</v>
      </c>
      <c r="Z290" s="41" t="e" cm="1">
        <f t="array" aca="1" ref="Z290" ca="1">_xlfn.IFS(Y290&lt;=5, "On time", AND(Y290&gt;5, Y290&lt;&gt;" "), "Delayed", Y290=" ", "pending" )</f>
        <v>#NAME?</v>
      </c>
    </row>
    <row r="291" spans="1:26">
      <c r="A291" s="7" t="s">
        <v>1358</v>
      </c>
      <c r="B291" s="8" t="s">
        <v>75</v>
      </c>
      <c r="C291" s="8" t="s">
        <v>122</v>
      </c>
      <c r="D291" s="8" t="s">
        <v>454</v>
      </c>
      <c r="E291" s="8" t="s">
        <v>927</v>
      </c>
      <c r="F291" s="8" t="s">
        <v>221</v>
      </c>
      <c r="G291" s="8" t="s">
        <v>80</v>
      </c>
      <c r="H291" s="32"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c r="W291" s="40" t="str">
        <f t="shared" si="12"/>
        <v>Mohit Verma</v>
      </c>
      <c r="X291" s="35">
        <f t="shared" ca="1" si="13"/>
        <v>46</v>
      </c>
      <c r="Y291" s="29">
        <f t="shared" si="14"/>
        <v>12</v>
      </c>
      <c r="Z291" s="41" t="e" cm="1">
        <f t="array" aca="1" ref="Z291" ca="1">_xlfn.IFS(Y291&lt;=5, "On time", AND(Y291&gt;5, Y291&lt;&gt;" "), "Delayed", Y291=" ", "pending" )</f>
        <v>#NAME?</v>
      </c>
    </row>
    <row r="292" spans="1:26">
      <c r="A292" s="3" t="s">
        <v>1361</v>
      </c>
      <c r="B292" s="4" t="s">
        <v>131</v>
      </c>
      <c r="C292" s="4" t="s">
        <v>96</v>
      </c>
      <c r="D292" s="4" t="s">
        <v>628</v>
      </c>
      <c r="E292" s="4" t="s">
        <v>829</v>
      </c>
      <c r="F292" s="4" t="s">
        <v>204</v>
      </c>
      <c r="G292" s="4" t="s">
        <v>80</v>
      </c>
      <c r="H292" s="31"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c r="W292" s="40" t="str">
        <f t="shared" si="12"/>
        <v>Rohit Singh</v>
      </c>
      <c r="X292" s="35">
        <f t="shared" ca="1" si="13"/>
        <v>39</v>
      </c>
      <c r="Y292" s="29">
        <f t="shared" si="14"/>
        <v>6</v>
      </c>
      <c r="Z292" s="41" t="e" cm="1">
        <f t="array" aca="1" ref="Z292" ca="1">_xlfn.IFS(Y292&lt;=5, "On time", AND(Y292&gt;5, Y292&lt;&gt;" "), "Delayed", Y292=" ", "pending" )</f>
        <v>#NAME?</v>
      </c>
    </row>
    <row r="293" spans="1:26">
      <c r="A293" s="7" t="s">
        <v>1363</v>
      </c>
      <c r="B293" s="8" t="s">
        <v>331</v>
      </c>
      <c r="C293" s="8" t="s">
        <v>76</v>
      </c>
      <c r="D293" s="8" t="s">
        <v>124</v>
      </c>
      <c r="E293" s="8" t="s">
        <v>1364</v>
      </c>
      <c r="F293" s="8" t="s">
        <v>398</v>
      </c>
      <c r="G293" s="8" t="s">
        <v>80</v>
      </c>
      <c r="H293" s="32"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c r="W293" s="40" t="str">
        <f t="shared" si="12"/>
        <v>Amit Sharma</v>
      </c>
      <c r="X293" s="35">
        <f t="shared" ca="1" si="13"/>
        <v>25</v>
      </c>
      <c r="Y293" s="29">
        <f t="shared" si="14"/>
        <v>5</v>
      </c>
      <c r="Z293" s="41" t="e" cm="1">
        <f t="array" aca="1" ref="Z293" ca="1">_xlfn.IFS(Y293&lt;=5, "On time", AND(Y293&gt;5, Y293&lt;&gt;" "), "Delayed", Y293=" ", "pending" )</f>
        <v>#NAME?</v>
      </c>
    </row>
    <row r="294" spans="1:26">
      <c r="A294" s="3" t="s">
        <v>1367</v>
      </c>
      <c r="B294" s="4" t="s">
        <v>57</v>
      </c>
      <c r="C294" s="4" t="s">
        <v>76</v>
      </c>
      <c r="D294" s="4" t="s">
        <v>1035</v>
      </c>
      <c r="E294" s="4" t="s">
        <v>914</v>
      </c>
      <c r="F294" s="4" t="s">
        <v>167</v>
      </c>
      <c r="G294" s="4" t="s">
        <v>32</v>
      </c>
      <c r="H294" s="31"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c r="W294" s="40" t="str">
        <f t="shared" si="12"/>
        <v>Pooja Shah</v>
      </c>
      <c r="X294" s="35">
        <f t="shared" ca="1" si="13"/>
        <v>36</v>
      </c>
      <c r="Y294" s="29">
        <f t="shared" si="14"/>
        <v>2</v>
      </c>
      <c r="Z294" s="41" t="e" cm="1">
        <f t="array" aca="1" ref="Z294" ca="1">_xlfn.IFS(Y294&lt;=5, "On time", AND(Y294&gt;5, Y294&lt;&gt;" "), "Delayed", Y294=" ", "pending" )</f>
        <v>#NAME?</v>
      </c>
    </row>
    <row r="295" spans="1:26">
      <c r="A295" s="7" t="s">
        <v>1371</v>
      </c>
      <c r="B295" s="8" t="s">
        <v>27</v>
      </c>
      <c r="C295" s="8" t="s">
        <v>76</v>
      </c>
      <c r="D295" s="8" t="s">
        <v>1372</v>
      </c>
      <c r="E295" s="8" t="s">
        <v>1373</v>
      </c>
      <c r="F295" s="8" t="s">
        <v>31</v>
      </c>
      <c r="G295" s="8" t="s">
        <v>32</v>
      </c>
      <c r="H295" s="32"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c r="W295" s="40" t="str">
        <f t="shared" si="12"/>
        <v>Kavya Nair</v>
      </c>
      <c r="X295" s="35">
        <f t="shared" ca="1" si="13"/>
        <v>37</v>
      </c>
      <c r="Y295" s="29">
        <f t="shared" si="14"/>
        <v>11</v>
      </c>
      <c r="Z295" s="41" t="e" cm="1">
        <f t="array" aca="1" ref="Z295" ca="1">_xlfn.IFS(Y295&lt;=5, "On time", AND(Y295&gt;5, Y295&lt;&gt;" "), "Delayed", Y295=" ", "pending" )</f>
        <v>#NAME?</v>
      </c>
    </row>
    <row r="296" spans="1:26">
      <c r="A296" s="3" t="s">
        <v>1376</v>
      </c>
      <c r="B296" s="4" t="s">
        <v>172</v>
      </c>
      <c r="C296" s="4" t="s">
        <v>226</v>
      </c>
      <c r="D296" s="4" t="s">
        <v>1377</v>
      </c>
      <c r="E296" s="4" t="s">
        <v>1378</v>
      </c>
      <c r="F296" s="4" t="s">
        <v>365</v>
      </c>
      <c r="G296" s="4" t="s">
        <v>32</v>
      </c>
      <c r="H296" s="31"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c r="W296" s="40" t="str">
        <f t="shared" si="12"/>
        <v>Anita Gupta</v>
      </c>
      <c r="X296" s="35">
        <f t="shared" ca="1" si="13"/>
        <v>35</v>
      </c>
      <c r="Y296" s="29">
        <f t="shared" si="14"/>
        <v>3</v>
      </c>
      <c r="Z296" s="41" t="e" cm="1">
        <f t="array" aca="1" ref="Z296" ca="1">_xlfn.IFS(Y296&lt;=5, "On time", AND(Y296&gt;5, Y296&lt;&gt;" "), "Delayed", Y296=" ", "pending" )</f>
        <v>#NAME?</v>
      </c>
    </row>
    <row r="297" spans="1:26">
      <c r="A297" s="7" t="s">
        <v>1381</v>
      </c>
      <c r="B297" s="8" t="s">
        <v>104</v>
      </c>
      <c r="C297" s="8" t="s">
        <v>122</v>
      </c>
      <c r="D297" s="8" t="s">
        <v>1382</v>
      </c>
      <c r="E297" s="8" t="s">
        <v>1383</v>
      </c>
      <c r="F297" s="8" t="s">
        <v>107</v>
      </c>
      <c r="G297" s="8" t="s">
        <v>32</v>
      </c>
      <c r="H297" s="32"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c r="W297" s="40" t="str">
        <f t="shared" si="12"/>
        <v>Priya Patel</v>
      </c>
      <c r="X297" s="35">
        <f t="shared" ca="1" si="13"/>
        <v>47</v>
      </c>
      <c r="Y297" s="29">
        <f t="shared" si="14"/>
        <v>10</v>
      </c>
      <c r="Z297" s="41" t="e" cm="1">
        <f t="array" aca="1" ref="Z297" ca="1">_xlfn.IFS(Y297&lt;=5, "On time", AND(Y297&gt;5, Y297&lt;&gt;" "), "Delayed", Y297=" ", "pending" )</f>
        <v>#NAME?</v>
      </c>
    </row>
    <row r="298" spans="1:26">
      <c r="A298" s="3" t="s">
        <v>1386</v>
      </c>
      <c r="B298" s="4" t="s">
        <v>331</v>
      </c>
      <c r="C298" s="4" t="s">
        <v>28</v>
      </c>
      <c r="D298" s="4" t="s">
        <v>1364</v>
      </c>
      <c r="E298" s="4" t="s">
        <v>581</v>
      </c>
      <c r="F298" s="4" t="s">
        <v>398</v>
      </c>
      <c r="G298" s="4" t="s">
        <v>80</v>
      </c>
      <c r="H298" s="31"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c r="W298" s="40" t="str">
        <f t="shared" si="12"/>
        <v>Amit Sharma</v>
      </c>
      <c r="X298" s="35">
        <f t="shared" ca="1" si="13"/>
        <v>48</v>
      </c>
      <c r="Y298" s="29">
        <f t="shared" si="14"/>
        <v>11</v>
      </c>
      <c r="Z298" s="41" t="e" cm="1">
        <f t="array" aca="1" ref="Z298" ca="1">_xlfn.IFS(Y298&lt;=5, "On time", AND(Y298&gt;5, Y298&lt;&gt;" "), "Delayed", Y298=" ", "pending" )</f>
        <v>#NAME?</v>
      </c>
    </row>
    <row r="299" spans="1:26">
      <c r="A299" s="7" t="s">
        <v>1389</v>
      </c>
      <c r="B299" s="8" t="s">
        <v>131</v>
      </c>
      <c r="C299" s="8" t="s">
        <v>58</v>
      </c>
      <c r="D299" s="8" t="s">
        <v>623</v>
      </c>
      <c r="E299" s="8" t="s">
        <v>764</v>
      </c>
      <c r="F299" s="8" t="s">
        <v>204</v>
      </c>
      <c r="G299" s="8" t="s">
        <v>80</v>
      </c>
      <c r="H299" s="32"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c r="W299" s="40" t="str">
        <f t="shared" si="12"/>
        <v>Rohit Singh</v>
      </c>
      <c r="X299" s="35">
        <f t="shared" ca="1" si="13"/>
        <v>22</v>
      </c>
      <c r="Y299" s="29">
        <f t="shared" si="14"/>
        <v>3</v>
      </c>
      <c r="Z299" s="41" t="e" cm="1">
        <f t="array" aca="1" ref="Z299" ca="1">_xlfn.IFS(Y299&lt;=5, "On time", AND(Y299&gt;5, Y299&lt;&gt;" "), "Delayed", Y299=" ", "pending" )</f>
        <v>#NAME?</v>
      </c>
    </row>
    <row r="300" spans="1:26">
      <c r="A300" s="3" t="s">
        <v>1392</v>
      </c>
      <c r="B300" s="4" t="s">
        <v>87</v>
      </c>
      <c r="C300" s="4" t="s">
        <v>96</v>
      </c>
      <c r="D300" s="4" t="s">
        <v>312</v>
      </c>
      <c r="E300" s="4" t="s">
        <v>1393</v>
      </c>
      <c r="F300" s="4" t="s">
        <v>184</v>
      </c>
      <c r="G300" s="4" t="s">
        <v>80</v>
      </c>
      <c r="H300" s="31"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c r="W300" s="40" t="str">
        <f t="shared" si="12"/>
        <v>Arjun Rao</v>
      </c>
      <c r="X300" s="35">
        <f t="shared" ca="1" si="13"/>
        <v>34</v>
      </c>
      <c r="Y300" s="29">
        <f t="shared" si="14"/>
        <v>12</v>
      </c>
      <c r="Z300" s="41" t="e" cm="1">
        <f t="array" aca="1" ref="Z300" ca="1">_xlfn.IFS(Y300&lt;=5, "On time", AND(Y300&gt;5, Y300&lt;&gt;" "), "Delayed", Y300=" ", "pending" )</f>
        <v>#NAME?</v>
      </c>
    </row>
    <row r="301" spans="1:26">
      <c r="A301" s="7" t="s">
        <v>1396</v>
      </c>
      <c r="B301" s="8" t="s">
        <v>75</v>
      </c>
      <c r="C301" s="8" t="s">
        <v>263</v>
      </c>
      <c r="D301" s="8" t="s">
        <v>98</v>
      </c>
      <c r="E301" s="8" t="s">
        <v>302</v>
      </c>
      <c r="F301" s="8" t="s">
        <v>221</v>
      </c>
      <c r="G301" s="8" t="s">
        <v>80</v>
      </c>
      <c r="H301" s="32"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c r="W301" s="40" t="str">
        <f t="shared" si="12"/>
        <v>Mohit Verma</v>
      </c>
      <c r="X301" s="35">
        <f t="shared" ca="1" si="13"/>
        <v>23</v>
      </c>
      <c r="Y301" s="29">
        <f t="shared" si="14"/>
        <v>11</v>
      </c>
      <c r="Z301" s="41" t="e" cm="1">
        <f t="array" aca="1" ref="Z301" ca="1">_xlfn.IFS(Y301&lt;=5, "On time", AND(Y301&gt;5, Y301&lt;&gt;" "), "Delayed", Y301=" ", "pending" )</f>
        <v>#NAME?</v>
      </c>
    </row>
    <row r="302" spans="1:26">
      <c r="A302" s="3" t="s">
        <v>1399</v>
      </c>
      <c r="B302" s="4" t="s">
        <v>331</v>
      </c>
      <c r="C302" s="4" t="s">
        <v>263</v>
      </c>
      <c r="D302" s="4" t="s">
        <v>1324</v>
      </c>
      <c r="E302" s="4" t="s">
        <v>940</v>
      </c>
      <c r="F302" s="4" t="s">
        <v>398</v>
      </c>
      <c r="G302" s="4" t="s">
        <v>80</v>
      </c>
      <c r="H302" s="31"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c r="W302" s="40" t="str">
        <f t="shared" si="12"/>
        <v>Amit Sharma</v>
      </c>
      <c r="X302" s="35">
        <f t="shared" ca="1" si="13"/>
        <v>39</v>
      </c>
      <c r="Y302" s="29">
        <f t="shared" si="14"/>
        <v>10</v>
      </c>
      <c r="Z302" s="41" t="e" cm="1">
        <f t="array" aca="1" ref="Z302" ca="1">_xlfn.IFS(Y302&lt;=5, "On time", AND(Y302&gt;5, Y302&lt;&gt;" "), "Delayed", Y302=" ", "pending" )</f>
        <v>#NAME?</v>
      </c>
    </row>
    <row r="303" spans="1:26">
      <c r="A303" s="7" t="s">
        <v>1402</v>
      </c>
      <c r="B303" s="8" t="s">
        <v>131</v>
      </c>
      <c r="C303" s="8" t="s">
        <v>58</v>
      </c>
      <c r="D303" s="8" t="s">
        <v>715</v>
      </c>
      <c r="E303" s="8" t="s">
        <v>1203</v>
      </c>
      <c r="F303" s="8" t="s">
        <v>204</v>
      </c>
      <c r="G303" s="8" t="s">
        <v>80</v>
      </c>
      <c r="H303" s="32"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c r="W303" s="40" t="str">
        <f t="shared" si="12"/>
        <v>Rohit Singh</v>
      </c>
      <c r="X303" s="35">
        <f t="shared" ca="1" si="13"/>
        <v>50</v>
      </c>
      <c r="Y303" s="29">
        <f t="shared" si="14"/>
        <v>3</v>
      </c>
      <c r="Z303" s="41" t="e" cm="1">
        <f t="array" aca="1" ref="Z303" ca="1">_xlfn.IFS(Y303&lt;=5, "On time", AND(Y303&gt;5, Y303&lt;&gt;" "), "Delayed", Y303=" ", "pending" )</f>
        <v>#NAME?</v>
      </c>
    </row>
    <row r="304" spans="1:26">
      <c r="A304" s="3" t="s">
        <v>1405</v>
      </c>
      <c r="B304" s="4" t="s">
        <v>255</v>
      </c>
      <c r="C304" s="4" t="s">
        <v>58</v>
      </c>
      <c r="D304" s="4" t="s">
        <v>834</v>
      </c>
      <c r="E304" s="4" t="s">
        <v>385</v>
      </c>
      <c r="F304" s="4" t="s">
        <v>258</v>
      </c>
      <c r="G304" s="4" t="s">
        <v>32</v>
      </c>
      <c r="H304" s="31"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c r="W304" s="40" t="str">
        <f t="shared" si="12"/>
        <v>Sneha Joshi</v>
      </c>
      <c r="X304" s="35">
        <f t="shared" ca="1" si="13"/>
        <v>45</v>
      </c>
      <c r="Y304" s="29">
        <f t="shared" si="14"/>
        <v>4</v>
      </c>
      <c r="Z304" s="41" t="e" cm="1">
        <f t="array" aca="1" ref="Z304" ca="1">_xlfn.IFS(Y304&lt;=5, "On time", AND(Y304&gt;5, Y304&lt;&gt;" "), "Delayed", Y304=" ", "pending" )</f>
        <v>#NAME?</v>
      </c>
    </row>
    <row r="305" spans="1:26">
      <c r="A305" s="7" t="s">
        <v>1408</v>
      </c>
      <c r="B305" s="8" t="s">
        <v>27</v>
      </c>
      <c r="C305" s="8" t="s">
        <v>96</v>
      </c>
      <c r="D305" s="8" t="s">
        <v>1409</v>
      </c>
      <c r="E305" s="8" t="s">
        <v>720</v>
      </c>
      <c r="F305" s="8" t="s">
        <v>31</v>
      </c>
      <c r="G305" s="8" t="s">
        <v>32</v>
      </c>
      <c r="H305" s="32"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c r="W305" s="40" t="str">
        <f t="shared" si="12"/>
        <v>Kavya Nair</v>
      </c>
      <c r="X305" s="35">
        <f t="shared" ca="1" si="13"/>
        <v>37</v>
      </c>
      <c r="Y305" s="29">
        <f t="shared" si="14"/>
        <v>3</v>
      </c>
      <c r="Z305" s="41" t="e" cm="1">
        <f t="array" aca="1" ref="Z305" ca="1">_xlfn.IFS(Y305&lt;=5, "On time", AND(Y305&gt;5, Y305&lt;&gt;" "), "Delayed", Y305=" ", "pending" )</f>
        <v>#NAME?</v>
      </c>
    </row>
    <row r="306" spans="1:26">
      <c r="A306" s="3" t="s">
        <v>1412</v>
      </c>
      <c r="B306" s="4" t="s">
        <v>225</v>
      </c>
      <c r="C306" s="4" t="s">
        <v>76</v>
      </c>
      <c r="D306" s="4" t="s">
        <v>1413</v>
      </c>
      <c r="E306" s="4" t="s">
        <v>418</v>
      </c>
      <c r="F306" s="4" t="s">
        <v>229</v>
      </c>
      <c r="G306" s="4" t="s">
        <v>80</v>
      </c>
      <c r="H306" s="31"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c r="W306" s="40" t="str">
        <f t="shared" si="12"/>
        <v>Vikas Mehta</v>
      </c>
      <c r="X306" s="35">
        <f t="shared" ca="1" si="13"/>
        <v>27</v>
      </c>
      <c r="Y306" s="29">
        <f t="shared" si="14"/>
        <v>4</v>
      </c>
      <c r="Z306" s="41" t="e" cm="1">
        <f t="array" aca="1" ref="Z306" ca="1">_xlfn.IFS(Y306&lt;=5, "On time", AND(Y306&gt;5, Y306&lt;&gt;" "), "Delayed", Y306=" ", "pending" )</f>
        <v>#NAME?</v>
      </c>
    </row>
    <row r="307" spans="1:26">
      <c r="A307" s="7" t="s">
        <v>1416</v>
      </c>
      <c r="B307" s="8" t="s">
        <v>27</v>
      </c>
      <c r="C307" s="8" t="s">
        <v>28</v>
      </c>
      <c r="D307" s="8" t="s">
        <v>454</v>
      </c>
      <c r="E307" s="8" t="s">
        <v>740</v>
      </c>
      <c r="F307" s="8" t="s">
        <v>31</v>
      </c>
      <c r="G307" s="8" t="s">
        <v>32</v>
      </c>
      <c r="H307" s="32"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c r="W307" s="40" t="str">
        <f t="shared" si="12"/>
        <v>Kavya Nair</v>
      </c>
      <c r="X307" s="35">
        <f t="shared" ca="1" si="13"/>
        <v>25</v>
      </c>
      <c r="Y307" s="29">
        <f t="shared" si="14"/>
        <v>8</v>
      </c>
      <c r="Z307" s="41" t="e" cm="1">
        <f t="array" aca="1" ref="Z307" ca="1">_xlfn.IFS(Y307&lt;=5, "On time", AND(Y307&gt;5, Y307&lt;&gt;" "), "Delayed", Y307=" ", "pending" )</f>
        <v>#NAME?</v>
      </c>
    </row>
    <row r="308" spans="1:26">
      <c r="A308" s="3" t="s">
        <v>1419</v>
      </c>
      <c r="B308" s="4" t="s">
        <v>255</v>
      </c>
      <c r="C308" s="4" t="s">
        <v>188</v>
      </c>
      <c r="D308" s="4" t="s">
        <v>991</v>
      </c>
      <c r="E308" s="4" t="s">
        <v>391</v>
      </c>
      <c r="F308" s="4" t="s">
        <v>258</v>
      </c>
      <c r="G308" s="4" t="s">
        <v>32</v>
      </c>
      <c r="H308" s="31"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c r="W308" s="40" t="str">
        <f t="shared" si="12"/>
        <v>Sneha Joshi</v>
      </c>
      <c r="X308" s="35">
        <f t="shared" ca="1" si="13"/>
        <v>34</v>
      </c>
      <c r="Y308" s="29">
        <f t="shared" si="14"/>
        <v>10</v>
      </c>
      <c r="Z308" s="41" t="e" cm="1">
        <f t="array" aca="1" ref="Z308" ca="1">_xlfn.IFS(Y308&lt;=5, "On time", AND(Y308&gt;5, Y308&lt;&gt;" "), "Delayed", Y308=" ", "pending" )</f>
        <v>#NAME?</v>
      </c>
    </row>
    <row r="309" spans="1:26">
      <c r="A309" s="7" t="s">
        <v>1421</v>
      </c>
      <c r="B309" s="8" t="s">
        <v>255</v>
      </c>
      <c r="C309" s="8" t="s">
        <v>173</v>
      </c>
      <c r="D309" s="8" t="s">
        <v>376</v>
      </c>
      <c r="E309" s="8" t="s">
        <v>250</v>
      </c>
      <c r="F309" s="8" t="s">
        <v>258</v>
      </c>
      <c r="G309" s="8" t="s">
        <v>32</v>
      </c>
      <c r="H309" s="32"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c r="W309" s="40" t="str">
        <f t="shared" si="12"/>
        <v>Sneha Joshi</v>
      </c>
      <c r="X309" s="35">
        <f t="shared" ca="1" si="13"/>
        <v>49</v>
      </c>
      <c r="Y309" s="29">
        <f t="shared" si="14"/>
        <v>11</v>
      </c>
      <c r="Z309" s="41" t="e" cm="1">
        <f t="array" aca="1" ref="Z309" ca="1">_xlfn.IFS(Y309&lt;=5, "On time", AND(Y309&gt;5, Y309&lt;&gt;" "), "Delayed", Y309=" ", "pending" )</f>
        <v>#NAME?</v>
      </c>
    </row>
    <row r="310" spans="1:26">
      <c r="A310" s="3" t="s">
        <v>1423</v>
      </c>
      <c r="B310" s="4" t="s">
        <v>57</v>
      </c>
      <c r="C310" s="4" t="s">
        <v>96</v>
      </c>
      <c r="D310" s="4" t="s">
        <v>945</v>
      </c>
      <c r="E310" s="4" t="s">
        <v>349</v>
      </c>
      <c r="F310" s="4" t="s">
        <v>167</v>
      </c>
      <c r="G310" s="4" t="s">
        <v>32</v>
      </c>
      <c r="H310" s="31"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c r="W310" s="40" t="str">
        <f t="shared" si="12"/>
        <v>Pooja Shah</v>
      </c>
      <c r="X310" s="35">
        <f t="shared" ca="1" si="13"/>
        <v>39</v>
      </c>
      <c r="Y310" s="29">
        <f t="shared" si="14"/>
        <v>5</v>
      </c>
      <c r="Z310" s="41" t="e" cm="1">
        <f t="array" aca="1" ref="Z310" ca="1">_xlfn.IFS(Y310&lt;=5, "On time", AND(Y310&gt;5, Y310&lt;&gt;" "), "Delayed", Y310=" ", "pending" )</f>
        <v>#NAME?</v>
      </c>
    </row>
    <row r="311" spans="1:26">
      <c r="A311" s="7" t="s">
        <v>1426</v>
      </c>
      <c r="B311" s="8" t="s">
        <v>75</v>
      </c>
      <c r="C311" s="8" t="s">
        <v>44</v>
      </c>
      <c r="D311" s="8" t="s">
        <v>1382</v>
      </c>
      <c r="E311" s="8" t="s">
        <v>787</v>
      </c>
      <c r="F311" s="8" t="s">
        <v>221</v>
      </c>
      <c r="G311" s="8" t="s">
        <v>80</v>
      </c>
      <c r="H311" s="32"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c r="W311" s="40" t="str">
        <f t="shared" si="12"/>
        <v>Mohit Verma</v>
      </c>
      <c r="X311" s="35">
        <f t="shared" ca="1" si="13"/>
        <v>36</v>
      </c>
      <c r="Y311" s="29">
        <f t="shared" si="14"/>
        <v>12</v>
      </c>
      <c r="Z311" s="41" t="e" cm="1">
        <f t="array" aca="1" ref="Z311" ca="1">_xlfn.IFS(Y311&lt;=5, "On time", AND(Y311&gt;5, Y311&lt;&gt;" "), "Delayed", Y311=" ", "pending" )</f>
        <v>#NAME?</v>
      </c>
    </row>
    <row r="312" spans="1:26">
      <c r="A312" s="3" t="s">
        <v>1429</v>
      </c>
      <c r="B312" s="4" t="s">
        <v>225</v>
      </c>
      <c r="C312" s="4" t="s">
        <v>226</v>
      </c>
      <c r="D312" s="4" t="s">
        <v>344</v>
      </c>
      <c r="E312" s="4" t="s">
        <v>1430</v>
      </c>
      <c r="F312" s="4" t="s">
        <v>229</v>
      </c>
      <c r="G312" s="4" t="s">
        <v>80</v>
      </c>
      <c r="H312" s="31"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c r="W312" s="40" t="str">
        <f t="shared" si="12"/>
        <v>Vikas Mehta</v>
      </c>
      <c r="X312" s="35">
        <f t="shared" ca="1" si="13"/>
        <v>35</v>
      </c>
      <c r="Y312" s="29">
        <f t="shared" si="14"/>
        <v>3</v>
      </c>
      <c r="Z312" s="41" t="e" cm="1">
        <f t="array" aca="1" ref="Z312" ca="1">_xlfn.IFS(Y312&lt;=5, "On time", AND(Y312&gt;5, Y312&lt;&gt;" "), "Delayed", Y312=" ", "pending" )</f>
        <v>#NAME?</v>
      </c>
    </row>
    <row r="313" spans="1:26">
      <c r="A313" s="7" t="s">
        <v>1433</v>
      </c>
      <c r="B313" s="8" t="s">
        <v>104</v>
      </c>
      <c r="C313" s="8" t="s">
        <v>44</v>
      </c>
      <c r="D313" s="8" t="s">
        <v>720</v>
      </c>
      <c r="E313" s="8" t="s">
        <v>1434</v>
      </c>
      <c r="F313" s="8" t="s">
        <v>107</v>
      </c>
      <c r="G313" s="8" t="s">
        <v>32</v>
      </c>
      <c r="H313" s="32"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c r="W313" s="40" t="str">
        <f t="shared" si="12"/>
        <v>Priya Patel</v>
      </c>
      <c r="X313" s="35">
        <f t="shared" ca="1" si="13"/>
        <v>36</v>
      </c>
      <c r="Y313" s="29">
        <f t="shared" si="14"/>
        <v>2</v>
      </c>
      <c r="Z313" s="41" t="e" cm="1">
        <f t="array" aca="1" ref="Z313" ca="1">_xlfn.IFS(Y313&lt;=5, "On time", AND(Y313&gt;5, Y313&lt;&gt;" "), "Delayed", Y313=" ", "pending" )</f>
        <v>#NAME?</v>
      </c>
    </row>
    <row r="314" spans="1:26">
      <c r="A314" s="3" t="s">
        <v>1437</v>
      </c>
      <c r="B314" s="4" t="s">
        <v>57</v>
      </c>
      <c r="C314" s="4" t="s">
        <v>122</v>
      </c>
      <c r="D314" s="4" t="s">
        <v>402</v>
      </c>
      <c r="E314" s="4" t="s">
        <v>744</v>
      </c>
      <c r="F314" s="4" t="s">
        <v>167</v>
      </c>
      <c r="G314" s="4" t="s">
        <v>32</v>
      </c>
      <c r="H314" s="31"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c r="W314" s="40" t="str">
        <f t="shared" si="12"/>
        <v>Pooja Shah</v>
      </c>
      <c r="X314" s="35">
        <f t="shared" ca="1" si="13"/>
        <v>23</v>
      </c>
      <c r="Y314" s="29">
        <f t="shared" si="14"/>
        <v>11</v>
      </c>
      <c r="Z314" s="41" t="e" cm="1">
        <f t="array" aca="1" ref="Z314" ca="1">_xlfn.IFS(Y314&lt;=5, "On time", AND(Y314&gt;5, Y314&lt;&gt;" "), "Delayed", Y314=" ", "pending" )</f>
        <v>#NAME?</v>
      </c>
    </row>
    <row r="315" spans="1:26">
      <c r="A315" s="7" t="s">
        <v>1440</v>
      </c>
      <c r="B315" s="8" t="s">
        <v>75</v>
      </c>
      <c r="C315" s="8" t="s">
        <v>58</v>
      </c>
      <c r="D315" s="8" t="s">
        <v>1441</v>
      </c>
      <c r="E315" s="8" t="s">
        <v>1298</v>
      </c>
      <c r="F315" s="8" t="s">
        <v>221</v>
      </c>
      <c r="G315" s="8" t="s">
        <v>80</v>
      </c>
      <c r="H315" s="32"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c r="W315" s="40" t="str">
        <f t="shared" si="12"/>
        <v>Mohit Verma</v>
      </c>
      <c r="X315" s="35">
        <f t="shared" ca="1" si="13"/>
        <v>30</v>
      </c>
      <c r="Y315" s="29">
        <f t="shared" si="14"/>
        <v>11</v>
      </c>
      <c r="Z315" s="41" t="e" cm="1">
        <f t="array" aca="1" ref="Z315" ca="1">_xlfn.IFS(Y315&lt;=5, "On time", AND(Y315&gt;5, Y315&lt;&gt;" "), "Delayed", Y315=" ", "pending" )</f>
        <v>#NAME?</v>
      </c>
    </row>
    <row r="316" spans="1:26">
      <c r="A316" s="3" t="s">
        <v>1444</v>
      </c>
      <c r="B316" s="4" t="s">
        <v>104</v>
      </c>
      <c r="C316" s="4" t="s">
        <v>76</v>
      </c>
      <c r="D316" s="4" t="s">
        <v>801</v>
      </c>
      <c r="E316" s="4" t="s">
        <v>802</v>
      </c>
      <c r="F316" s="4" t="s">
        <v>107</v>
      </c>
      <c r="G316" s="4" t="s">
        <v>32</v>
      </c>
      <c r="H316" s="31"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c r="W316" s="40" t="str">
        <f t="shared" si="12"/>
        <v>Priya Patel</v>
      </c>
      <c r="X316" s="35">
        <f t="shared" ca="1" si="13"/>
        <v>36</v>
      </c>
      <c r="Y316" s="29">
        <f t="shared" si="14"/>
        <v>3</v>
      </c>
      <c r="Z316" s="41" t="e" cm="1">
        <f t="array" aca="1" ref="Z316" ca="1">_xlfn.IFS(Y316&lt;=5, "On time", AND(Y316&gt;5, Y316&lt;&gt;" "), "Delayed", Y316=" ", "pending" )</f>
        <v>#NAME?</v>
      </c>
    </row>
    <row r="317" spans="1:26">
      <c r="A317" s="7" t="s">
        <v>1447</v>
      </c>
      <c r="B317" s="8" t="s">
        <v>87</v>
      </c>
      <c r="C317" s="8" t="s">
        <v>44</v>
      </c>
      <c r="D317" s="8" t="s">
        <v>965</v>
      </c>
      <c r="E317" s="8" t="s">
        <v>1448</v>
      </c>
      <c r="F317" s="8" t="s">
        <v>184</v>
      </c>
      <c r="G317" s="8" t="s">
        <v>80</v>
      </c>
      <c r="H317" s="32"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c r="W317" s="40" t="str">
        <f t="shared" si="12"/>
        <v>Arjun Rao</v>
      </c>
      <c r="X317" s="35">
        <f t="shared" ca="1" si="13"/>
        <v>38</v>
      </c>
      <c r="Y317" s="29">
        <f t="shared" si="14"/>
        <v>4</v>
      </c>
      <c r="Z317" s="41" t="e" cm="1">
        <f t="array" aca="1" ref="Z317" ca="1">_xlfn.IFS(Y317&lt;=5, "On time", AND(Y317&gt;5, Y317&lt;&gt;" "), "Delayed", Y317=" ", "pending" )</f>
        <v>#NAME?</v>
      </c>
    </row>
    <row r="318" spans="1:26">
      <c r="A318" s="3" t="s">
        <v>1451</v>
      </c>
      <c r="B318" s="4" t="s">
        <v>87</v>
      </c>
      <c r="C318" s="4" t="s">
        <v>226</v>
      </c>
      <c r="D318" s="4" t="s">
        <v>360</v>
      </c>
      <c r="E318" s="4" t="s">
        <v>521</v>
      </c>
      <c r="F318" s="4" t="s">
        <v>184</v>
      </c>
      <c r="G318" s="4" t="s">
        <v>80</v>
      </c>
      <c r="H318" s="31"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c r="W318" s="40" t="str">
        <f t="shared" si="12"/>
        <v>Arjun Rao</v>
      </c>
      <c r="X318" s="35">
        <f t="shared" ca="1" si="13"/>
        <v>47</v>
      </c>
      <c r="Y318" s="29">
        <f t="shared" si="14"/>
        <v>6</v>
      </c>
      <c r="Z318" s="41" t="e" cm="1">
        <f t="array" aca="1" ref="Z318" ca="1">_xlfn.IFS(Y318&lt;=5, "On time", AND(Y318&gt;5, Y318&lt;&gt;" "), "Delayed", Y318=" ", "pending" )</f>
        <v>#NAME?</v>
      </c>
    </row>
    <row r="319" spans="1:26">
      <c r="A319" s="7" t="s">
        <v>1454</v>
      </c>
      <c r="B319" s="8" t="s">
        <v>172</v>
      </c>
      <c r="C319" s="8" t="s">
        <v>28</v>
      </c>
      <c r="D319" s="8" t="s">
        <v>295</v>
      </c>
      <c r="E319" s="8" t="s">
        <v>1455</v>
      </c>
      <c r="F319" s="8" t="s">
        <v>365</v>
      </c>
      <c r="G319" s="8" t="s">
        <v>32</v>
      </c>
      <c r="H319" s="32"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c r="W319" s="40" t="str">
        <f t="shared" si="12"/>
        <v>Anita Gupta</v>
      </c>
      <c r="X319" s="35">
        <f t="shared" ca="1" si="13"/>
        <v>36</v>
      </c>
      <c r="Y319" s="29">
        <f t="shared" si="14"/>
        <v>3</v>
      </c>
      <c r="Z319" s="41" t="e" cm="1">
        <f t="array" aca="1" ref="Z319" ca="1">_xlfn.IFS(Y319&lt;=5, "On time", AND(Y319&gt;5, Y319&lt;&gt;" "), "Delayed", Y319=" ", "pending" )</f>
        <v>#NAME?</v>
      </c>
    </row>
    <row r="320" spans="1:26">
      <c r="A320" s="3" t="s">
        <v>1458</v>
      </c>
      <c r="B320" s="4" t="s">
        <v>104</v>
      </c>
      <c r="C320" s="4" t="s">
        <v>122</v>
      </c>
      <c r="D320" s="4" t="s">
        <v>1373</v>
      </c>
      <c r="E320" s="4" t="s">
        <v>182</v>
      </c>
      <c r="F320" s="4" t="s">
        <v>107</v>
      </c>
      <c r="G320" s="4" t="s">
        <v>32</v>
      </c>
      <c r="H320" s="31"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c r="W320" s="40" t="str">
        <f t="shared" si="12"/>
        <v>Priya Patel</v>
      </c>
      <c r="X320" s="35">
        <f t="shared" ca="1" si="13"/>
        <v>31</v>
      </c>
      <c r="Y320" s="29">
        <f t="shared" si="14"/>
        <v>4</v>
      </c>
      <c r="Z320" s="41" t="e" cm="1">
        <f t="array" aca="1" ref="Z320" ca="1">_xlfn.IFS(Y320&lt;=5, "On time", AND(Y320&gt;5, Y320&lt;&gt;" "), "Delayed", Y320=" ", "pending" )</f>
        <v>#NAME?</v>
      </c>
    </row>
    <row r="321" spans="1:26">
      <c r="A321" s="7" t="s">
        <v>1461</v>
      </c>
      <c r="B321" s="8" t="s">
        <v>225</v>
      </c>
      <c r="C321" s="8" t="s">
        <v>263</v>
      </c>
      <c r="D321" s="8" t="s">
        <v>829</v>
      </c>
      <c r="E321" s="8" t="s">
        <v>123</v>
      </c>
      <c r="F321" s="8" t="s">
        <v>229</v>
      </c>
      <c r="G321" s="8" t="s">
        <v>80</v>
      </c>
      <c r="H321" s="32"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c r="W321" s="40" t="str">
        <f t="shared" si="12"/>
        <v>Vikas Mehta</v>
      </c>
      <c r="X321" s="35">
        <f t="shared" ca="1" si="13"/>
        <v>31</v>
      </c>
      <c r="Y321" s="29">
        <f t="shared" si="14"/>
        <v>2</v>
      </c>
      <c r="Z321" s="41" t="e" cm="1">
        <f t="array" aca="1" ref="Z321" ca="1">_xlfn.IFS(Y321&lt;=5, "On time", AND(Y321&gt;5, Y321&lt;&gt;" "), "Delayed", Y321=" ", "pending" )</f>
        <v>#NAME?</v>
      </c>
    </row>
    <row r="322" spans="1:26">
      <c r="A322" s="3" t="s">
        <v>1464</v>
      </c>
      <c r="B322" s="4" t="s">
        <v>331</v>
      </c>
      <c r="C322" s="4" t="s">
        <v>188</v>
      </c>
      <c r="D322" s="4" t="s">
        <v>636</v>
      </c>
      <c r="E322" s="4" t="s">
        <v>1465</v>
      </c>
      <c r="F322" s="4" t="s">
        <v>398</v>
      </c>
      <c r="G322" s="4" t="s">
        <v>80</v>
      </c>
      <c r="H322" s="31"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c r="W322" s="40" t="str">
        <f t="shared" ref="W322:W385" si="15">PROPER(TRIM(F322))</f>
        <v>Amit Sharma</v>
      </c>
      <c r="X322" s="35">
        <f t="shared" ca="1" si="13"/>
        <v>30</v>
      </c>
      <c r="Y322" s="29">
        <f t="shared" si="14"/>
        <v>11</v>
      </c>
      <c r="Z322" s="41" t="e" cm="1">
        <f t="array" aca="1" ref="Z322" ca="1">_xlfn.IFS(Y322&lt;=5, "On time", AND(Y322&gt;5, Y322&lt;&gt;" "), "Delayed", Y322=" ", "pending" )</f>
        <v>#NAME?</v>
      </c>
    </row>
    <row r="323" spans="1:26">
      <c r="A323" s="7" t="s">
        <v>1468</v>
      </c>
      <c r="B323" s="8" t="s">
        <v>87</v>
      </c>
      <c r="C323" s="8" t="s">
        <v>76</v>
      </c>
      <c r="D323" s="8" t="s">
        <v>1469</v>
      </c>
      <c r="E323" s="8" t="s">
        <v>952</v>
      </c>
      <c r="F323" s="8" t="s">
        <v>184</v>
      </c>
      <c r="G323" s="8" t="s">
        <v>80</v>
      </c>
      <c r="H323" s="32"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c r="W323" s="40" t="str">
        <f t="shared" si="15"/>
        <v>Arjun Rao</v>
      </c>
      <c r="X323" s="35">
        <f t="shared" ref="X323:X386" ca="1" si="16">IFERROR(DATEDIF(H323, TODAY(), "y"), " ")</f>
        <v>44</v>
      </c>
      <c r="Y323" s="29">
        <f t="shared" ref="Y323:Y386" si="17">IFERROR(DATEDIF(D323, E323, "D"), " ")</f>
        <v>11</v>
      </c>
      <c r="Z323" s="41" t="e" cm="1">
        <f t="array" aca="1" ref="Z323" ca="1">_xlfn.IFS(Y323&lt;=5, "On time", AND(Y323&gt;5, Y323&lt;&gt;" "), "Delayed", Y323=" ", "pending" )</f>
        <v>#NAME?</v>
      </c>
    </row>
    <row r="324" spans="1:26">
      <c r="A324" s="3" t="s">
        <v>1472</v>
      </c>
      <c r="B324" s="4" t="s">
        <v>27</v>
      </c>
      <c r="C324" s="4" t="s">
        <v>76</v>
      </c>
      <c r="D324" s="4" t="s">
        <v>493</v>
      </c>
      <c r="E324" s="4" t="s">
        <v>918</v>
      </c>
      <c r="F324" s="4" t="s">
        <v>31</v>
      </c>
      <c r="G324" s="4" t="s">
        <v>32</v>
      </c>
      <c r="H324" s="31"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c r="W324" s="40" t="str">
        <f t="shared" si="15"/>
        <v>Kavya Nair</v>
      </c>
      <c r="X324" s="35">
        <f t="shared" ca="1" si="16"/>
        <v>24</v>
      </c>
      <c r="Y324" s="29">
        <f t="shared" si="17"/>
        <v>9</v>
      </c>
      <c r="Z324" s="41" t="e" cm="1">
        <f t="array" aca="1" ref="Z324" ca="1">_xlfn.IFS(Y324&lt;=5, "On time", AND(Y324&gt;5, Y324&lt;&gt;" "), "Delayed", Y324=" ", "pending" )</f>
        <v>#NAME?</v>
      </c>
    </row>
    <row r="325" spans="1:26">
      <c r="A325" s="7" t="s">
        <v>1475</v>
      </c>
      <c r="B325" s="8" t="s">
        <v>255</v>
      </c>
      <c r="C325" s="8" t="s">
        <v>226</v>
      </c>
      <c r="D325" s="8" t="s">
        <v>228</v>
      </c>
      <c r="E325" s="8" t="s">
        <v>364</v>
      </c>
      <c r="F325" s="8" t="s">
        <v>258</v>
      </c>
      <c r="G325" s="8" t="s">
        <v>32</v>
      </c>
      <c r="H325" s="32"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c r="W325" s="40" t="str">
        <f t="shared" si="15"/>
        <v>Sneha Joshi</v>
      </c>
      <c r="X325" s="35">
        <f t="shared" ca="1" si="16"/>
        <v>37</v>
      </c>
      <c r="Y325" s="29">
        <f t="shared" si="17"/>
        <v>1</v>
      </c>
      <c r="Z325" s="41" t="e" cm="1">
        <f t="array" aca="1" ref="Z325" ca="1">_xlfn.IFS(Y325&lt;=5, "On time", AND(Y325&gt;5, Y325&lt;&gt;" "), "Delayed", Y325=" ", "pending" )</f>
        <v>#NAME?</v>
      </c>
    </row>
    <row r="326" spans="1:26">
      <c r="A326" s="3" t="s">
        <v>1478</v>
      </c>
      <c r="B326" s="4" t="s">
        <v>255</v>
      </c>
      <c r="C326" s="4" t="s">
        <v>28</v>
      </c>
      <c r="D326" s="4" t="s">
        <v>1479</v>
      </c>
      <c r="E326" s="4" t="s">
        <v>1480</v>
      </c>
      <c r="F326" s="4" t="s">
        <v>258</v>
      </c>
      <c r="G326" s="4" t="s">
        <v>32</v>
      </c>
      <c r="H326" s="31"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c r="W326" s="40" t="str">
        <f t="shared" si="15"/>
        <v>Sneha Joshi</v>
      </c>
      <c r="X326" s="35">
        <f t="shared" ca="1" si="16"/>
        <v>40</v>
      </c>
      <c r="Y326" s="29">
        <f t="shared" si="17"/>
        <v>11</v>
      </c>
      <c r="Z326" s="41" t="e" cm="1">
        <f t="array" aca="1" ref="Z326" ca="1">_xlfn.IFS(Y326&lt;=5, "On time", AND(Y326&gt;5, Y326&lt;&gt;" "), "Delayed", Y326=" ", "pending" )</f>
        <v>#NAME?</v>
      </c>
    </row>
    <row r="327" spans="1:26">
      <c r="A327" s="7" t="s">
        <v>1483</v>
      </c>
      <c r="B327" s="8" t="s">
        <v>255</v>
      </c>
      <c r="C327" s="8" t="s">
        <v>188</v>
      </c>
      <c r="D327" s="8" t="s">
        <v>302</v>
      </c>
      <c r="E327" s="8" t="s">
        <v>1484</v>
      </c>
      <c r="F327" s="8" t="s">
        <v>258</v>
      </c>
      <c r="G327" s="8" t="s">
        <v>32</v>
      </c>
      <c r="H327" s="32"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c r="W327" s="40" t="str">
        <f t="shared" si="15"/>
        <v>Sneha Joshi</v>
      </c>
      <c r="X327" s="35">
        <f t="shared" ca="1" si="16"/>
        <v>46</v>
      </c>
      <c r="Y327" s="29">
        <f t="shared" si="17"/>
        <v>4</v>
      </c>
      <c r="Z327" s="41" t="e" cm="1">
        <f t="array" aca="1" ref="Z327" ca="1">_xlfn.IFS(Y327&lt;=5, "On time", AND(Y327&gt;5, Y327&lt;&gt;" "), "Delayed", Y327=" ", "pending" )</f>
        <v>#NAME?</v>
      </c>
    </row>
    <row r="328" spans="1:26">
      <c r="A328" s="3" t="s">
        <v>1487</v>
      </c>
      <c r="B328" s="4" t="s">
        <v>87</v>
      </c>
      <c r="C328" s="4" t="s">
        <v>188</v>
      </c>
      <c r="D328" s="4" t="s">
        <v>1488</v>
      </c>
      <c r="E328" s="4" t="s">
        <v>1489</v>
      </c>
      <c r="F328" s="4" t="s">
        <v>184</v>
      </c>
      <c r="G328" s="4" t="s">
        <v>80</v>
      </c>
      <c r="H328" s="31"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c r="W328" s="40" t="str">
        <f t="shared" si="15"/>
        <v>Arjun Rao</v>
      </c>
      <c r="X328" s="35">
        <f t="shared" ca="1" si="16"/>
        <v>48</v>
      </c>
      <c r="Y328" s="29">
        <f t="shared" si="17"/>
        <v>3</v>
      </c>
      <c r="Z328" s="41" t="e" cm="1">
        <f t="array" aca="1" ref="Z328" ca="1">_xlfn.IFS(Y328&lt;=5, "On time", AND(Y328&gt;5, Y328&lt;&gt;" "), "Delayed", Y328=" ", "pending" )</f>
        <v>#NAME?</v>
      </c>
    </row>
    <row r="329" spans="1:26">
      <c r="A329" s="7" t="s">
        <v>1492</v>
      </c>
      <c r="B329" s="8" t="s">
        <v>225</v>
      </c>
      <c r="C329" s="8" t="s">
        <v>96</v>
      </c>
      <c r="D329" s="8" t="s">
        <v>876</v>
      </c>
      <c r="E329" s="8" t="s">
        <v>969</v>
      </c>
      <c r="F329" s="8" t="s">
        <v>229</v>
      </c>
      <c r="G329" s="8" t="s">
        <v>80</v>
      </c>
      <c r="H329" s="32"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c r="W329" s="40" t="str">
        <f t="shared" si="15"/>
        <v>Vikas Mehta</v>
      </c>
      <c r="X329" s="35">
        <f t="shared" ca="1" si="16"/>
        <v>33</v>
      </c>
      <c r="Y329" s="29">
        <f t="shared" si="17"/>
        <v>9</v>
      </c>
      <c r="Z329" s="41" t="e" cm="1">
        <f t="array" aca="1" ref="Z329" ca="1">_xlfn.IFS(Y329&lt;=5, "On time", AND(Y329&gt;5, Y329&lt;&gt;" "), "Delayed", Y329=" ", "pending" )</f>
        <v>#NAME?</v>
      </c>
    </row>
    <row r="330" spans="1:26">
      <c r="A330" s="3" t="s">
        <v>1495</v>
      </c>
      <c r="B330" s="4" t="s">
        <v>172</v>
      </c>
      <c r="C330" s="4" t="s">
        <v>96</v>
      </c>
      <c r="D330" s="4" t="s">
        <v>833</v>
      </c>
      <c r="E330" s="4" t="s">
        <v>760</v>
      </c>
      <c r="F330" s="4" t="s">
        <v>365</v>
      </c>
      <c r="G330" s="4" t="s">
        <v>32</v>
      </c>
      <c r="H330" s="31"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c r="W330" s="40" t="str">
        <f t="shared" si="15"/>
        <v>Anita Gupta</v>
      </c>
      <c r="X330" s="35">
        <f t="shared" ca="1" si="16"/>
        <v>21</v>
      </c>
      <c r="Y330" s="29">
        <f t="shared" si="17"/>
        <v>10</v>
      </c>
      <c r="Z330" s="41" t="e" cm="1">
        <f t="array" aca="1" ref="Z330" ca="1">_xlfn.IFS(Y330&lt;=5, "On time", AND(Y330&gt;5, Y330&lt;&gt;" "), "Delayed", Y330=" ", "pending" )</f>
        <v>#NAME?</v>
      </c>
    </row>
    <row r="331" spans="1:26">
      <c r="A331" s="7" t="s">
        <v>1498</v>
      </c>
      <c r="B331" s="8" t="s">
        <v>131</v>
      </c>
      <c r="C331" s="8" t="s">
        <v>188</v>
      </c>
      <c r="D331" s="8" t="s">
        <v>900</v>
      </c>
      <c r="E331" s="8" t="s">
        <v>534</v>
      </c>
      <c r="F331" s="8" t="s">
        <v>204</v>
      </c>
      <c r="G331" s="8" t="s">
        <v>80</v>
      </c>
      <c r="H331" s="32"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c r="W331" s="40" t="str">
        <f t="shared" si="15"/>
        <v>Rohit Singh</v>
      </c>
      <c r="X331" s="35">
        <f t="shared" ca="1" si="16"/>
        <v>23</v>
      </c>
      <c r="Y331" s="29">
        <f t="shared" si="17"/>
        <v>1</v>
      </c>
      <c r="Z331" s="41" t="e" cm="1">
        <f t="array" aca="1" ref="Z331" ca="1">_xlfn.IFS(Y331&lt;=5, "On time", AND(Y331&gt;5, Y331&lt;&gt;" "), "Delayed", Y331=" ", "pending" )</f>
        <v>#NAME?</v>
      </c>
    </row>
    <row r="332" spans="1:26">
      <c r="A332" s="3" t="s">
        <v>1501</v>
      </c>
      <c r="B332" s="4" t="s">
        <v>57</v>
      </c>
      <c r="C332" s="4" t="s">
        <v>76</v>
      </c>
      <c r="D332" s="4" t="s">
        <v>183</v>
      </c>
      <c r="E332" s="4" t="s">
        <v>802</v>
      </c>
      <c r="F332" s="4" t="s">
        <v>167</v>
      </c>
      <c r="G332" s="4" t="s">
        <v>32</v>
      </c>
      <c r="H332" s="31"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c r="W332" s="40" t="str">
        <f t="shared" si="15"/>
        <v>Pooja Shah</v>
      </c>
      <c r="X332" s="35">
        <f t="shared" ca="1" si="16"/>
        <v>33</v>
      </c>
      <c r="Y332" s="29">
        <f t="shared" si="17"/>
        <v>5</v>
      </c>
      <c r="Z332" s="41" t="e" cm="1">
        <f t="array" aca="1" ref="Z332" ca="1">_xlfn.IFS(Y332&lt;=5, "On time", AND(Y332&gt;5, Y332&lt;&gt;" "), "Delayed", Y332=" ", "pending" )</f>
        <v>#NAME?</v>
      </c>
    </row>
    <row r="333" spans="1:26">
      <c r="A333" s="7" t="s">
        <v>1504</v>
      </c>
      <c r="B333" s="8" t="s">
        <v>331</v>
      </c>
      <c r="C333" s="8" t="s">
        <v>44</v>
      </c>
      <c r="D333" s="8" t="s">
        <v>1505</v>
      </c>
      <c r="E333" s="8" t="s">
        <v>1506</v>
      </c>
      <c r="F333" s="8" t="s">
        <v>398</v>
      </c>
      <c r="G333" s="8" t="s">
        <v>80</v>
      </c>
      <c r="H333" s="32"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c r="W333" s="40" t="str">
        <f t="shared" si="15"/>
        <v>Amit Sharma</v>
      </c>
      <c r="X333" s="35">
        <f t="shared" ca="1" si="16"/>
        <v>33</v>
      </c>
      <c r="Y333" s="29">
        <f t="shared" si="17"/>
        <v>12</v>
      </c>
      <c r="Z333" s="41" t="e" cm="1">
        <f t="array" aca="1" ref="Z333" ca="1">_xlfn.IFS(Y333&lt;=5, "On time", AND(Y333&gt;5, Y333&lt;&gt;" "), "Delayed", Y333=" ", "pending" )</f>
        <v>#NAME?</v>
      </c>
    </row>
    <row r="334" spans="1:26">
      <c r="A334" s="3" t="s">
        <v>1509</v>
      </c>
      <c r="B334" s="4" t="s">
        <v>57</v>
      </c>
      <c r="C334" s="4" t="s">
        <v>263</v>
      </c>
      <c r="D334" s="4" t="s">
        <v>1510</v>
      </c>
      <c r="E334" s="4" t="s">
        <v>1511</v>
      </c>
      <c r="F334" s="4" t="s">
        <v>167</v>
      </c>
      <c r="G334" s="4" t="s">
        <v>32</v>
      </c>
      <c r="H334" s="31"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c r="W334" s="40" t="str">
        <f t="shared" si="15"/>
        <v>Pooja Shah</v>
      </c>
      <c r="X334" s="35">
        <f t="shared" ca="1" si="16"/>
        <v>26</v>
      </c>
      <c r="Y334" s="29">
        <f t="shared" si="17"/>
        <v>3</v>
      </c>
      <c r="Z334" s="41" t="e" cm="1">
        <f t="array" aca="1" ref="Z334" ca="1">_xlfn.IFS(Y334&lt;=5, "On time", AND(Y334&gt;5, Y334&lt;&gt;" "), "Delayed", Y334=" ", "pending" )</f>
        <v>#NAME?</v>
      </c>
    </row>
    <row r="335" spans="1:26">
      <c r="A335" s="7" t="s">
        <v>1514</v>
      </c>
      <c r="B335" s="8" t="s">
        <v>27</v>
      </c>
      <c r="C335" s="8" t="s">
        <v>96</v>
      </c>
      <c r="D335" s="8" t="s">
        <v>656</v>
      </c>
      <c r="E335" s="8" t="s">
        <v>670</v>
      </c>
      <c r="F335" s="8" t="s">
        <v>31</v>
      </c>
      <c r="G335" s="8" t="s">
        <v>32</v>
      </c>
      <c r="H335" s="32"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c r="W335" s="40" t="str">
        <f t="shared" si="15"/>
        <v>Kavya Nair</v>
      </c>
      <c r="X335" s="35">
        <f t="shared" ca="1" si="16"/>
        <v>50</v>
      </c>
      <c r="Y335" s="29">
        <f t="shared" si="17"/>
        <v>5</v>
      </c>
      <c r="Z335" s="41" t="e" cm="1">
        <f t="array" aca="1" ref="Z335" ca="1">_xlfn.IFS(Y335&lt;=5, "On time", AND(Y335&gt;5, Y335&lt;&gt;" "), "Delayed", Y335=" ", "pending" )</f>
        <v>#NAME?</v>
      </c>
    </row>
    <row r="336" spans="1:26">
      <c r="A336" s="3" t="s">
        <v>1517</v>
      </c>
      <c r="B336" s="4" t="s">
        <v>27</v>
      </c>
      <c r="C336" s="4" t="s">
        <v>28</v>
      </c>
      <c r="D336" s="4" t="s">
        <v>430</v>
      </c>
      <c r="E336" s="4" t="s">
        <v>1184</v>
      </c>
      <c r="F336" s="4" t="s">
        <v>31</v>
      </c>
      <c r="G336" s="4" t="s">
        <v>32</v>
      </c>
      <c r="H336" s="31"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c r="W336" s="40" t="str">
        <f t="shared" si="15"/>
        <v>Kavya Nair</v>
      </c>
      <c r="X336" s="35">
        <f t="shared" ca="1" si="16"/>
        <v>41</v>
      </c>
      <c r="Y336" s="29">
        <f t="shared" si="17"/>
        <v>3</v>
      </c>
      <c r="Z336" s="41" t="e" cm="1">
        <f t="array" aca="1" ref="Z336" ca="1">_xlfn.IFS(Y336&lt;=5, "On time", AND(Y336&gt;5, Y336&lt;&gt;" "), "Delayed", Y336=" ", "pending" )</f>
        <v>#NAME?</v>
      </c>
    </row>
    <row r="337" spans="1:26">
      <c r="A337" s="7" t="s">
        <v>1520</v>
      </c>
      <c r="B337" s="8" t="s">
        <v>104</v>
      </c>
      <c r="C337" s="8" t="s">
        <v>226</v>
      </c>
      <c r="D337" s="8" t="s">
        <v>190</v>
      </c>
      <c r="E337" s="8" t="s">
        <v>1257</v>
      </c>
      <c r="F337" s="8" t="s">
        <v>107</v>
      </c>
      <c r="G337" s="8" t="s">
        <v>32</v>
      </c>
      <c r="H337" s="32"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c r="W337" s="40" t="str">
        <f t="shared" si="15"/>
        <v>Priya Patel</v>
      </c>
      <c r="X337" s="35">
        <f t="shared" ca="1" si="16"/>
        <v>51</v>
      </c>
      <c r="Y337" s="29">
        <f t="shared" si="17"/>
        <v>8</v>
      </c>
      <c r="Z337" s="41" t="e" cm="1">
        <f t="array" aca="1" ref="Z337" ca="1">_xlfn.IFS(Y337&lt;=5, "On time", AND(Y337&gt;5, Y337&lt;&gt;" "), "Delayed", Y337=" ", "pending" )</f>
        <v>#NAME?</v>
      </c>
    </row>
    <row r="338" spans="1:26">
      <c r="A338" s="3" t="s">
        <v>1523</v>
      </c>
      <c r="B338" s="4" t="s">
        <v>131</v>
      </c>
      <c r="C338" s="4" t="s">
        <v>226</v>
      </c>
      <c r="D338" s="4" t="s">
        <v>302</v>
      </c>
      <c r="E338" s="4" t="s">
        <v>802</v>
      </c>
      <c r="F338" s="4" t="s">
        <v>204</v>
      </c>
      <c r="G338" s="4" t="s">
        <v>80</v>
      </c>
      <c r="H338" s="31"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c r="W338" s="40" t="str">
        <f t="shared" si="15"/>
        <v>Rohit Singh</v>
      </c>
      <c r="X338" s="35">
        <f t="shared" ca="1" si="16"/>
        <v>32</v>
      </c>
      <c r="Y338" s="29">
        <f t="shared" si="17"/>
        <v>2</v>
      </c>
      <c r="Z338" s="41" t="e" cm="1">
        <f t="array" aca="1" ref="Z338" ca="1">_xlfn.IFS(Y338&lt;=5, "On time", AND(Y338&gt;5, Y338&lt;&gt;" "), "Delayed", Y338=" ", "pending" )</f>
        <v>#NAME?</v>
      </c>
    </row>
    <row r="339" spans="1:26">
      <c r="A339" s="7" t="s">
        <v>1526</v>
      </c>
      <c r="B339" s="8" t="s">
        <v>27</v>
      </c>
      <c r="C339" s="8" t="s">
        <v>188</v>
      </c>
      <c r="D339" s="8" t="s">
        <v>1203</v>
      </c>
      <c r="E339" s="8" t="s">
        <v>257</v>
      </c>
      <c r="F339" s="8" t="s">
        <v>31</v>
      </c>
      <c r="G339" s="8" t="s">
        <v>32</v>
      </c>
      <c r="H339" s="32"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c r="W339" s="40" t="str">
        <f t="shared" si="15"/>
        <v>Kavya Nair</v>
      </c>
      <c r="X339" s="35">
        <f t="shared" ca="1" si="16"/>
        <v>42</v>
      </c>
      <c r="Y339" s="29">
        <f t="shared" si="17"/>
        <v>11</v>
      </c>
      <c r="Z339" s="41" t="e" cm="1">
        <f t="array" aca="1" ref="Z339" ca="1">_xlfn.IFS(Y339&lt;=5, "On time", AND(Y339&gt;5, Y339&lt;&gt;" "), "Delayed", Y339=" ", "pending" )</f>
        <v>#NAME?</v>
      </c>
    </row>
    <row r="340" spans="1:26">
      <c r="A340" s="3" t="s">
        <v>1529</v>
      </c>
      <c r="B340" s="4" t="s">
        <v>331</v>
      </c>
      <c r="C340" s="4" t="s">
        <v>96</v>
      </c>
      <c r="D340" s="4" t="s">
        <v>936</v>
      </c>
      <c r="E340" s="4" t="s">
        <v>1530</v>
      </c>
      <c r="F340" s="4" t="s">
        <v>398</v>
      </c>
      <c r="G340" s="4" t="s">
        <v>80</v>
      </c>
      <c r="H340" s="31"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c r="W340" s="40" t="str">
        <f t="shared" si="15"/>
        <v>Amit Sharma</v>
      </c>
      <c r="X340" s="35">
        <f t="shared" ca="1" si="16"/>
        <v>43</v>
      </c>
      <c r="Y340" s="29">
        <f t="shared" si="17"/>
        <v>3</v>
      </c>
      <c r="Z340" s="41" t="e" cm="1">
        <f t="array" aca="1" ref="Z340" ca="1">_xlfn.IFS(Y340&lt;=5, "On time", AND(Y340&gt;5, Y340&lt;&gt;" "), "Delayed", Y340=" ", "pending" )</f>
        <v>#NAME?</v>
      </c>
    </row>
    <row r="341" spans="1:26">
      <c r="A341" s="7" t="s">
        <v>1533</v>
      </c>
      <c r="B341" s="8" t="s">
        <v>27</v>
      </c>
      <c r="C341" s="8" t="s">
        <v>122</v>
      </c>
      <c r="D341" s="8" t="s">
        <v>1534</v>
      </c>
      <c r="E341" s="8" t="s">
        <v>160</v>
      </c>
      <c r="F341" s="8" t="s">
        <v>31</v>
      </c>
      <c r="G341" s="8" t="s">
        <v>32</v>
      </c>
      <c r="H341" s="32"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c r="W341" s="40" t="str">
        <f t="shared" si="15"/>
        <v>Kavya Nair</v>
      </c>
      <c r="X341" s="35">
        <f t="shared" ca="1" si="16"/>
        <v>42</v>
      </c>
      <c r="Y341" s="29">
        <f t="shared" si="17"/>
        <v>10</v>
      </c>
      <c r="Z341" s="41" t="e" cm="1">
        <f t="array" aca="1" ref="Z341" ca="1">_xlfn.IFS(Y341&lt;=5, "On time", AND(Y341&gt;5, Y341&lt;&gt;" "), "Delayed", Y341=" ", "pending" )</f>
        <v>#NAME?</v>
      </c>
    </row>
    <row r="342" spans="1:26">
      <c r="A342" s="3" t="s">
        <v>1537</v>
      </c>
      <c r="B342" s="4" t="s">
        <v>131</v>
      </c>
      <c r="C342" s="4" t="s">
        <v>263</v>
      </c>
      <c r="D342" s="4" t="s">
        <v>313</v>
      </c>
      <c r="E342" s="4" t="s">
        <v>797</v>
      </c>
      <c r="F342" s="4" t="s">
        <v>204</v>
      </c>
      <c r="G342" s="4" t="s">
        <v>80</v>
      </c>
      <c r="H342" s="31"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c r="W342" s="40" t="str">
        <f t="shared" si="15"/>
        <v>Rohit Singh</v>
      </c>
      <c r="X342" s="35">
        <f t="shared" ca="1" si="16"/>
        <v>42</v>
      </c>
      <c r="Y342" s="29">
        <f t="shared" si="17"/>
        <v>6</v>
      </c>
      <c r="Z342" s="41" t="e" cm="1">
        <f t="array" aca="1" ref="Z342" ca="1">_xlfn.IFS(Y342&lt;=5, "On time", AND(Y342&gt;5, Y342&lt;&gt;" "), "Delayed", Y342=" ", "pending" )</f>
        <v>#NAME?</v>
      </c>
    </row>
    <row r="343" spans="1:26">
      <c r="A343" s="7" t="s">
        <v>1540</v>
      </c>
      <c r="B343" s="8" t="s">
        <v>172</v>
      </c>
      <c r="C343" s="8" t="s">
        <v>122</v>
      </c>
      <c r="D343" s="8" t="s">
        <v>1541</v>
      </c>
      <c r="E343" s="8" t="s">
        <v>1218</v>
      </c>
      <c r="F343" s="8" t="s">
        <v>365</v>
      </c>
      <c r="G343" s="8" t="s">
        <v>32</v>
      </c>
      <c r="H343" s="32"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c r="W343" s="40" t="str">
        <f t="shared" si="15"/>
        <v>Anita Gupta</v>
      </c>
      <c r="X343" s="35">
        <f t="shared" ca="1" si="16"/>
        <v>51</v>
      </c>
      <c r="Y343" s="29">
        <f t="shared" si="17"/>
        <v>9</v>
      </c>
      <c r="Z343" s="41" t="e" cm="1">
        <f t="array" aca="1" ref="Z343" ca="1">_xlfn.IFS(Y343&lt;=5, "On time", AND(Y343&gt;5, Y343&lt;&gt;" "), "Delayed", Y343=" ", "pending" )</f>
        <v>#NAME?</v>
      </c>
    </row>
    <row r="344" spans="1:26">
      <c r="A344" s="3" t="s">
        <v>1544</v>
      </c>
      <c r="B344" s="4" t="s">
        <v>87</v>
      </c>
      <c r="C344" s="4" t="s">
        <v>44</v>
      </c>
      <c r="D344" s="4" t="s">
        <v>1090</v>
      </c>
      <c r="E344" s="4" t="s">
        <v>240</v>
      </c>
      <c r="F344" s="4" t="s">
        <v>184</v>
      </c>
      <c r="G344" s="4" t="s">
        <v>80</v>
      </c>
      <c r="H344" s="31"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c r="W344" s="40" t="str">
        <f t="shared" si="15"/>
        <v>Arjun Rao</v>
      </c>
      <c r="X344" s="35">
        <f t="shared" ca="1" si="16"/>
        <v>31</v>
      </c>
      <c r="Y344" s="29">
        <f t="shared" si="17"/>
        <v>2</v>
      </c>
      <c r="Z344" s="41" t="e" cm="1">
        <f t="array" aca="1" ref="Z344" ca="1">_xlfn.IFS(Y344&lt;=5, "On time", AND(Y344&gt;5, Y344&lt;&gt;" "), "Delayed", Y344=" ", "pending" )</f>
        <v>#NAME?</v>
      </c>
    </row>
    <row r="345" spans="1:26">
      <c r="A345" s="7" t="s">
        <v>1547</v>
      </c>
      <c r="B345" s="8" t="s">
        <v>331</v>
      </c>
      <c r="C345" s="8" t="s">
        <v>226</v>
      </c>
      <c r="D345" s="8" t="s">
        <v>759</v>
      </c>
      <c r="E345" s="8" t="s">
        <v>1548</v>
      </c>
      <c r="F345" s="8" t="s">
        <v>398</v>
      </c>
      <c r="G345" s="8" t="s">
        <v>80</v>
      </c>
      <c r="H345" s="32"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c r="W345" s="40" t="str">
        <f t="shared" si="15"/>
        <v>Amit Sharma</v>
      </c>
      <c r="X345" s="35">
        <f t="shared" ca="1" si="16"/>
        <v>38</v>
      </c>
      <c r="Y345" s="29">
        <f t="shared" si="17"/>
        <v>8</v>
      </c>
      <c r="Z345" s="41" t="e" cm="1">
        <f t="array" aca="1" ref="Z345" ca="1">_xlfn.IFS(Y345&lt;=5, "On time", AND(Y345&gt;5, Y345&lt;&gt;" "), "Delayed", Y345=" ", "pending" )</f>
        <v>#NAME?</v>
      </c>
    </row>
    <row r="346" spans="1:26">
      <c r="A346" s="3" t="s">
        <v>1551</v>
      </c>
      <c r="B346" s="4" t="s">
        <v>131</v>
      </c>
      <c r="C346" s="4" t="s">
        <v>96</v>
      </c>
      <c r="D346" s="4" t="s">
        <v>386</v>
      </c>
      <c r="E346" s="4" t="s">
        <v>1552</v>
      </c>
      <c r="F346" s="4" t="s">
        <v>204</v>
      </c>
      <c r="G346" s="4" t="s">
        <v>80</v>
      </c>
      <c r="H346" s="31"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c r="W346" s="40" t="str">
        <f t="shared" si="15"/>
        <v>Rohit Singh</v>
      </c>
      <c r="X346" s="35">
        <f t="shared" ca="1" si="16"/>
        <v>51</v>
      </c>
      <c r="Y346" s="29">
        <f t="shared" si="17"/>
        <v>12</v>
      </c>
      <c r="Z346" s="41" t="e" cm="1">
        <f t="array" aca="1" ref="Z346" ca="1">_xlfn.IFS(Y346&lt;=5, "On time", AND(Y346&gt;5, Y346&lt;&gt;" "), "Delayed", Y346=" ", "pending" )</f>
        <v>#NAME?</v>
      </c>
    </row>
    <row r="347" spans="1:26">
      <c r="A347" s="7" t="s">
        <v>1555</v>
      </c>
      <c r="B347" s="8" t="s">
        <v>57</v>
      </c>
      <c r="C347" s="8" t="s">
        <v>96</v>
      </c>
      <c r="D347" s="8" t="s">
        <v>1306</v>
      </c>
      <c r="E347" s="8" t="s">
        <v>98</v>
      </c>
      <c r="F347" s="8" t="s">
        <v>167</v>
      </c>
      <c r="G347" s="8" t="s">
        <v>32</v>
      </c>
      <c r="H347" s="32"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c r="W347" s="40" t="str">
        <f t="shared" si="15"/>
        <v>Pooja Shah</v>
      </c>
      <c r="X347" s="35">
        <f t="shared" ca="1" si="16"/>
        <v>49</v>
      </c>
      <c r="Y347" s="29">
        <f t="shared" si="17"/>
        <v>7</v>
      </c>
      <c r="Z347" s="41" t="e" cm="1">
        <f t="array" aca="1" ref="Z347" ca="1">_xlfn.IFS(Y347&lt;=5, "On time", AND(Y347&gt;5, Y347&lt;&gt;" "), "Delayed", Y347=" ", "pending" )</f>
        <v>#NAME?</v>
      </c>
    </row>
    <row r="348" spans="1:26">
      <c r="A348" s="3" t="s">
        <v>1558</v>
      </c>
      <c r="B348" s="4" t="s">
        <v>27</v>
      </c>
      <c r="C348" s="4" t="s">
        <v>263</v>
      </c>
      <c r="D348" s="4" t="s">
        <v>69</v>
      </c>
      <c r="E348" s="4" t="s">
        <v>548</v>
      </c>
      <c r="F348" s="4" t="s">
        <v>31</v>
      </c>
      <c r="G348" s="4" t="s">
        <v>32</v>
      </c>
      <c r="H348" s="31"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c r="W348" s="40" t="str">
        <f t="shared" si="15"/>
        <v>Kavya Nair</v>
      </c>
      <c r="X348" s="35">
        <f t="shared" ca="1" si="16"/>
        <v>32</v>
      </c>
      <c r="Y348" s="29">
        <f t="shared" si="17"/>
        <v>5</v>
      </c>
      <c r="Z348" s="41" t="e" cm="1">
        <f t="array" aca="1" ref="Z348" ca="1">_xlfn.IFS(Y348&lt;=5, "On time", AND(Y348&gt;5, Y348&lt;&gt;" "), "Delayed", Y348=" ", "pending" )</f>
        <v>#NAME?</v>
      </c>
    </row>
    <row r="349" spans="1:26">
      <c r="A349" s="7" t="s">
        <v>1561</v>
      </c>
      <c r="B349" s="8" t="s">
        <v>255</v>
      </c>
      <c r="C349" s="8" t="s">
        <v>28</v>
      </c>
      <c r="D349" s="8" t="s">
        <v>1290</v>
      </c>
      <c r="E349" s="8" t="s">
        <v>360</v>
      </c>
      <c r="F349" s="8" t="s">
        <v>258</v>
      </c>
      <c r="G349" s="8" t="s">
        <v>32</v>
      </c>
      <c r="H349" s="32"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c r="W349" s="40" t="str">
        <f t="shared" si="15"/>
        <v>Sneha Joshi</v>
      </c>
      <c r="X349" s="35">
        <f t="shared" ca="1" si="16"/>
        <v>29</v>
      </c>
      <c r="Y349" s="29">
        <f t="shared" si="17"/>
        <v>3</v>
      </c>
      <c r="Z349" s="41" t="e" cm="1">
        <f t="array" aca="1" ref="Z349" ca="1">_xlfn.IFS(Y349&lt;=5, "On time", AND(Y349&gt;5, Y349&lt;&gt;" "), "Delayed", Y349=" ", "pending" )</f>
        <v>#NAME?</v>
      </c>
    </row>
    <row r="350" spans="1:26">
      <c r="A350" s="3" t="s">
        <v>1564</v>
      </c>
      <c r="B350" s="4" t="s">
        <v>57</v>
      </c>
      <c r="C350" s="4" t="s">
        <v>1565</v>
      </c>
      <c r="D350" s="4" t="s">
        <v>344</v>
      </c>
      <c r="E350" s="4" t="s">
        <v>350</v>
      </c>
      <c r="F350" s="4" t="s">
        <v>167</v>
      </c>
      <c r="G350" s="4" t="s">
        <v>32</v>
      </c>
      <c r="H350" s="31"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c r="W350" s="40" t="str">
        <f t="shared" si="15"/>
        <v>Pooja Shah</v>
      </c>
      <c r="X350" s="35">
        <f t="shared" ca="1" si="16"/>
        <v>24</v>
      </c>
      <c r="Y350" s="29">
        <f t="shared" si="17"/>
        <v>1</v>
      </c>
      <c r="Z350" s="41" t="e" cm="1">
        <f t="array" aca="1" ref="Z350" ca="1">_xlfn.IFS(Y350&lt;=5, "On time", AND(Y350&gt;5, Y350&lt;&gt;" "), "Delayed", Y350=" ", "pending" )</f>
        <v>#NAME?</v>
      </c>
    </row>
    <row r="351" spans="1:26">
      <c r="A351" s="7" t="s">
        <v>1568</v>
      </c>
      <c r="B351" s="8" t="s">
        <v>57</v>
      </c>
      <c r="C351" s="8" t="s">
        <v>28</v>
      </c>
      <c r="D351" s="8" t="s">
        <v>1569</v>
      </c>
      <c r="E351" s="8" t="s">
        <v>1479</v>
      </c>
      <c r="F351" s="8" t="s">
        <v>167</v>
      </c>
      <c r="G351" s="8" t="s">
        <v>32</v>
      </c>
      <c r="H351" s="32"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c r="W351" s="40" t="str">
        <f t="shared" si="15"/>
        <v>Pooja Shah</v>
      </c>
      <c r="X351" s="35">
        <f t="shared" ca="1" si="16"/>
        <v>42</v>
      </c>
      <c r="Y351" s="29">
        <f t="shared" si="17"/>
        <v>5</v>
      </c>
      <c r="Z351" s="41" t="e" cm="1">
        <f t="array" aca="1" ref="Z351" ca="1">_xlfn.IFS(Y351&lt;=5, "On time", AND(Y351&gt;5, Y351&lt;&gt;" "), "Delayed", Y351=" ", "pending" )</f>
        <v>#NAME?</v>
      </c>
    </row>
    <row r="352" spans="1:26">
      <c r="A352" s="3" t="s">
        <v>1572</v>
      </c>
      <c r="B352" s="4" t="s">
        <v>87</v>
      </c>
      <c r="C352" s="4" t="s">
        <v>188</v>
      </c>
      <c r="D352" s="4" t="s">
        <v>1246</v>
      </c>
      <c r="E352" s="4" t="s">
        <v>724</v>
      </c>
      <c r="F352" s="4" t="s">
        <v>184</v>
      </c>
      <c r="G352" s="4" t="s">
        <v>80</v>
      </c>
      <c r="H352" s="31"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c r="W352" s="40" t="str">
        <f t="shared" si="15"/>
        <v>Arjun Rao</v>
      </c>
      <c r="X352" s="35">
        <f t="shared" ca="1" si="16"/>
        <v>23</v>
      </c>
      <c r="Y352" s="29">
        <f t="shared" si="17"/>
        <v>5</v>
      </c>
      <c r="Z352" s="41" t="e" cm="1">
        <f t="array" aca="1" ref="Z352" ca="1">_xlfn.IFS(Y352&lt;=5, "On time", AND(Y352&gt;5, Y352&lt;&gt;" "), "Delayed", Y352=" ", "pending" )</f>
        <v>#NAME?</v>
      </c>
    </row>
    <row r="353" spans="1:26">
      <c r="A353" s="7" t="s">
        <v>1575</v>
      </c>
      <c r="B353" s="8" t="s">
        <v>131</v>
      </c>
      <c r="C353" s="8" t="s">
        <v>28</v>
      </c>
      <c r="D353" s="8" t="s">
        <v>1576</v>
      </c>
      <c r="E353" s="8" t="s">
        <v>839</v>
      </c>
      <c r="F353" s="8" t="s">
        <v>204</v>
      </c>
      <c r="G353" s="8" t="s">
        <v>80</v>
      </c>
      <c r="H353" s="32"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c r="W353" s="40" t="str">
        <f t="shared" si="15"/>
        <v>Rohit Singh</v>
      </c>
      <c r="X353" s="35">
        <f t="shared" ca="1" si="16"/>
        <v>33</v>
      </c>
      <c r="Y353" s="29">
        <f t="shared" si="17"/>
        <v>6</v>
      </c>
      <c r="Z353" s="41" t="e" cm="1">
        <f t="array" aca="1" ref="Z353" ca="1">_xlfn.IFS(Y353&lt;=5, "On time", AND(Y353&gt;5, Y353&lt;&gt;" "), "Delayed", Y353=" ", "pending" )</f>
        <v>#NAME?</v>
      </c>
    </row>
    <row r="354" spans="1:26">
      <c r="A354" s="3" t="s">
        <v>1579</v>
      </c>
      <c r="B354" s="4" t="s">
        <v>87</v>
      </c>
      <c r="C354" s="4" t="s">
        <v>76</v>
      </c>
      <c r="D354" s="4" t="s">
        <v>558</v>
      </c>
      <c r="E354" s="4" t="s">
        <v>1484</v>
      </c>
      <c r="F354" s="4" t="s">
        <v>184</v>
      </c>
      <c r="G354" s="4" t="s">
        <v>80</v>
      </c>
      <c r="H354" s="31"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c r="W354" s="40" t="str">
        <f t="shared" si="15"/>
        <v>Arjun Rao</v>
      </c>
      <c r="X354" s="35">
        <f t="shared" ca="1" si="16"/>
        <v>37</v>
      </c>
      <c r="Y354" s="29">
        <f t="shared" si="17"/>
        <v>1</v>
      </c>
      <c r="Z354" s="41" t="e" cm="1">
        <f t="array" aca="1" ref="Z354" ca="1">_xlfn.IFS(Y354&lt;=5, "On time", AND(Y354&gt;5, Y354&lt;&gt;" "), "Delayed", Y354=" ", "pending" )</f>
        <v>#NAME?</v>
      </c>
    </row>
    <row r="355" spans="1:26">
      <c r="A355" s="7" t="s">
        <v>1582</v>
      </c>
      <c r="B355" s="8" t="s">
        <v>255</v>
      </c>
      <c r="C355" s="8" t="s">
        <v>76</v>
      </c>
      <c r="D355" s="8" t="s">
        <v>165</v>
      </c>
      <c r="E355" s="8" t="s">
        <v>661</v>
      </c>
      <c r="F355" s="8" t="s">
        <v>258</v>
      </c>
      <c r="G355" s="8" t="s">
        <v>32</v>
      </c>
      <c r="H355" s="32"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c r="W355" s="40" t="str">
        <f t="shared" si="15"/>
        <v>Sneha Joshi</v>
      </c>
      <c r="X355" s="35">
        <f t="shared" ca="1" si="16"/>
        <v>39</v>
      </c>
      <c r="Y355" s="29">
        <f t="shared" si="17"/>
        <v>2</v>
      </c>
      <c r="Z355" s="41" t="e" cm="1">
        <f t="array" aca="1" ref="Z355" ca="1">_xlfn.IFS(Y355&lt;=5, "On time", AND(Y355&gt;5, Y355&lt;&gt;" "), "Delayed", Y355=" ", "pending" )</f>
        <v>#NAME?</v>
      </c>
    </row>
    <row r="356" spans="1:26">
      <c r="A356" s="3" t="s">
        <v>1585</v>
      </c>
      <c r="B356" s="4" t="s">
        <v>172</v>
      </c>
      <c r="C356" s="4" t="s">
        <v>44</v>
      </c>
      <c r="D356" s="4" t="s">
        <v>29</v>
      </c>
      <c r="E356" s="4" t="s">
        <v>1586</v>
      </c>
      <c r="F356" s="4" t="s">
        <v>365</v>
      </c>
      <c r="G356" s="4" t="s">
        <v>32</v>
      </c>
      <c r="H356" s="31"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c r="W356" s="40" t="str">
        <f t="shared" si="15"/>
        <v>Anita Gupta</v>
      </c>
      <c r="X356" s="35">
        <f t="shared" ca="1" si="16"/>
        <v>36</v>
      </c>
      <c r="Y356" s="29">
        <f t="shared" si="17"/>
        <v>7</v>
      </c>
      <c r="Z356" s="41" t="e" cm="1">
        <f t="array" aca="1" ref="Z356" ca="1">_xlfn.IFS(Y356&lt;=5, "On time", AND(Y356&gt;5, Y356&lt;&gt;" "), "Delayed", Y356=" ", "pending" )</f>
        <v>#NAME?</v>
      </c>
    </row>
    <row r="357" spans="1:26">
      <c r="A357" s="7" t="s">
        <v>1589</v>
      </c>
      <c r="B357" s="8" t="s">
        <v>27</v>
      </c>
      <c r="C357" s="8" t="s">
        <v>263</v>
      </c>
      <c r="D357" s="8" t="s">
        <v>349</v>
      </c>
      <c r="E357" s="8" t="s">
        <v>797</v>
      </c>
      <c r="F357" s="8" t="s">
        <v>31</v>
      </c>
      <c r="G357" s="8" t="s">
        <v>32</v>
      </c>
      <c r="H357" s="32"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c r="W357" s="40" t="str">
        <f t="shared" si="15"/>
        <v>Kavya Nair</v>
      </c>
      <c r="X357" s="35">
        <f t="shared" ca="1" si="16"/>
        <v>34</v>
      </c>
      <c r="Y357" s="29">
        <f t="shared" si="17"/>
        <v>10</v>
      </c>
      <c r="Z357" s="41" t="e" cm="1">
        <f t="array" aca="1" ref="Z357" ca="1">_xlfn.IFS(Y357&lt;=5, "On time", AND(Y357&gt;5, Y357&lt;&gt;" "), "Delayed", Y357=" ", "pending" )</f>
        <v>#NAME?</v>
      </c>
    </row>
    <row r="358" spans="1:26">
      <c r="A358" s="3" t="s">
        <v>1592</v>
      </c>
      <c r="B358" s="4" t="s">
        <v>255</v>
      </c>
      <c r="C358" s="4" t="s">
        <v>188</v>
      </c>
      <c r="D358" s="4" t="s">
        <v>1593</v>
      </c>
      <c r="E358" s="4" t="s">
        <v>1377</v>
      </c>
      <c r="F358" s="4" t="s">
        <v>258</v>
      </c>
      <c r="G358" s="4" t="s">
        <v>32</v>
      </c>
      <c r="H358" s="31"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c r="W358" s="40" t="str">
        <f t="shared" si="15"/>
        <v>Sneha Joshi</v>
      </c>
      <c r="X358" s="35">
        <f t="shared" ca="1" si="16"/>
        <v>36</v>
      </c>
      <c r="Y358" s="29" t="str">
        <f t="shared" si="17"/>
        <v xml:space="preserve"> </v>
      </c>
      <c r="Z358" s="41" t="e" cm="1">
        <f t="array" aca="1" ref="Z358" ca="1">_xlfn.IFS(Y358&lt;=5, "On time", AND(Y358&gt;5, Y358&lt;&gt;" "), "Delayed", Y358=" ", "pending" )</f>
        <v>#NAME?</v>
      </c>
    </row>
    <row r="359" spans="1:26">
      <c r="A359" s="7" t="s">
        <v>1596</v>
      </c>
      <c r="B359" s="8" t="s">
        <v>75</v>
      </c>
      <c r="C359" s="8" t="s">
        <v>173</v>
      </c>
      <c r="D359" s="8" t="s">
        <v>458</v>
      </c>
      <c r="E359" s="8" t="s">
        <v>965</v>
      </c>
      <c r="F359" s="8" t="s">
        <v>221</v>
      </c>
      <c r="G359" s="8" t="s">
        <v>80</v>
      </c>
      <c r="H359" s="32"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c r="W359" s="40" t="str">
        <f t="shared" si="15"/>
        <v>Mohit Verma</v>
      </c>
      <c r="X359" s="35">
        <f t="shared" ca="1" si="16"/>
        <v>45</v>
      </c>
      <c r="Y359" s="29">
        <f t="shared" si="17"/>
        <v>12</v>
      </c>
      <c r="Z359" s="41" t="e" cm="1">
        <f t="array" aca="1" ref="Z359" ca="1">_xlfn.IFS(Y359&lt;=5, "On time", AND(Y359&gt;5, Y359&lt;&gt;" "), "Delayed", Y359=" ", "pending" )</f>
        <v>#NAME?</v>
      </c>
    </row>
    <row r="360" spans="1:26">
      <c r="A360" s="3" t="s">
        <v>1599</v>
      </c>
      <c r="B360" s="4" t="s">
        <v>255</v>
      </c>
      <c r="C360" s="4" t="s">
        <v>173</v>
      </c>
      <c r="D360" s="4" t="s">
        <v>166</v>
      </c>
      <c r="E360" s="4" t="s">
        <v>360</v>
      </c>
      <c r="F360" s="4" t="s">
        <v>258</v>
      </c>
      <c r="G360" s="4" t="s">
        <v>32</v>
      </c>
      <c r="H360" s="31"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c r="W360" s="40" t="str">
        <f t="shared" si="15"/>
        <v>Sneha Joshi</v>
      </c>
      <c r="X360" s="35">
        <f t="shared" ca="1" si="16"/>
        <v>47</v>
      </c>
      <c r="Y360" s="29">
        <f t="shared" si="17"/>
        <v>8</v>
      </c>
      <c r="Z360" s="41" t="e" cm="1">
        <f t="array" aca="1" ref="Z360" ca="1">_xlfn.IFS(Y360&lt;=5, "On time", AND(Y360&gt;5, Y360&lt;&gt;" "), "Delayed", Y360=" ", "pending" )</f>
        <v>#NAME?</v>
      </c>
    </row>
    <row r="361" spans="1:26">
      <c r="A361" s="7" t="s">
        <v>1602</v>
      </c>
      <c r="B361" s="8" t="s">
        <v>131</v>
      </c>
      <c r="C361" s="8" t="s">
        <v>226</v>
      </c>
      <c r="D361" s="8" t="s">
        <v>106</v>
      </c>
      <c r="E361" s="8" t="s">
        <v>957</v>
      </c>
      <c r="F361" s="8" t="s">
        <v>204</v>
      </c>
      <c r="G361" s="8" t="s">
        <v>80</v>
      </c>
      <c r="H361" s="32"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c r="W361" s="40" t="str">
        <f t="shared" si="15"/>
        <v>Rohit Singh</v>
      </c>
      <c r="X361" s="35">
        <f t="shared" ca="1" si="16"/>
        <v>29</v>
      </c>
      <c r="Y361" s="29">
        <f t="shared" si="17"/>
        <v>3</v>
      </c>
      <c r="Z361" s="41" t="e" cm="1">
        <f t="array" aca="1" ref="Z361" ca="1">_xlfn.IFS(Y361&lt;=5, "On time", AND(Y361&gt;5, Y361&lt;&gt;" "), "Delayed", Y361=" ", "pending" )</f>
        <v>#NAME?</v>
      </c>
    </row>
    <row r="362" spans="1:26">
      <c r="A362" s="3" t="s">
        <v>1605</v>
      </c>
      <c r="B362" s="4" t="s">
        <v>131</v>
      </c>
      <c r="C362" s="4" t="s">
        <v>122</v>
      </c>
      <c r="D362" s="4" t="s">
        <v>605</v>
      </c>
      <c r="E362" s="4" t="s">
        <v>1606</v>
      </c>
      <c r="F362" s="4" t="s">
        <v>204</v>
      </c>
      <c r="G362" s="4" t="s">
        <v>80</v>
      </c>
      <c r="H362" s="31"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c r="W362" s="40" t="str">
        <f t="shared" si="15"/>
        <v>Rohit Singh</v>
      </c>
      <c r="X362" s="35">
        <f t="shared" ca="1" si="16"/>
        <v>27</v>
      </c>
      <c r="Y362" s="29">
        <f t="shared" si="17"/>
        <v>8</v>
      </c>
      <c r="Z362" s="41" t="e" cm="1">
        <f t="array" aca="1" ref="Z362" ca="1">_xlfn.IFS(Y362&lt;=5, "On time", AND(Y362&gt;5, Y362&lt;&gt;" "), "Delayed", Y362=" ", "pending" )</f>
        <v>#NAME?</v>
      </c>
    </row>
    <row r="363" spans="1:26">
      <c r="A363" s="7" t="s">
        <v>1609</v>
      </c>
      <c r="B363" s="8" t="s">
        <v>75</v>
      </c>
      <c r="C363" s="8" t="s">
        <v>28</v>
      </c>
      <c r="D363" s="8" t="s">
        <v>1110</v>
      </c>
      <c r="E363" s="8" t="s">
        <v>159</v>
      </c>
      <c r="F363" s="8" t="s">
        <v>221</v>
      </c>
      <c r="G363" s="8" t="s">
        <v>80</v>
      </c>
      <c r="H363" s="32"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c r="W363" s="40" t="str">
        <f t="shared" si="15"/>
        <v>Mohit Verma</v>
      </c>
      <c r="X363" s="35">
        <f t="shared" ca="1" si="16"/>
        <v>41</v>
      </c>
      <c r="Y363" s="29">
        <f t="shared" si="17"/>
        <v>6</v>
      </c>
      <c r="Z363" s="41" t="e" cm="1">
        <f t="array" aca="1" ref="Z363" ca="1">_xlfn.IFS(Y363&lt;=5, "On time", AND(Y363&gt;5, Y363&lt;&gt;" "), "Delayed", Y363=" ", "pending" )</f>
        <v>#NAME?</v>
      </c>
    </row>
    <row r="364" spans="1:26">
      <c r="A364" s="3" t="s">
        <v>1612</v>
      </c>
      <c r="B364" s="4" t="s">
        <v>75</v>
      </c>
      <c r="C364" s="4" t="s">
        <v>76</v>
      </c>
      <c r="D364" s="4" t="s">
        <v>1613</v>
      </c>
      <c r="E364" s="4" t="s">
        <v>592</v>
      </c>
      <c r="F364" s="4" t="s">
        <v>221</v>
      </c>
      <c r="G364" s="4" t="s">
        <v>80</v>
      </c>
      <c r="H364" s="31"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c r="W364" s="40" t="str">
        <f t="shared" si="15"/>
        <v>Mohit Verma</v>
      </c>
      <c r="X364" s="35">
        <f t="shared" ca="1" si="16"/>
        <v>42</v>
      </c>
      <c r="Y364" s="29">
        <f t="shared" si="17"/>
        <v>4</v>
      </c>
      <c r="Z364" s="41" t="e" cm="1">
        <f t="array" aca="1" ref="Z364" ca="1">_xlfn.IFS(Y364&lt;=5, "On time", AND(Y364&gt;5, Y364&lt;&gt;" "), "Delayed", Y364=" ", "pending" )</f>
        <v>#NAME?</v>
      </c>
    </row>
    <row r="365" spans="1:26">
      <c r="A365" s="7" t="s">
        <v>1616</v>
      </c>
      <c r="B365" s="8" t="s">
        <v>57</v>
      </c>
      <c r="C365" s="8" t="s">
        <v>226</v>
      </c>
      <c r="D365" s="8" t="s">
        <v>547</v>
      </c>
      <c r="E365" s="8" t="s">
        <v>69</v>
      </c>
      <c r="F365" s="8" t="s">
        <v>167</v>
      </c>
      <c r="G365" s="8" t="s">
        <v>32</v>
      </c>
      <c r="H365" s="32"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c r="W365" s="40" t="str">
        <f t="shared" si="15"/>
        <v>Pooja Shah</v>
      </c>
      <c r="X365" s="35">
        <f t="shared" ca="1" si="16"/>
        <v>37</v>
      </c>
      <c r="Y365" s="29">
        <f t="shared" si="17"/>
        <v>5</v>
      </c>
      <c r="Z365" s="41" t="e" cm="1">
        <f t="array" aca="1" ref="Z365" ca="1">_xlfn.IFS(Y365&lt;=5, "On time", AND(Y365&gt;5, Y365&lt;&gt;" "), "Delayed", Y365=" ", "pending" )</f>
        <v>#NAME?</v>
      </c>
    </row>
    <row r="366" spans="1:26">
      <c r="A366" s="3" t="s">
        <v>1619</v>
      </c>
      <c r="B366" s="4" t="s">
        <v>104</v>
      </c>
      <c r="C366" s="4" t="s">
        <v>76</v>
      </c>
      <c r="D366" s="4" t="s">
        <v>214</v>
      </c>
      <c r="E366" s="4" t="s">
        <v>1620</v>
      </c>
      <c r="F366" s="4" t="s">
        <v>107</v>
      </c>
      <c r="G366" s="4" t="s">
        <v>32</v>
      </c>
      <c r="H366" s="31"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c r="W366" s="40" t="str">
        <f t="shared" si="15"/>
        <v>Priya Patel</v>
      </c>
      <c r="X366" s="35">
        <f t="shared" ca="1" si="16"/>
        <v>41</v>
      </c>
      <c r="Y366" s="29">
        <f t="shared" si="17"/>
        <v>7</v>
      </c>
      <c r="Z366" s="41" t="e" cm="1">
        <f t="array" aca="1" ref="Z366" ca="1">_xlfn.IFS(Y366&lt;=5, "On time", AND(Y366&gt;5, Y366&lt;&gt;" "), "Delayed", Y366=" ", "pending" )</f>
        <v>#NAME?</v>
      </c>
    </row>
    <row r="367" spans="1:26">
      <c r="A367" s="7" t="s">
        <v>1623</v>
      </c>
      <c r="B367" s="8" t="s">
        <v>57</v>
      </c>
      <c r="C367" s="8" t="s">
        <v>226</v>
      </c>
      <c r="D367" s="8" t="s">
        <v>1624</v>
      </c>
      <c r="E367" s="8" t="s">
        <v>306</v>
      </c>
      <c r="F367" s="8" t="s">
        <v>167</v>
      </c>
      <c r="G367" s="8" t="s">
        <v>32</v>
      </c>
      <c r="H367" s="32"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c r="W367" s="40" t="str">
        <f t="shared" si="15"/>
        <v>Pooja Shah</v>
      </c>
      <c r="X367" s="35">
        <f t="shared" ca="1" si="16"/>
        <v>22</v>
      </c>
      <c r="Y367" s="29">
        <f t="shared" si="17"/>
        <v>10</v>
      </c>
      <c r="Z367" s="41" t="e" cm="1">
        <f t="array" aca="1" ref="Z367" ca="1">_xlfn.IFS(Y367&lt;=5, "On time", AND(Y367&gt;5, Y367&lt;&gt;" "), "Delayed", Y367=" ", "pending" )</f>
        <v>#NAME?</v>
      </c>
    </row>
    <row r="368" spans="1:26">
      <c r="A368" s="3" t="s">
        <v>1627</v>
      </c>
      <c r="B368" s="4" t="s">
        <v>104</v>
      </c>
      <c r="C368" s="4" t="s">
        <v>263</v>
      </c>
      <c r="D368" s="4" t="s">
        <v>801</v>
      </c>
      <c r="E368" s="4" t="s">
        <v>547</v>
      </c>
      <c r="F368" s="4" t="s">
        <v>107</v>
      </c>
      <c r="G368" s="4" t="s">
        <v>32</v>
      </c>
      <c r="H368" s="31"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c r="W368" s="40" t="str">
        <f t="shared" si="15"/>
        <v>Priya Patel</v>
      </c>
      <c r="X368" s="35">
        <f t="shared" ca="1" si="16"/>
        <v>42</v>
      </c>
      <c r="Y368" s="29">
        <f t="shared" si="17"/>
        <v>9</v>
      </c>
      <c r="Z368" s="41" t="e" cm="1">
        <f t="array" aca="1" ref="Z368" ca="1">_xlfn.IFS(Y368&lt;=5, "On time", AND(Y368&gt;5, Y368&lt;&gt;" "), "Delayed", Y368=" ", "pending" )</f>
        <v>#NAME?</v>
      </c>
    </row>
    <row r="369" spans="1:26">
      <c r="A369" s="7" t="s">
        <v>1630</v>
      </c>
      <c r="B369" s="8" t="s">
        <v>27</v>
      </c>
      <c r="C369" s="8" t="s">
        <v>28</v>
      </c>
      <c r="D369" s="8" t="s">
        <v>1267</v>
      </c>
      <c r="E369" s="8" t="s">
        <v>948</v>
      </c>
      <c r="F369" s="8" t="s">
        <v>31</v>
      </c>
      <c r="G369" s="8" t="s">
        <v>32</v>
      </c>
      <c r="H369" s="32"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c r="W369" s="40" t="str">
        <f t="shared" si="15"/>
        <v>Kavya Nair</v>
      </c>
      <c r="X369" s="35">
        <f t="shared" ca="1" si="16"/>
        <v>50</v>
      </c>
      <c r="Y369" s="29">
        <f t="shared" si="17"/>
        <v>12</v>
      </c>
      <c r="Z369" s="41" t="e" cm="1">
        <f t="array" aca="1" ref="Z369" ca="1">_xlfn.IFS(Y369&lt;=5, "On time", AND(Y369&gt;5, Y369&lt;&gt;" "), "Delayed", Y369=" ", "pending" )</f>
        <v>#NAME?</v>
      </c>
    </row>
    <row r="370" spans="1:26">
      <c r="A370" s="3" t="s">
        <v>1633</v>
      </c>
      <c r="B370" s="4" t="s">
        <v>57</v>
      </c>
      <c r="C370" s="4" t="s">
        <v>122</v>
      </c>
      <c r="D370" s="4" t="s">
        <v>895</v>
      </c>
      <c r="E370" s="4" t="s">
        <v>1634</v>
      </c>
      <c r="F370" s="4" t="s">
        <v>167</v>
      </c>
      <c r="G370" s="4" t="s">
        <v>32</v>
      </c>
      <c r="H370" s="31"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c r="W370" s="40" t="str">
        <f t="shared" si="15"/>
        <v>Pooja Shah</v>
      </c>
      <c r="X370" s="35">
        <f t="shared" ca="1" si="16"/>
        <v>39</v>
      </c>
      <c r="Y370" s="29">
        <f t="shared" si="17"/>
        <v>4</v>
      </c>
      <c r="Z370" s="41" t="e" cm="1">
        <f t="array" aca="1" ref="Z370" ca="1">_xlfn.IFS(Y370&lt;=5, "On time", AND(Y370&gt;5, Y370&lt;&gt;" "), "Delayed", Y370=" ", "pending" )</f>
        <v>#NAME?</v>
      </c>
    </row>
    <row r="371" spans="1:26">
      <c r="A371" s="7" t="s">
        <v>1637</v>
      </c>
      <c r="B371" s="8" t="s">
        <v>331</v>
      </c>
      <c r="C371" s="8" t="s">
        <v>58</v>
      </c>
      <c r="D371" s="8"/>
      <c r="E371" s="8" t="s">
        <v>1638</v>
      </c>
      <c r="F371" s="8" t="s">
        <v>398</v>
      </c>
      <c r="G371" s="8" t="s">
        <v>80</v>
      </c>
      <c r="H371" s="32"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c r="W371" s="40" t="str">
        <f t="shared" si="15"/>
        <v>Amit Sharma</v>
      </c>
      <c r="X371" s="35">
        <f t="shared" ca="1" si="16"/>
        <v>34</v>
      </c>
      <c r="Y371" s="29">
        <f t="shared" si="17"/>
        <v>45690</v>
      </c>
      <c r="Z371" s="41" t="e" cm="1">
        <f t="array" aca="1" ref="Z371" ca="1">_xlfn.IFS(Y371&lt;=5, "On time", AND(Y371&gt;5, Y371&lt;&gt;" "), "Delayed", Y371=" ", "pending" )</f>
        <v>#NAME?</v>
      </c>
    </row>
    <row r="372" spans="1:26">
      <c r="A372" s="3" t="s">
        <v>1641</v>
      </c>
      <c r="B372" s="4" t="s">
        <v>75</v>
      </c>
      <c r="C372" s="4" t="s">
        <v>263</v>
      </c>
      <c r="D372" s="4" t="s">
        <v>945</v>
      </c>
      <c r="E372" s="4" t="s">
        <v>1642</v>
      </c>
      <c r="F372" s="4" t="s">
        <v>221</v>
      </c>
      <c r="G372" s="4" t="s">
        <v>80</v>
      </c>
      <c r="H372" s="31"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c r="W372" s="40" t="str">
        <f t="shared" si="15"/>
        <v>Mohit Verma</v>
      </c>
      <c r="X372" s="35">
        <f t="shared" ca="1" si="16"/>
        <v>37</v>
      </c>
      <c r="Y372" s="29">
        <f t="shared" si="17"/>
        <v>2</v>
      </c>
      <c r="Z372" s="41" t="e" cm="1">
        <f t="array" aca="1" ref="Z372" ca="1">_xlfn.IFS(Y372&lt;=5, "On time", AND(Y372&gt;5, Y372&lt;&gt;" "), "Delayed", Y372=" ", "pending" )</f>
        <v>#NAME?</v>
      </c>
    </row>
    <row r="373" spans="1:26">
      <c r="A373" s="7" t="s">
        <v>1645</v>
      </c>
      <c r="B373" s="8" t="s">
        <v>255</v>
      </c>
      <c r="C373" s="8" t="s">
        <v>226</v>
      </c>
      <c r="D373" s="8" t="s">
        <v>1646</v>
      </c>
      <c r="E373" s="8" t="s">
        <v>1647</v>
      </c>
      <c r="F373" s="8" t="s">
        <v>258</v>
      </c>
      <c r="G373" s="8" t="s">
        <v>32</v>
      </c>
      <c r="H373" s="32"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c r="W373" s="40" t="str">
        <f t="shared" si="15"/>
        <v>Sneha Joshi</v>
      </c>
      <c r="X373" s="35">
        <f t="shared" ca="1" si="16"/>
        <v>35</v>
      </c>
      <c r="Y373" s="29">
        <f t="shared" si="17"/>
        <v>5</v>
      </c>
      <c r="Z373" s="41" t="e" cm="1">
        <f t="array" aca="1" ref="Z373" ca="1">_xlfn.IFS(Y373&lt;=5, "On time", AND(Y373&gt;5, Y373&lt;&gt;" "), "Delayed", Y373=" ", "pending" )</f>
        <v>#NAME?</v>
      </c>
    </row>
    <row r="374" spans="1:26">
      <c r="A374" s="3" t="s">
        <v>1650</v>
      </c>
      <c r="B374" s="4" t="s">
        <v>172</v>
      </c>
      <c r="C374" s="4" t="s">
        <v>263</v>
      </c>
      <c r="D374" s="4" t="s">
        <v>649</v>
      </c>
      <c r="E374" s="4" t="s">
        <v>984</v>
      </c>
      <c r="F374" s="4" t="s">
        <v>365</v>
      </c>
      <c r="G374" s="4" t="s">
        <v>32</v>
      </c>
      <c r="H374" s="31"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c r="W374" s="40" t="str">
        <f t="shared" si="15"/>
        <v>Anita Gupta</v>
      </c>
      <c r="X374" s="35">
        <f t="shared" ca="1" si="16"/>
        <v>31</v>
      </c>
      <c r="Y374" s="29">
        <f t="shared" si="17"/>
        <v>2</v>
      </c>
      <c r="Z374" s="41" t="e" cm="1">
        <f t="array" aca="1" ref="Z374" ca="1">_xlfn.IFS(Y374&lt;=5, "On time", AND(Y374&gt;5, Y374&lt;&gt;" "), "Delayed", Y374=" ", "pending" )</f>
        <v>#NAME?</v>
      </c>
    </row>
    <row r="375" spans="1:26">
      <c r="A375" s="7" t="s">
        <v>1653</v>
      </c>
      <c r="B375" s="8" t="s">
        <v>87</v>
      </c>
      <c r="C375" s="8" t="s">
        <v>188</v>
      </c>
      <c r="D375" s="8" t="s">
        <v>1654</v>
      </c>
      <c r="E375" s="8" t="s">
        <v>1106</v>
      </c>
      <c r="F375" s="8" t="s">
        <v>184</v>
      </c>
      <c r="G375" s="8" t="s">
        <v>80</v>
      </c>
      <c r="H375" s="32"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c r="W375" s="40" t="str">
        <f t="shared" si="15"/>
        <v>Arjun Rao</v>
      </c>
      <c r="X375" s="35">
        <f t="shared" ca="1" si="16"/>
        <v>27</v>
      </c>
      <c r="Y375" s="29">
        <f t="shared" si="17"/>
        <v>1</v>
      </c>
      <c r="Z375" s="41" t="e" cm="1">
        <f t="array" aca="1" ref="Z375" ca="1">_xlfn.IFS(Y375&lt;=5, "On time", AND(Y375&gt;5, Y375&lt;&gt;" "), "Delayed", Y375=" ", "pending" )</f>
        <v>#NAME?</v>
      </c>
    </row>
    <row r="376" spans="1:26">
      <c r="A376" s="3" t="s">
        <v>1657</v>
      </c>
      <c r="B376" s="4" t="s">
        <v>225</v>
      </c>
      <c r="C376" s="4" t="s">
        <v>188</v>
      </c>
      <c r="D376" s="4" t="s">
        <v>961</v>
      </c>
      <c r="E376" s="4" t="s">
        <v>1658</v>
      </c>
      <c r="F376" s="4" t="s">
        <v>229</v>
      </c>
      <c r="G376" s="4" t="s">
        <v>80</v>
      </c>
      <c r="H376" s="31"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c r="W376" s="40" t="str">
        <f t="shared" si="15"/>
        <v>Vikas Mehta</v>
      </c>
      <c r="X376" s="35">
        <f t="shared" ca="1" si="16"/>
        <v>46</v>
      </c>
      <c r="Y376" s="29">
        <f t="shared" si="17"/>
        <v>7</v>
      </c>
      <c r="Z376" s="41" t="e" cm="1">
        <f t="array" aca="1" ref="Z376" ca="1">_xlfn.IFS(Y376&lt;=5, "On time", AND(Y376&gt;5, Y376&lt;&gt;" "), "Delayed", Y376=" ", "pending" )</f>
        <v>#NAME?</v>
      </c>
    </row>
    <row r="377" spans="1:26">
      <c r="A377" s="7" t="s">
        <v>1661</v>
      </c>
      <c r="B377" s="8" t="s">
        <v>27</v>
      </c>
      <c r="C377" s="8" t="s">
        <v>188</v>
      </c>
      <c r="D377" s="8" t="s">
        <v>1372</v>
      </c>
      <c r="E377" s="8" t="s">
        <v>927</v>
      </c>
      <c r="F377" s="8" t="s">
        <v>31</v>
      </c>
      <c r="G377" s="8" t="s">
        <v>32</v>
      </c>
      <c r="H377" s="32"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c r="W377" s="40" t="str">
        <f t="shared" si="15"/>
        <v>Kavya Nair</v>
      </c>
      <c r="X377" s="35">
        <f t="shared" ca="1" si="16"/>
        <v>50</v>
      </c>
      <c r="Y377" s="29">
        <f t="shared" si="17"/>
        <v>8</v>
      </c>
      <c r="Z377" s="41" t="e" cm="1">
        <f t="array" aca="1" ref="Z377" ca="1">_xlfn.IFS(Y377&lt;=5, "On time", AND(Y377&gt;5, Y377&lt;&gt;" "), "Delayed", Y377=" ", "pending" )</f>
        <v>#NAME?</v>
      </c>
    </row>
    <row r="378" spans="1:26">
      <c r="A378" s="3" t="s">
        <v>1664</v>
      </c>
      <c r="B378" s="4" t="s">
        <v>75</v>
      </c>
      <c r="C378" s="4" t="s">
        <v>44</v>
      </c>
      <c r="D378" s="4" t="s">
        <v>1157</v>
      </c>
      <c r="E378" s="4" t="s">
        <v>307</v>
      </c>
      <c r="F378" s="4" t="s">
        <v>221</v>
      </c>
      <c r="G378" s="4" t="s">
        <v>80</v>
      </c>
      <c r="H378" s="31"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c r="W378" s="40" t="str">
        <f t="shared" si="15"/>
        <v>Mohit Verma</v>
      </c>
      <c r="X378" s="35">
        <f t="shared" ca="1" si="16"/>
        <v>33</v>
      </c>
      <c r="Y378" s="29">
        <f t="shared" si="17"/>
        <v>11</v>
      </c>
      <c r="Z378" s="41" t="e" cm="1">
        <f t="array" aca="1" ref="Z378" ca="1">_xlfn.IFS(Y378&lt;=5, "On time", AND(Y378&gt;5, Y378&lt;&gt;" "), "Delayed", Y378=" ", "pending" )</f>
        <v>#NAME?</v>
      </c>
    </row>
    <row r="379" spans="1:26">
      <c r="A379" s="7" t="s">
        <v>1667</v>
      </c>
      <c r="B379" s="8" t="s">
        <v>87</v>
      </c>
      <c r="C379" s="8" t="s">
        <v>76</v>
      </c>
      <c r="D379" s="8" t="s">
        <v>1202</v>
      </c>
      <c r="E379" s="8" t="s">
        <v>716</v>
      </c>
      <c r="F379" s="8" t="s">
        <v>184</v>
      </c>
      <c r="G379" s="8" t="s">
        <v>80</v>
      </c>
      <c r="H379" s="32"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c r="W379" s="40" t="str">
        <f t="shared" si="15"/>
        <v>Arjun Rao</v>
      </c>
      <c r="X379" s="35">
        <f t="shared" ca="1" si="16"/>
        <v>49</v>
      </c>
      <c r="Y379" s="29">
        <f t="shared" si="17"/>
        <v>9</v>
      </c>
      <c r="Z379" s="41" t="e" cm="1">
        <f t="array" aca="1" ref="Z379" ca="1">_xlfn.IFS(Y379&lt;=5, "On time", AND(Y379&gt;5, Y379&lt;&gt;" "), "Delayed", Y379=" ", "pending" )</f>
        <v>#NAME?</v>
      </c>
    </row>
    <row r="380" spans="1:26">
      <c r="A380" s="3" t="s">
        <v>1670</v>
      </c>
      <c r="B380" s="4" t="s">
        <v>87</v>
      </c>
      <c r="C380" s="4" t="s">
        <v>226</v>
      </c>
      <c r="D380" s="4" t="s">
        <v>1225</v>
      </c>
      <c r="E380" s="4" t="s">
        <v>1671</v>
      </c>
      <c r="F380" s="4" t="s">
        <v>184</v>
      </c>
      <c r="G380" s="4" t="s">
        <v>80</v>
      </c>
      <c r="H380" s="31"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c r="W380" s="40" t="str">
        <f t="shared" si="15"/>
        <v>Arjun Rao</v>
      </c>
      <c r="X380" s="35">
        <f t="shared" ca="1" si="16"/>
        <v>29</v>
      </c>
      <c r="Y380" s="29">
        <f t="shared" si="17"/>
        <v>2</v>
      </c>
      <c r="Z380" s="41" t="e" cm="1">
        <f t="array" aca="1" ref="Z380" ca="1">_xlfn.IFS(Y380&lt;=5, "On time", AND(Y380&gt;5, Y380&lt;&gt;" "), "Delayed", Y380=" ", "pending" )</f>
        <v>#NAME?</v>
      </c>
    </row>
    <row r="381" spans="1:26">
      <c r="A381" s="7" t="s">
        <v>1674</v>
      </c>
      <c r="B381" s="8" t="s">
        <v>255</v>
      </c>
      <c r="C381" s="8" t="s">
        <v>58</v>
      </c>
      <c r="D381" s="8" t="s">
        <v>792</v>
      </c>
      <c r="E381" s="8" t="s">
        <v>459</v>
      </c>
      <c r="F381" s="8" t="s">
        <v>258</v>
      </c>
      <c r="G381" s="8" t="s">
        <v>32</v>
      </c>
      <c r="H381" s="32"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c r="W381" s="40" t="str">
        <f t="shared" si="15"/>
        <v>Sneha Joshi</v>
      </c>
      <c r="X381" s="35">
        <f t="shared" ca="1" si="16"/>
        <v>30</v>
      </c>
      <c r="Y381" s="29">
        <f t="shared" si="17"/>
        <v>1</v>
      </c>
      <c r="Z381" s="41" t="e" cm="1">
        <f t="array" aca="1" ref="Z381" ca="1">_xlfn.IFS(Y381&lt;=5, "On time", AND(Y381&gt;5, Y381&lt;&gt;" "), "Delayed", Y381=" ", "pending" )</f>
        <v>#NAME?</v>
      </c>
    </row>
    <row r="382" spans="1:26">
      <c r="A382" s="3" t="s">
        <v>1677</v>
      </c>
      <c r="B382" s="4" t="s">
        <v>255</v>
      </c>
      <c r="C382" s="4" t="s">
        <v>122</v>
      </c>
      <c r="D382" s="4" t="s">
        <v>1315</v>
      </c>
      <c r="E382" s="4" t="s">
        <v>78</v>
      </c>
      <c r="F382" s="4" t="s">
        <v>258</v>
      </c>
      <c r="G382" s="4" t="s">
        <v>32</v>
      </c>
      <c r="H382" s="31"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c r="W382" s="40" t="str">
        <f t="shared" si="15"/>
        <v>Sneha Joshi</v>
      </c>
      <c r="X382" s="35">
        <f t="shared" ca="1" si="16"/>
        <v>41</v>
      </c>
      <c r="Y382" s="29">
        <f t="shared" si="17"/>
        <v>8</v>
      </c>
      <c r="Z382" s="41" t="e" cm="1">
        <f t="array" aca="1" ref="Z382" ca="1">_xlfn.IFS(Y382&lt;=5, "On time", AND(Y382&gt;5, Y382&lt;&gt;" "), "Delayed", Y382=" ", "pending" )</f>
        <v>#NAME?</v>
      </c>
    </row>
    <row r="383" spans="1:26">
      <c r="A383" s="7" t="s">
        <v>1680</v>
      </c>
      <c r="B383" s="8" t="s">
        <v>131</v>
      </c>
      <c r="C383" s="8" t="s">
        <v>226</v>
      </c>
      <c r="D383" s="8" t="s">
        <v>1681</v>
      </c>
      <c r="E383" s="8" t="s">
        <v>240</v>
      </c>
      <c r="F383" s="8" t="s">
        <v>204</v>
      </c>
      <c r="G383" s="8" t="s">
        <v>80</v>
      </c>
      <c r="H383" s="32"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c r="W383" s="40" t="str">
        <f t="shared" si="15"/>
        <v>Rohit Singh</v>
      </c>
      <c r="X383" s="35">
        <f t="shared" ca="1" si="16"/>
        <v>42</v>
      </c>
      <c r="Y383" s="29">
        <f t="shared" si="17"/>
        <v>8</v>
      </c>
      <c r="Z383" s="41" t="e" cm="1">
        <f t="array" aca="1" ref="Z383" ca="1">_xlfn.IFS(Y383&lt;=5, "On time", AND(Y383&gt;5, Y383&lt;&gt;" "), "Delayed", Y383=" ", "pending" )</f>
        <v>#NAME?</v>
      </c>
    </row>
    <row r="384" spans="1:26">
      <c r="A384" s="3" t="s">
        <v>1684</v>
      </c>
      <c r="B384" s="4" t="s">
        <v>131</v>
      </c>
      <c r="C384" s="4" t="s">
        <v>28</v>
      </c>
      <c r="D384" s="4" t="s">
        <v>1364</v>
      </c>
      <c r="E384" s="4" t="s">
        <v>779</v>
      </c>
      <c r="F384" s="4" t="s">
        <v>1685</v>
      </c>
      <c r="G384" s="4" t="s">
        <v>80</v>
      </c>
      <c r="H384" s="31"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c r="W384" s="40" t="str">
        <f t="shared" si="15"/>
        <v>Rohit Singh</v>
      </c>
      <c r="X384" s="35">
        <f t="shared" ca="1" si="16"/>
        <v>24</v>
      </c>
      <c r="Y384" s="29">
        <f t="shared" si="17"/>
        <v>10</v>
      </c>
      <c r="Z384" s="41" t="e" cm="1">
        <f t="array" aca="1" ref="Z384" ca="1">_xlfn.IFS(Y384&lt;=5, "On time", AND(Y384&gt;5, Y384&lt;&gt;" "), "Delayed", Y384=" ", "pending" )</f>
        <v>#NAME?</v>
      </c>
    </row>
    <row r="385" spans="1:26">
      <c r="A385" s="7" t="s">
        <v>1688</v>
      </c>
      <c r="B385" s="8" t="s">
        <v>225</v>
      </c>
      <c r="C385" s="8" t="s">
        <v>122</v>
      </c>
      <c r="D385" s="8" t="s">
        <v>370</v>
      </c>
      <c r="E385" s="8" t="s">
        <v>543</v>
      </c>
      <c r="F385" s="8" t="s">
        <v>229</v>
      </c>
      <c r="G385" s="8" t="s">
        <v>80</v>
      </c>
      <c r="H385" s="32"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c r="W385" s="40" t="str">
        <f t="shared" si="15"/>
        <v>Vikas Mehta</v>
      </c>
      <c r="X385" s="35">
        <f t="shared" ca="1" si="16"/>
        <v>23</v>
      </c>
      <c r="Y385" s="29">
        <f t="shared" si="17"/>
        <v>11</v>
      </c>
      <c r="Z385" s="41" t="e" cm="1">
        <f t="array" aca="1" ref="Z385" ca="1">_xlfn.IFS(Y385&lt;=5, "On time", AND(Y385&gt;5, Y385&lt;&gt;" "), "Delayed", Y385=" ", "pending" )</f>
        <v>#NAME?</v>
      </c>
    </row>
    <row r="386" spans="1:26">
      <c r="A386" s="3" t="s">
        <v>1691</v>
      </c>
      <c r="B386" s="4" t="s">
        <v>131</v>
      </c>
      <c r="C386" s="4" t="s">
        <v>28</v>
      </c>
      <c r="D386" s="4" t="s">
        <v>1692</v>
      </c>
      <c r="E386" s="4" t="s">
        <v>1693</v>
      </c>
      <c r="F386" s="4" t="s">
        <v>204</v>
      </c>
      <c r="G386" s="4" t="s">
        <v>80</v>
      </c>
      <c r="H386" s="31"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c r="W386" s="40" t="str">
        <f t="shared" ref="W386:W449" si="18">PROPER(TRIM(F386))</f>
        <v>Rohit Singh</v>
      </c>
      <c r="X386" s="35">
        <f t="shared" ca="1" si="16"/>
        <v>34</v>
      </c>
      <c r="Y386" s="29">
        <f t="shared" si="17"/>
        <v>4</v>
      </c>
      <c r="Z386" s="41" t="e" cm="1">
        <f t="array" aca="1" ref="Z386" ca="1">_xlfn.IFS(Y386&lt;=5, "On time", AND(Y386&gt;5, Y386&lt;&gt;" "), "Delayed", Y386=" ", "pending" )</f>
        <v>#NAME?</v>
      </c>
    </row>
    <row r="387" spans="1:26">
      <c r="A387" s="7" t="s">
        <v>1696</v>
      </c>
      <c r="B387" s="8" t="s">
        <v>172</v>
      </c>
      <c r="C387" s="8" t="s">
        <v>122</v>
      </c>
      <c r="D387" s="8" t="s">
        <v>190</v>
      </c>
      <c r="E387" s="8" t="s">
        <v>614</v>
      </c>
      <c r="F387" s="8" t="s">
        <v>365</v>
      </c>
      <c r="G387" s="8" t="s">
        <v>32</v>
      </c>
      <c r="H387" s="32"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c r="W387" s="40" t="str">
        <f t="shared" si="18"/>
        <v>Anita Gupta</v>
      </c>
      <c r="X387" s="35">
        <f t="shared" ref="X387:X450" ca="1" si="19">IFERROR(DATEDIF(H387, TODAY(), "y"), " ")</f>
        <v>42</v>
      </c>
      <c r="Y387" s="29">
        <f t="shared" ref="Y387:Y450" si="20">IFERROR(DATEDIF(D387, E387, "D"), " ")</f>
        <v>7</v>
      </c>
      <c r="Z387" s="41" t="e" cm="1">
        <f t="array" aca="1" ref="Z387" ca="1">_xlfn.IFS(Y387&lt;=5, "On time", AND(Y387&gt;5, Y387&lt;&gt;" "), "Delayed", Y387=" ", "pending" )</f>
        <v>#NAME?</v>
      </c>
    </row>
    <row r="388" spans="1:26">
      <c r="A388" s="3" t="s">
        <v>1699</v>
      </c>
      <c r="B388" s="4" t="s">
        <v>225</v>
      </c>
      <c r="C388" s="4" t="s">
        <v>58</v>
      </c>
      <c r="D388" s="4" t="s">
        <v>706</v>
      </c>
      <c r="E388" s="4" t="s">
        <v>1700</v>
      </c>
      <c r="F388" s="4" t="s">
        <v>229</v>
      </c>
      <c r="G388" s="4" t="s">
        <v>80</v>
      </c>
      <c r="H388" s="31"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c r="W388" s="40" t="str">
        <f t="shared" si="18"/>
        <v>Vikas Mehta</v>
      </c>
      <c r="X388" s="35">
        <f t="shared" ca="1" si="19"/>
        <v>51</v>
      </c>
      <c r="Y388" s="29">
        <f t="shared" si="20"/>
        <v>4</v>
      </c>
      <c r="Z388" s="41" t="e" cm="1">
        <f t="array" aca="1" ref="Z388" ca="1">_xlfn.IFS(Y388&lt;=5, "On time", AND(Y388&gt;5, Y388&lt;&gt;" "), "Delayed", Y388=" ", "pending" )</f>
        <v>#NAME?</v>
      </c>
    </row>
    <row r="389" spans="1:26">
      <c r="A389" s="7" t="s">
        <v>1703</v>
      </c>
      <c r="B389" s="8" t="s">
        <v>75</v>
      </c>
      <c r="C389" s="8" t="s">
        <v>226</v>
      </c>
      <c r="D389" s="8" t="s">
        <v>1310</v>
      </c>
      <c r="E389" s="8" t="s">
        <v>1704</v>
      </c>
      <c r="F389" s="8" t="s">
        <v>221</v>
      </c>
      <c r="G389" s="8" t="s">
        <v>80</v>
      </c>
      <c r="H389" s="32"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c r="W389" s="40" t="str">
        <f t="shared" si="18"/>
        <v>Mohit Verma</v>
      </c>
      <c r="X389" s="35">
        <f t="shared" ca="1" si="19"/>
        <v>43</v>
      </c>
      <c r="Y389" s="29">
        <f t="shared" si="20"/>
        <v>4</v>
      </c>
      <c r="Z389" s="41" t="e" cm="1">
        <f t="array" aca="1" ref="Z389" ca="1">_xlfn.IFS(Y389&lt;=5, "On time", AND(Y389&gt;5, Y389&lt;&gt;" "), "Delayed", Y389=" ", "pending" )</f>
        <v>#NAME?</v>
      </c>
    </row>
    <row r="390" spans="1:26">
      <c r="A390" s="3" t="s">
        <v>1707</v>
      </c>
      <c r="B390" s="4" t="s">
        <v>27</v>
      </c>
      <c r="C390" s="4" t="s">
        <v>28</v>
      </c>
      <c r="D390" s="4" t="s">
        <v>1708</v>
      </c>
      <c r="E390" s="4" t="s">
        <v>1709</v>
      </c>
      <c r="F390" s="4" t="s">
        <v>31</v>
      </c>
      <c r="G390" s="4" t="s">
        <v>32</v>
      </c>
      <c r="H390" s="31"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c r="W390" s="40" t="str">
        <f t="shared" si="18"/>
        <v>Kavya Nair</v>
      </c>
      <c r="X390" s="35">
        <f t="shared" ca="1" si="19"/>
        <v>50</v>
      </c>
      <c r="Y390" s="29">
        <f t="shared" si="20"/>
        <v>3</v>
      </c>
      <c r="Z390" s="41" t="e" cm="1">
        <f t="array" aca="1" ref="Z390" ca="1">_xlfn.IFS(Y390&lt;=5, "On time", AND(Y390&gt;5, Y390&lt;&gt;" "), "Delayed", Y390=" ", "pending" )</f>
        <v>#NAME?</v>
      </c>
    </row>
    <row r="391" spans="1:26">
      <c r="A391" s="7" t="s">
        <v>1712</v>
      </c>
      <c r="B391" s="8" t="s">
        <v>104</v>
      </c>
      <c r="C391" s="8" t="s">
        <v>226</v>
      </c>
      <c r="D391" s="8" t="s">
        <v>1073</v>
      </c>
      <c r="E391" s="8" t="s">
        <v>1413</v>
      </c>
      <c r="F391" s="8" t="s">
        <v>107</v>
      </c>
      <c r="G391" s="8" t="s">
        <v>32</v>
      </c>
      <c r="H391" s="32"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c r="W391" s="40" t="str">
        <f t="shared" si="18"/>
        <v>Priya Patel</v>
      </c>
      <c r="X391" s="35">
        <f t="shared" ca="1" si="19"/>
        <v>40</v>
      </c>
      <c r="Y391" s="29">
        <f t="shared" si="20"/>
        <v>2</v>
      </c>
      <c r="Z391" s="41" t="e" cm="1">
        <f t="array" aca="1" ref="Z391" ca="1">_xlfn.IFS(Y391&lt;=5, "On time", AND(Y391&gt;5, Y391&lt;&gt;" "), "Delayed", Y391=" ", "pending" )</f>
        <v>#NAME?</v>
      </c>
    </row>
    <row r="392" spans="1:26">
      <c r="A392" s="3" t="s">
        <v>1715</v>
      </c>
      <c r="B392" s="4" t="s">
        <v>104</v>
      </c>
      <c r="C392" s="4" t="s">
        <v>76</v>
      </c>
      <c r="D392" s="4" t="s">
        <v>1716</v>
      </c>
      <c r="E392" s="4" t="s">
        <v>1717</v>
      </c>
      <c r="F392" s="4" t="s">
        <v>107</v>
      </c>
      <c r="G392" s="4" t="s">
        <v>32</v>
      </c>
      <c r="H392" s="31"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c r="W392" s="40" t="str">
        <f t="shared" si="18"/>
        <v>Priya Patel</v>
      </c>
      <c r="X392" s="35">
        <f t="shared" ca="1" si="19"/>
        <v>48</v>
      </c>
      <c r="Y392" s="29">
        <f t="shared" si="20"/>
        <v>1</v>
      </c>
      <c r="Z392" s="41" t="e" cm="1">
        <f t="array" aca="1" ref="Z392" ca="1">_xlfn.IFS(Y392&lt;=5, "On time", AND(Y392&gt;5, Y392&lt;&gt;" "), "Delayed", Y392=" ", "pending" )</f>
        <v>#NAME?</v>
      </c>
    </row>
    <row r="393" spans="1:26">
      <c r="A393" s="7" t="s">
        <v>1720</v>
      </c>
      <c r="B393" s="8" t="s">
        <v>57</v>
      </c>
      <c r="C393" s="8" t="s">
        <v>226</v>
      </c>
      <c r="D393" s="8" t="s">
        <v>1721</v>
      </c>
      <c r="E393" s="8" t="s">
        <v>1722</v>
      </c>
      <c r="F393" s="8" t="s">
        <v>167</v>
      </c>
      <c r="G393" s="8" t="s">
        <v>32</v>
      </c>
      <c r="H393" s="32"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c r="W393" s="40" t="str">
        <f t="shared" si="18"/>
        <v>Pooja Shah</v>
      </c>
      <c r="X393" s="35">
        <f t="shared" ca="1" si="19"/>
        <v>30</v>
      </c>
      <c r="Y393" s="29">
        <f t="shared" si="20"/>
        <v>9</v>
      </c>
      <c r="Z393" s="41" t="e" cm="1">
        <f t="array" aca="1" ref="Z393" ca="1">_xlfn.IFS(Y393&lt;=5, "On time", AND(Y393&gt;5, Y393&lt;&gt;" "), "Delayed", Y393=" ", "pending" )</f>
        <v>#NAME?</v>
      </c>
    </row>
    <row r="394" spans="1:26">
      <c r="A394" s="3" t="s">
        <v>1725</v>
      </c>
      <c r="B394" s="4" t="s">
        <v>255</v>
      </c>
      <c r="C394" s="4" t="s">
        <v>76</v>
      </c>
      <c r="D394" s="4" t="s">
        <v>209</v>
      </c>
      <c r="E394" s="4" t="s">
        <v>210</v>
      </c>
      <c r="F394" s="4" t="s">
        <v>258</v>
      </c>
      <c r="G394" s="4" t="s">
        <v>32</v>
      </c>
      <c r="H394" s="31"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c r="W394" s="40" t="str">
        <f t="shared" si="18"/>
        <v>Sneha Joshi</v>
      </c>
      <c r="X394" s="35">
        <f t="shared" ca="1" si="19"/>
        <v>33</v>
      </c>
      <c r="Y394" s="29">
        <f t="shared" si="20"/>
        <v>5</v>
      </c>
      <c r="Z394" s="41" t="e" cm="1">
        <f t="array" aca="1" ref="Z394" ca="1">_xlfn.IFS(Y394&lt;=5, "On time", AND(Y394&gt;5, Y394&lt;&gt;" "), "Delayed", Y394=" ", "pending" )</f>
        <v>#NAME?</v>
      </c>
    </row>
    <row r="395" spans="1:26">
      <c r="A395" s="7" t="s">
        <v>1728</v>
      </c>
      <c r="B395" s="8" t="s">
        <v>104</v>
      </c>
      <c r="C395" s="8" t="s">
        <v>173</v>
      </c>
      <c r="D395" s="8" t="s">
        <v>1709</v>
      </c>
      <c r="E395" s="8" t="s">
        <v>787</v>
      </c>
      <c r="F395" s="8" t="s">
        <v>107</v>
      </c>
      <c r="G395" s="8" t="s">
        <v>32</v>
      </c>
      <c r="H395" s="32"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c r="W395" s="40" t="str">
        <f t="shared" si="18"/>
        <v>Priya Patel</v>
      </c>
      <c r="X395" s="35">
        <f t="shared" ca="1" si="19"/>
        <v>30</v>
      </c>
      <c r="Y395" s="29">
        <f t="shared" si="20"/>
        <v>1</v>
      </c>
      <c r="Z395" s="41" t="e" cm="1">
        <f t="array" aca="1" ref="Z395" ca="1">_xlfn.IFS(Y395&lt;=5, "On time", AND(Y395&gt;5, Y395&lt;&gt;" "), "Delayed", Y395=" ", "pending" )</f>
        <v>#NAME?</v>
      </c>
    </row>
    <row r="396" spans="1:26">
      <c r="A396" s="3" t="s">
        <v>1731</v>
      </c>
      <c r="B396" s="4" t="s">
        <v>27</v>
      </c>
      <c r="C396" s="4" t="s">
        <v>173</v>
      </c>
      <c r="D396" s="4" t="s">
        <v>1306</v>
      </c>
      <c r="E396" s="4" t="s">
        <v>1732</v>
      </c>
      <c r="F396" s="4" t="s">
        <v>31</v>
      </c>
      <c r="G396" s="4" t="s">
        <v>32</v>
      </c>
      <c r="H396" s="31"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c r="W396" s="40" t="str">
        <f t="shared" si="18"/>
        <v>Kavya Nair</v>
      </c>
      <c r="X396" s="35">
        <f t="shared" ca="1" si="19"/>
        <v>32</v>
      </c>
      <c r="Y396" s="29">
        <f t="shared" si="20"/>
        <v>8</v>
      </c>
      <c r="Z396" s="41" t="e" cm="1">
        <f t="array" aca="1" ref="Z396" ca="1">_xlfn.IFS(Y396&lt;=5, "On time", AND(Y396&gt;5, Y396&lt;&gt;" "), "Delayed", Y396=" ", "pending" )</f>
        <v>#NAME?</v>
      </c>
    </row>
    <row r="397" spans="1:26">
      <c r="A397" s="7" t="s">
        <v>1735</v>
      </c>
      <c r="B397" s="8" t="s">
        <v>131</v>
      </c>
      <c r="C397" s="8" t="s">
        <v>44</v>
      </c>
      <c r="D397" s="8" t="s">
        <v>1736</v>
      </c>
      <c r="E397" s="8" t="s">
        <v>1737</v>
      </c>
      <c r="F397" s="8" t="s">
        <v>204</v>
      </c>
      <c r="G397" s="8" t="s">
        <v>80</v>
      </c>
      <c r="H397" s="32"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c r="W397" s="40" t="str">
        <f t="shared" si="18"/>
        <v>Rohit Singh</v>
      </c>
      <c r="X397" s="35">
        <f t="shared" ca="1" si="19"/>
        <v>46</v>
      </c>
      <c r="Y397" s="29">
        <f t="shared" si="20"/>
        <v>12</v>
      </c>
      <c r="Z397" s="41" t="e" cm="1">
        <f t="array" aca="1" ref="Z397" ca="1">_xlfn.IFS(Y397&lt;=5, "On time", AND(Y397&gt;5, Y397&lt;&gt;" "), "Delayed", Y397=" ", "pending" )</f>
        <v>#NAME?</v>
      </c>
    </row>
    <row r="398" spans="1:26">
      <c r="A398" s="3" t="s">
        <v>1740</v>
      </c>
      <c r="B398" s="4" t="s">
        <v>87</v>
      </c>
      <c r="C398" s="4" t="s">
        <v>188</v>
      </c>
      <c r="D398" s="4" t="s">
        <v>146</v>
      </c>
      <c r="E398" s="4" t="s">
        <v>1741</v>
      </c>
      <c r="F398" s="4" t="s">
        <v>184</v>
      </c>
      <c r="G398" s="4" t="s">
        <v>80</v>
      </c>
      <c r="H398" s="31"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c r="W398" s="40" t="str">
        <f t="shared" si="18"/>
        <v>Arjun Rao</v>
      </c>
      <c r="X398" s="35">
        <f t="shared" ca="1" si="19"/>
        <v>35</v>
      </c>
      <c r="Y398" s="29">
        <f t="shared" si="20"/>
        <v>3</v>
      </c>
      <c r="Z398" s="41" t="e" cm="1">
        <f t="array" aca="1" ref="Z398" ca="1">_xlfn.IFS(Y398&lt;=5, "On time", AND(Y398&gt;5, Y398&lt;&gt;" "), "Delayed", Y398=" ", "pending" )</f>
        <v>#NAME?</v>
      </c>
    </row>
    <row r="399" spans="1:26">
      <c r="A399" s="7" t="s">
        <v>1744</v>
      </c>
      <c r="B399" s="8" t="s">
        <v>87</v>
      </c>
      <c r="C399" s="8" t="s">
        <v>44</v>
      </c>
      <c r="D399" s="8" t="s">
        <v>1658</v>
      </c>
      <c r="E399" s="8" t="s">
        <v>769</v>
      </c>
      <c r="F399" s="8" t="s">
        <v>184</v>
      </c>
      <c r="G399" s="8" t="s">
        <v>80</v>
      </c>
      <c r="H399" s="32"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c r="W399" s="40" t="str">
        <f t="shared" si="18"/>
        <v>Arjun Rao</v>
      </c>
      <c r="X399" s="35">
        <f t="shared" ca="1" si="19"/>
        <v>47</v>
      </c>
      <c r="Y399" s="29">
        <f t="shared" si="20"/>
        <v>4</v>
      </c>
      <c r="Z399" s="41" t="e" cm="1">
        <f t="array" aca="1" ref="Z399" ca="1">_xlfn.IFS(Y399&lt;=5, "On time", AND(Y399&gt;5, Y399&lt;&gt;" "), "Delayed", Y399=" ", "pending" )</f>
        <v>#NAME?</v>
      </c>
    </row>
    <row r="400" spans="1:26">
      <c r="A400" s="3" t="s">
        <v>1747</v>
      </c>
      <c r="B400" s="4" t="s">
        <v>331</v>
      </c>
      <c r="C400" s="4" t="s">
        <v>188</v>
      </c>
      <c r="D400" s="4"/>
      <c r="E400" s="4" t="s">
        <v>1229</v>
      </c>
      <c r="F400" s="4" t="s">
        <v>398</v>
      </c>
      <c r="G400" s="4" t="s">
        <v>80</v>
      </c>
      <c r="H400" s="31"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c r="W400" s="40" t="str">
        <f t="shared" si="18"/>
        <v>Amit Sharma</v>
      </c>
      <c r="X400" s="35">
        <f t="shared" ca="1" si="19"/>
        <v>46</v>
      </c>
      <c r="Y400" s="29">
        <f t="shared" si="20"/>
        <v>45964</v>
      </c>
      <c r="Z400" s="41" t="e" cm="1">
        <f t="array" aca="1" ref="Z400" ca="1">_xlfn.IFS(Y400&lt;=5, "On time", AND(Y400&gt;5, Y400&lt;&gt;" "), "Delayed", Y400=" ", "pending" )</f>
        <v>#NAME?</v>
      </c>
    </row>
    <row r="401" spans="1:26">
      <c r="A401" s="7" t="s">
        <v>1750</v>
      </c>
      <c r="B401" s="8" t="s">
        <v>27</v>
      </c>
      <c r="C401" s="8" t="s">
        <v>76</v>
      </c>
      <c r="D401" s="8" t="s">
        <v>1751</v>
      </c>
      <c r="E401" s="8" t="s">
        <v>711</v>
      </c>
      <c r="F401" s="8" t="s">
        <v>31</v>
      </c>
      <c r="G401" s="8" t="s">
        <v>32</v>
      </c>
      <c r="H401" s="32"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c r="W401" s="40" t="str">
        <f t="shared" si="18"/>
        <v>Kavya Nair</v>
      </c>
      <c r="X401" s="35">
        <f t="shared" ca="1" si="19"/>
        <v>25</v>
      </c>
      <c r="Y401" s="29">
        <f t="shared" si="20"/>
        <v>8</v>
      </c>
      <c r="Z401" s="41" t="e" cm="1">
        <f t="array" aca="1" ref="Z401" ca="1">_xlfn.IFS(Y401&lt;=5, "On time", AND(Y401&gt;5, Y401&lt;&gt;" "), "Delayed", Y401=" ", "pending" )</f>
        <v>#NAME?</v>
      </c>
    </row>
    <row r="402" spans="1:26">
      <c r="A402" s="3" t="s">
        <v>1754</v>
      </c>
      <c r="B402" s="4" t="s">
        <v>75</v>
      </c>
      <c r="C402" s="4" t="s">
        <v>173</v>
      </c>
      <c r="D402" s="4" t="s">
        <v>1056</v>
      </c>
      <c r="E402" s="4" t="s">
        <v>88</v>
      </c>
      <c r="F402" s="4" t="s">
        <v>221</v>
      </c>
      <c r="G402" s="4" t="s">
        <v>80</v>
      </c>
      <c r="H402" s="31"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c r="W402" s="40" t="str">
        <f t="shared" si="18"/>
        <v>Mohit Verma</v>
      </c>
      <c r="X402" s="35">
        <f t="shared" ca="1" si="19"/>
        <v>43</v>
      </c>
      <c r="Y402" s="29">
        <f t="shared" si="20"/>
        <v>8</v>
      </c>
      <c r="Z402" s="41" t="e" cm="1">
        <f t="array" aca="1" ref="Z402" ca="1">_xlfn.IFS(Y402&lt;=5, "On time", AND(Y402&gt;5, Y402&lt;&gt;" "), "Delayed", Y402=" ", "pending" )</f>
        <v>#NAME?</v>
      </c>
    </row>
    <row r="403" spans="1:26">
      <c r="A403" s="7" t="s">
        <v>1757</v>
      </c>
      <c r="B403" s="8" t="s">
        <v>27</v>
      </c>
      <c r="C403" s="8" t="s">
        <v>226</v>
      </c>
      <c r="D403" s="8" t="s">
        <v>1377</v>
      </c>
      <c r="E403" s="8" t="s">
        <v>390</v>
      </c>
      <c r="F403" s="8" t="s">
        <v>31</v>
      </c>
      <c r="G403" s="8" t="s">
        <v>32</v>
      </c>
      <c r="H403" s="32"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c r="W403" s="40" t="str">
        <f t="shared" si="18"/>
        <v>Kavya Nair</v>
      </c>
      <c r="X403" s="35">
        <f t="shared" ca="1" si="19"/>
        <v>36</v>
      </c>
      <c r="Y403" s="29">
        <f t="shared" si="20"/>
        <v>10</v>
      </c>
      <c r="Z403" s="41" t="e" cm="1">
        <f t="array" aca="1" ref="Z403" ca="1">_xlfn.IFS(Y403&lt;=5, "On time", AND(Y403&gt;5, Y403&lt;&gt;" "), "Delayed", Y403=" ", "pending" )</f>
        <v>#NAME?</v>
      </c>
    </row>
    <row r="404" spans="1:26">
      <c r="A404" s="3" t="s">
        <v>1760</v>
      </c>
      <c r="B404" s="4" t="s">
        <v>75</v>
      </c>
      <c r="C404" s="4" t="s">
        <v>173</v>
      </c>
      <c r="D404" s="4" t="s">
        <v>245</v>
      </c>
      <c r="E404" s="4" t="s">
        <v>408</v>
      </c>
      <c r="F404" s="4" t="s">
        <v>221</v>
      </c>
      <c r="G404" s="4" t="s">
        <v>80</v>
      </c>
      <c r="H404" s="31"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c r="W404" s="40" t="str">
        <f t="shared" si="18"/>
        <v>Mohit Verma</v>
      </c>
      <c r="X404" s="35">
        <f t="shared" ca="1" si="19"/>
        <v>32</v>
      </c>
      <c r="Y404" s="29">
        <f t="shared" si="20"/>
        <v>6</v>
      </c>
      <c r="Z404" s="41" t="e" cm="1">
        <f t="array" aca="1" ref="Z404" ca="1">_xlfn.IFS(Y404&lt;=5, "On time", AND(Y404&gt;5, Y404&lt;&gt;" "), "Delayed", Y404=" ", "pending" )</f>
        <v>#NAME?</v>
      </c>
    </row>
    <row r="405" spans="1:26">
      <c r="A405" s="7" t="s">
        <v>1763</v>
      </c>
      <c r="B405" s="8" t="s">
        <v>27</v>
      </c>
      <c r="C405" s="8" t="s">
        <v>173</v>
      </c>
      <c r="D405" s="8" t="s">
        <v>1225</v>
      </c>
      <c r="E405" s="8" t="s">
        <v>1764</v>
      </c>
      <c r="F405" s="8" t="s">
        <v>31</v>
      </c>
      <c r="G405" s="8" t="s">
        <v>32</v>
      </c>
      <c r="H405" s="32"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c r="W405" s="40" t="str">
        <f t="shared" si="18"/>
        <v>Kavya Nair</v>
      </c>
      <c r="X405" s="35">
        <f t="shared" ca="1" si="19"/>
        <v>26</v>
      </c>
      <c r="Y405" s="29">
        <f t="shared" si="20"/>
        <v>11</v>
      </c>
      <c r="Z405" s="41" t="e" cm="1">
        <f t="array" aca="1" ref="Z405" ca="1">_xlfn.IFS(Y405&lt;=5, "On time", AND(Y405&gt;5, Y405&lt;&gt;" "), "Delayed", Y405=" ", "pending" )</f>
        <v>#NAME?</v>
      </c>
    </row>
    <row r="406" spans="1:26">
      <c r="A406" s="3" t="s">
        <v>1767</v>
      </c>
      <c r="B406" s="4" t="s">
        <v>57</v>
      </c>
      <c r="C406" s="4" t="s">
        <v>226</v>
      </c>
      <c r="D406" s="4" t="s">
        <v>487</v>
      </c>
      <c r="E406" s="4" t="s">
        <v>1768</v>
      </c>
      <c r="F406" s="4" t="s">
        <v>167</v>
      </c>
      <c r="G406" s="4" t="s">
        <v>32</v>
      </c>
      <c r="H406" s="31"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c r="W406" s="40" t="str">
        <f t="shared" si="18"/>
        <v>Pooja Shah</v>
      </c>
      <c r="X406" s="35">
        <f t="shared" ca="1" si="19"/>
        <v>42</v>
      </c>
      <c r="Y406" s="29">
        <f t="shared" si="20"/>
        <v>6</v>
      </c>
      <c r="Z406" s="41" t="e" cm="1">
        <f t="array" aca="1" ref="Z406" ca="1">_xlfn.IFS(Y406&lt;=5, "On time", AND(Y406&gt;5, Y406&lt;&gt;" "), "Delayed", Y406=" ", "pending" )</f>
        <v>#NAME?</v>
      </c>
    </row>
    <row r="407" spans="1:26">
      <c r="A407" s="7" t="s">
        <v>1771</v>
      </c>
      <c r="B407" s="8" t="s">
        <v>172</v>
      </c>
      <c r="C407" s="8" t="s">
        <v>173</v>
      </c>
      <c r="D407" s="8" t="s">
        <v>236</v>
      </c>
      <c r="E407" s="8" t="s">
        <v>645</v>
      </c>
      <c r="F407" s="8" t="s">
        <v>365</v>
      </c>
      <c r="G407" s="8" t="s">
        <v>32</v>
      </c>
      <c r="H407" s="32"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c r="W407" s="40" t="str">
        <f t="shared" si="18"/>
        <v>Anita Gupta</v>
      </c>
      <c r="X407" s="35">
        <f t="shared" ca="1" si="19"/>
        <v>35</v>
      </c>
      <c r="Y407" s="29">
        <f t="shared" si="20"/>
        <v>10</v>
      </c>
      <c r="Z407" s="41" t="e" cm="1">
        <f t="array" aca="1" ref="Z407" ca="1">_xlfn.IFS(Y407&lt;=5, "On time", AND(Y407&gt;5, Y407&lt;&gt;" "), "Delayed", Y407=" ", "pending" )</f>
        <v>#NAME?</v>
      </c>
    </row>
    <row r="408" spans="1:26">
      <c r="A408" s="3" t="s">
        <v>1774</v>
      </c>
      <c r="B408" s="4" t="s">
        <v>57</v>
      </c>
      <c r="C408" s="4" t="s">
        <v>263</v>
      </c>
      <c r="D408" s="4" t="s">
        <v>312</v>
      </c>
      <c r="E408" s="4" t="s">
        <v>285</v>
      </c>
      <c r="F408" s="4" t="s">
        <v>167</v>
      </c>
      <c r="G408" s="4" t="s">
        <v>32</v>
      </c>
      <c r="H408" s="31"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c r="W408" s="40" t="str">
        <f t="shared" si="18"/>
        <v>Pooja Shah</v>
      </c>
      <c r="X408" s="35">
        <f t="shared" ca="1" si="19"/>
        <v>30</v>
      </c>
      <c r="Y408" s="29">
        <f t="shared" si="20"/>
        <v>4</v>
      </c>
      <c r="Z408" s="41" t="e" cm="1">
        <f t="array" aca="1" ref="Z408" ca="1">_xlfn.IFS(Y408&lt;=5, "On time", AND(Y408&gt;5, Y408&lt;&gt;" "), "Delayed", Y408=" ", "pending" )</f>
        <v>#NAME?</v>
      </c>
    </row>
    <row r="409" spans="1:26">
      <c r="A409" s="7" t="s">
        <v>1777</v>
      </c>
      <c r="B409" s="8" t="s">
        <v>75</v>
      </c>
      <c r="C409" s="8" t="s">
        <v>263</v>
      </c>
      <c r="D409" s="8" t="s">
        <v>687</v>
      </c>
      <c r="E409" s="8" t="s">
        <v>688</v>
      </c>
      <c r="F409" s="8" t="s">
        <v>221</v>
      </c>
      <c r="G409" s="8" t="s">
        <v>80</v>
      </c>
      <c r="H409" s="32"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c r="W409" s="40" t="str">
        <f t="shared" si="18"/>
        <v>Mohit Verma</v>
      </c>
      <c r="X409" s="35">
        <f t="shared" ca="1" si="19"/>
        <v>34</v>
      </c>
      <c r="Y409" s="29">
        <f t="shared" si="20"/>
        <v>3</v>
      </c>
      <c r="Z409" s="41" t="e" cm="1">
        <f t="array" aca="1" ref="Z409" ca="1">_xlfn.IFS(Y409&lt;=5, "On time", AND(Y409&gt;5, Y409&lt;&gt;" "), "Delayed", Y409=" ", "pending" )</f>
        <v>#NAME?</v>
      </c>
    </row>
    <row r="410" spans="1:26">
      <c r="A410" s="3" t="s">
        <v>1780</v>
      </c>
      <c r="B410" s="4" t="s">
        <v>104</v>
      </c>
      <c r="C410" s="4" t="s">
        <v>263</v>
      </c>
      <c r="D410" s="4" t="s">
        <v>1383</v>
      </c>
      <c r="E410" s="4" t="s">
        <v>904</v>
      </c>
      <c r="F410" s="4" t="s">
        <v>107</v>
      </c>
      <c r="G410" s="4" t="s">
        <v>32</v>
      </c>
      <c r="H410" s="31"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c r="W410" s="40" t="str">
        <f t="shared" si="18"/>
        <v>Priya Patel</v>
      </c>
      <c r="X410" s="35">
        <f t="shared" ca="1" si="19"/>
        <v>38</v>
      </c>
      <c r="Y410" s="29">
        <f t="shared" si="20"/>
        <v>10</v>
      </c>
      <c r="Z410" s="41" t="e" cm="1">
        <f t="array" aca="1" ref="Z410" ca="1">_xlfn.IFS(Y410&lt;=5, "On time", AND(Y410&gt;5, Y410&lt;&gt;" "), "Delayed", Y410=" ", "pending" )</f>
        <v>#NAME?</v>
      </c>
    </row>
    <row r="411" spans="1:26">
      <c r="A411" s="7" t="s">
        <v>1783</v>
      </c>
      <c r="B411" s="8" t="s">
        <v>131</v>
      </c>
      <c r="C411" s="8" t="s">
        <v>76</v>
      </c>
      <c r="D411" s="8" t="s">
        <v>467</v>
      </c>
      <c r="E411" s="8" t="s">
        <v>220</v>
      </c>
      <c r="F411" s="8" t="s">
        <v>204</v>
      </c>
      <c r="G411" s="8" t="s">
        <v>80</v>
      </c>
      <c r="H411" s="32"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c r="W411" s="40" t="str">
        <f t="shared" si="18"/>
        <v>Rohit Singh</v>
      </c>
      <c r="X411" s="35">
        <f t="shared" ca="1" si="19"/>
        <v>33</v>
      </c>
      <c r="Y411" s="29">
        <f t="shared" si="20"/>
        <v>8</v>
      </c>
      <c r="Z411" s="41" t="e" cm="1">
        <f t="array" aca="1" ref="Z411" ca="1">_xlfn.IFS(Y411&lt;=5, "On time", AND(Y411&gt;5, Y411&lt;&gt;" "), "Delayed", Y411=" ", "pending" )</f>
        <v>#NAME?</v>
      </c>
    </row>
    <row r="412" spans="1:26">
      <c r="A412" s="3" t="s">
        <v>1786</v>
      </c>
      <c r="B412" s="4" t="s">
        <v>27</v>
      </c>
      <c r="C412" s="4" t="s">
        <v>226</v>
      </c>
      <c r="D412" s="4" t="s">
        <v>1348</v>
      </c>
      <c r="E412" s="4" t="s">
        <v>1787</v>
      </c>
      <c r="F412" s="4" t="s">
        <v>31</v>
      </c>
      <c r="G412" s="4" t="s">
        <v>32</v>
      </c>
      <c r="H412" s="31"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c r="W412" s="40" t="str">
        <f t="shared" si="18"/>
        <v>Kavya Nair</v>
      </c>
      <c r="X412" s="35">
        <f t="shared" ca="1" si="19"/>
        <v>22</v>
      </c>
      <c r="Y412" s="29">
        <f t="shared" si="20"/>
        <v>6</v>
      </c>
      <c r="Z412" s="41" t="e" cm="1">
        <f t="array" aca="1" ref="Z412" ca="1">_xlfn.IFS(Y412&lt;=5, "On time", AND(Y412&gt;5, Y412&lt;&gt;" "), "Delayed", Y412=" ", "pending" )</f>
        <v>#NAME?</v>
      </c>
    </row>
    <row r="413" spans="1:26">
      <c r="A413" s="7" t="s">
        <v>1790</v>
      </c>
      <c r="B413" s="8" t="s">
        <v>104</v>
      </c>
      <c r="C413" s="8" t="s">
        <v>96</v>
      </c>
      <c r="D413" s="8" t="s">
        <v>1791</v>
      </c>
      <c r="E413" s="8" t="s">
        <v>1693</v>
      </c>
      <c r="F413" s="8" t="s">
        <v>107</v>
      </c>
      <c r="G413" s="8" t="s">
        <v>32</v>
      </c>
      <c r="H413" s="32"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c r="W413" s="40" t="str">
        <f t="shared" si="18"/>
        <v>Priya Patel</v>
      </c>
      <c r="X413" s="35">
        <f t="shared" ca="1" si="19"/>
        <v>47</v>
      </c>
      <c r="Y413" s="29">
        <f t="shared" si="20"/>
        <v>12</v>
      </c>
      <c r="Z413" s="41" t="e" cm="1">
        <f t="array" aca="1" ref="Z413" ca="1">_xlfn.IFS(Y413&lt;=5, "On time", AND(Y413&gt;5, Y413&lt;&gt;" "), "Delayed", Y413=" ", "pending" )</f>
        <v>#NAME?</v>
      </c>
    </row>
    <row r="414" spans="1:26">
      <c r="A414" s="3" t="s">
        <v>1794</v>
      </c>
      <c r="B414" s="4" t="s">
        <v>255</v>
      </c>
      <c r="C414" s="4" t="s">
        <v>226</v>
      </c>
      <c r="D414" s="4" t="s">
        <v>991</v>
      </c>
      <c r="E414" s="4" t="s">
        <v>1114</v>
      </c>
      <c r="F414" s="4" t="s">
        <v>258</v>
      </c>
      <c r="G414" s="4" t="s">
        <v>32</v>
      </c>
      <c r="H414" s="31"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c r="W414" s="40" t="str">
        <f t="shared" si="18"/>
        <v>Sneha Joshi</v>
      </c>
      <c r="X414" s="35">
        <f t="shared" ca="1" si="19"/>
        <v>32</v>
      </c>
      <c r="Y414" s="29">
        <f t="shared" si="20"/>
        <v>8</v>
      </c>
      <c r="Z414" s="41" t="e" cm="1">
        <f t="array" aca="1" ref="Z414" ca="1">_xlfn.IFS(Y414&lt;=5, "On time", AND(Y414&gt;5, Y414&lt;&gt;" "), "Delayed", Y414=" ", "pending" )</f>
        <v>#NAME?</v>
      </c>
    </row>
    <row r="415" spans="1:26">
      <c r="A415" s="7" t="s">
        <v>1797</v>
      </c>
      <c r="B415" s="8" t="s">
        <v>172</v>
      </c>
      <c r="C415" s="8" t="s">
        <v>58</v>
      </c>
      <c r="D415" s="8" t="s">
        <v>656</v>
      </c>
      <c r="E415" s="8" t="s">
        <v>670</v>
      </c>
      <c r="F415" s="8" t="s">
        <v>365</v>
      </c>
      <c r="G415" s="8" t="s">
        <v>32</v>
      </c>
      <c r="H415" s="32"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c r="W415" s="40" t="str">
        <f t="shared" si="18"/>
        <v>Anita Gupta</v>
      </c>
      <c r="X415" s="35">
        <f t="shared" ca="1" si="19"/>
        <v>46</v>
      </c>
      <c r="Y415" s="29">
        <f t="shared" si="20"/>
        <v>5</v>
      </c>
      <c r="Z415" s="41" t="e" cm="1">
        <f t="array" aca="1" ref="Z415" ca="1">_xlfn.IFS(Y415&lt;=5, "On time", AND(Y415&gt;5, Y415&lt;&gt;" "), "Delayed", Y415=" ", "pending" )</f>
        <v>#NAME?</v>
      </c>
    </row>
    <row r="416" spans="1:26">
      <c r="A416" s="3" t="s">
        <v>1800</v>
      </c>
      <c r="B416" s="4" t="s">
        <v>104</v>
      </c>
      <c r="C416" s="4" t="s">
        <v>122</v>
      </c>
      <c r="D416" s="4" t="s">
        <v>146</v>
      </c>
      <c r="E416" s="4" t="s">
        <v>624</v>
      </c>
      <c r="F416" s="4" t="s">
        <v>107</v>
      </c>
      <c r="G416" s="4" t="s">
        <v>32</v>
      </c>
      <c r="H416" s="31"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c r="W416" s="40" t="str">
        <f t="shared" si="18"/>
        <v>Priya Patel</v>
      </c>
      <c r="X416" s="35">
        <f t="shared" ca="1" si="19"/>
        <v>24</v>
      </c>
      <c r="Y416" s="29">
        <f t="shared" si="20"/>
        <v>5</v>
      </c>
      <c r="Z416" s="41" t="e" cm="1">
        <f t="array" aca="1" ref="Z416" ca="1">_xlfn.IFS(Y416&lt;=5, "On time", AND(Y416&gt;5, Y416&lt;&gt;" "), "Delayed", Y416=" ", "pending" )</f>
        <v>#NAME?</v>
      </c>
    </row>
    <row r="417" spans="1:26">
      <c r="A417" s="7" t="s">
        <v>1803</v>
      </c>
      <c r="B417" s="8" t="s">
        <v>87</v>
      </c>
      <c r="C417" s="8" t="s">
        <v>188</v>
      </c>
      <c r="D417" s="8" t="s">
        <v>1804</v>
      </c>
      <c r="E417" s="8" t="s">
        <v>70</v>
      </c>
      <c r="F417" s="8" t="s">
        <v>184</v>
      </c>
      <c r="G417" s="8" t="s">
        <v>80</v>
      </c>
      <c r="H417" s="32"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c r="W417" s="40" t="str">
        <f t="shared" si="18"/>
        <v>Arjun Rao</v>
      </c>
      <c r="X417" s="35">
        <f t="shared" ca="1" si="19"/>
        <v>50</v>
      </c>
      <c r="Y417" s="29">
        <f t="shared" si="20"/>
        <v>6</v>
      </c>
      <c r="Z417" s="41" t="e" cm="1">
        <f t="array" aca="1" ref="Z417" ca="1">_xlfn.IFS(Y417&lt;=5, "On time", AND(Y417&gt;5, Y417&lt;&gt;" "), "Delayed", Y417=" ", "pending" )</f>
        <v>#NAME?</v>
      </c>
    </row>
    <row r="418" spans="1:26">
      <c r="A418" s="3" t="s">
        <v>1807</v>
      </c>
      <c r="B418" s="4" t="s">
        <v>225</v>
      </c>
      <c r="C418" s="4" t="s">
        <v>44</v>
      </c>
      <c r="D418" s="4" t="s">
        <v>1203</v>
      </c>
      <c r="E418" s="4" t="s">
        <v>444</v>
      </c>
      <c r="F418" s="4" t="s">
        <v>229</v>
      </c>
      <c r="G418" s="4" t="s">
        <v>80</v>
      </c>
      <c r="H418" s="31"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c r="W418" s="40" t="str">
        <f t="shared" si="18"/>
        <v>Vikas Mehta</v>
      </c>
      <c r="X418" s="35">
        <f t="shared" ca="1" si="19"/>
        <v>45</v>
      </c>
      <c r="Y418" s="29">
        <f t="shared" si="20"/>
        <v>4</v>
      </c>
      <c r="Z418" s="41" t="e" cm="1">
        <f t="array" aca="1" ref="Z418" ca="1">_xlfn.IFS(Y418&lt;=5, "On time", AND(Y418&gt;5, Y418&lt;&gt;" "), "Delayed", Y418=" ", "pending" )</f>
        <v>#NAME?</v>
      </c>
    </row>
    <row r="419" spans="1:26">
      <c r="A419" s="7" t="s">
        <v>1810</v>
      </c>
      <c r="B419" s="8" t="s">
        <v>87</v>
      </c>
      <c r="C419" s="8" t="s">
        <v>44</v>
      </c>
      <c r="D419" s="8" t="s">
        <v>1811</v>
      </c>
      <c r="E419" s="8" t="s">
        <v>1085</v>
      </c>
      <c r="F419" s="8" t="s">
        <v>184</v>
      </c>
      <c r="G419" s="8" t="s">
        <v>80</v>
      </c>
      <c r="H419" s="32"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c r="W419" s="40" t="str">
        <f t="shared" si="18"/>
        <v>Arjun Rao</v>
      </c>
      <c r="X419" s="35">
        <f t="shared" ca="1" si="19"/>
        <v>38</v>
      </c>
      <c r="Y419" s="29">
        <f t="shared" si="20"/>
        <v>12</v>
      </c>
      <c r="Z419" s="41" t="e" cm="1">
        <f t="array" aca="1" ref="Z419" ca="1">_xlfn.IFS(Y419&lt;=5, "On time", AND(Y419&gt;5, Y419&lt;&gt;" "), "Delayed", Y419=" ", "pending" )</f>
        <v>#NAME?</v>
      </c>
    </row>
    <row r="420" spans="1:26">
      <c r="A420" s="3" t="s">
        <v>1814</v>
      </c>
      <c r="B420" s="4" t="s">
        <v>87</v>
      </c>
      <c r="C420" s="4" t="s">
        <v>263</v>
      </c>
      <c r="D420" s="4" t="s">
        <v>123</v>
      </c>
      <c r="E420" s="4" t="s">
        <v>1302</v>
      </c>
      <c r="F420" s="4" t="s">
        <v>184</v>
      </c>
      <c r="G420" s="4" t="s">
        <v>80</v>
      </c>
      <c r="H420" s="31"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c r="W420" s="40" t="str">
        <f t="shared" si="18"/>
        <v>Arjun Rao</v>
      </c>
      <c r="X420" s="35">
        <f t="shared" ca="1" si="19"/>
        <v>23</v>
      </c>
      <c r="Y420" s="29">
        <f t="shared" si="20"/>
        <v>4</v>
      </c>
      <c r="Z420" s="41" t="e" cm="1">
        <f t="array" aca="1" ref="Z420" ca="1">_xlfn.IFS(Y420&lt;=5, "On time", AND(Y420&gt;5, Y420&lt;&gt;" "), "Delayed", Y420=" ", "pending" )</f>
        <v>#NAME?</v>
      </c>
    </row>
    <row r="421" spans="1:26">
      <c r="A421" s="7" t="s">
        <v>1817</v>
      </c>
      <c r="B421" s="8" t="s">
        <v>131</v>
      </c>
      <c r="C421" s="8" t="s">
        <v>76</v>
      </c>
      <c r="D421" s="8" t="s">
        <v>45</v>
      </c>
      <c r="E421" s="8" t="s">
        <v>600</v>
      </c>
      <c r="F421" s="8" t="s">
        <v>204</v>
      </c>
      <c r="G421" s="8" t="s">
        <v>80</v>
      </c>
      <c r="H421" s="32"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c r="W421" s="40" t="str">
        <f t="shared" si="18"/>
        <v>Rohit Singh</v>
      </c>
      <c r="X421" s="35">
        <f t="shared" ca="1" si="19"/>
        <v>44</v>
      </c>
      <c r="Y421" s="29">
        <f t="shared" si="20"/>
        <v>12</v>
      </c>
      <c r="Z421" s="41" t="e" cm="1">
        <f t="array" aca="1" ref="Z421" ca="1">_xlfn.IFS(Y421&lt;=5, "On time", AND(Y421&gt;5, Y421&lt;&gt;" "), "Delayed", Y421=" ", "pending" )</f>
        <v>#NAME?</v>
      </c>
    </row>
    <row r="422" spans="1:26">
      <c r="A422" s="3" t="s">
        <v>1820</v>
      </c>
      <c r="B422" s="4" t="s">
        <v>75</v>
      </c>
      <c r="C422" s="4" t="s">
        <v>76</v>
      </c>
      <c r="D422" s="4" t="s">
        <v>132</v>
      </c>
      <c r="E422" s="4" t="s">
        <v>1821</v>
      </c>
      <c r="F422" s="4" t="s">
        <v>221</v>
      </c>
      <c r="G422" s="4" t="s">
        <v>80</v>
      </c>
      <c r="H422" s="31"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c r="W422" s="40" t="str">
        <f t="shared" si="18"/>
        <v>Mohit Verma</v>
      </c>
      <c r="X422" s="35">
        <f t="shared" ca="1" si="19"/>
        <v>51</v>
      </c>
      <c r="Y422" s="29">
        <f t="shared" si="20"/>
        <v>7</v>
      </c>
      <c r="Z422" s="41" t="e" cm="1">
        <f t="array" aca="1" ref="Z422" ca="1">_xlfn.IFS(Y422&lt;=5, "On time", AND(Y422&gt;5, Y422&lt;&gt;" "), "Delayed", Y422=" ", "pending" )</f>
        <v>#NAME?</v>
      </c>
    </row>
    <row r="423" spans="1:26">
      <c r="A423" s="7" t="s">
        <v>1824</v>
      </c>
      <c r="B423" s="8" t="s">
        <v>131</v>
      </c>
      <c r="C423" s="8" t="s">
        <v>76</v>
      </c>
      <c r="D423" s="8" t="s">
        <v>1089</v>
      </c>
      <c r="E423" s="8" t="s">
        <v>1090</v>
      </c>
      <c r="F423" s="8" t="s">
        <v>204</v>
      </c>
      <c r="G423" s="8" t="s">
        <v>80</v>
      </c>
      <c r="H423" s="32"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c r="W423" s="40" t="str">
        <f t="shared" si="18"/>
        <v>Rohit Singh</v>
      </c>
      <c r="X423" s="35">
        <f t="shared" ca="1" si="19"/>
        <v>48</v>
      </c>
      <c r="Y423" s="29">
        <f t="shared" si="20"/>
        <v>2</v>
      </c>
      <c r="Z423" s="41" t="e" cm="1">
        <f t="array" aca="1" ref="Z423" ca="1">_xlfn.IFS(Y423&lt;=5, "On time", AND(Y423&gt;5, Y423&lt;&gt;" "), "Delayed", Y423=" ", "pending" )</f>
        <v>#NAME?</v>
      </c>
    </row>
    <row r="424" spans="1:26">
      <c r="A424" s="3" t="s">
        <v>1827</v>
      </c>
      <c r="B424" s="4" t="s">
        <v>331</v>
      </c>
      <c r="C424" s="4" t="s">
        <v>28</v>
      </c>
      <c r="D424" s="4" t="s">
        <v>1828</v>
      </c>
      <c r="E424" s="4" t="s">
        <v>1448</v>
      </c>
      <c r="F424" s="4" t="s">
        <v>398</v>
      </c>
      <c r="G424" s="4" t="s">
        <v>80</v>
      </c>
      <c r="H424" s="31"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c r="W424" s="40" t="str">
        <f t="shared" si="18"/>
        <v>Amit Sharma</v>
      </c>
      <c r="X424" s="35">
        <f t="shared" ca="1" si="19"/>
        <v>38</v>
      </c>
      <c r="Y424" s="29">
        <f t="shared" si="20"/>
        <v>1</v>
      </c>
      <c r="Z424" s="41" t="e" cm="1">
        <f t="array" aca="1" ref="Z424" ca="1">_xlfn.IFS(Y424&lt;=5, "On time", AND(Y424&gt;5, Y424&lt;&gt;" "), "Delayed", Y424=" ", "pending" )</f>
        <v>#NAME?</v>
      </c>
    </row>
    <row r="425" spans="1:26">
      <c r="A425" s="7" t="s">
        <v>1831</v>
      </c>
      <c r="B425" s="8" t="s">
        <v>131</v>
      </c>
      <c r="C425" s="8" t="s">
        <v>226</v>
      </c>
      <c r="D425" s="8" t="s">
        <v>1272</v>
      </c>
      <c r="E425" s="8" t="s">
        <v>764</v>
      </c>
      <c r="F425" s="8" t="s">
        <v>204</v>
      </c>
      <c r="G425" s="8" t="s">
        <v>80</v>
      </c>
      <c r="H425" s="32"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c r="W425" s="40" t="str">
        <f t="shared" si="18"/>
        <v>Rohit Singh</v>
      </c>
      <c r="X425" s="35">
        <f t="shared" ca="1" si="19"/>
        <v>25</v>
      </c>
      <c r="Y425" s="29">
        <f t="shared" si="20"/>
        <v>4</v>
      </c>
      <c r="Z425" s="41" t="e" cm="1">
        <f t="array" aca="1" ref="Z425" ca="1">_xlfn.IFS(Y425&lt;=5, "On time", AND(Y425&gt;5, Y425&lt;&gt;" "), "Delayed", Y425=" ", "pending" )</f>
        <v>#NAME?</v>
      </c>
    </row>
    <row r="426" spans="1:26">
      <c r="A426" s="3" t="s">
        <v>1834</v>
      </c>
      <c r="B426" s="4" t="s">
        <v>225</v>
      </c>
      <c r="C426" s="4" t="s">
        <v>58</v>
      </c>
      <c r="D426" s="4" t="s">
        <v>1180</v>
      </c>
      <c r="E426" s="4" t="s">
        <v>1835</v>
      </c>
      <c r="F426" s="4" t="s">
        <v>229</v>
      </c>
      <c r="G426" s="4" t="s">
        <v>80</v>
      </c>
      <c r="H426" s="31"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c r="W426" s="40" t="str">
        <f t="shared" si="18"/>
        <v>Vikas Mehta</v>
      </c>
      <c r="X426" s="35">
        <f t="shared" ca="1" si="19"/>
        <v>43</v>
      </c>
      <c r="Y426" s="29">
        <f t="shared" si="20"/>
        <v>9</v>
      </c>
      <c r="Z426" s="41" t="e" cm="1">
        <f t="array" aca="1" ref="Z426" ca="1">_xlfn.IFS(Y426&lt;=5, "On time", AND(Y426&gt;5, Y426&lt;&gt;" "), "Delayed", Y426=" ", "pending" )</f>
        <v>#NAME?</v>
      </c>
    </row>
    <row r="427" spans="1:26">
      <c r="A427" s="7" t="s">
        <v>1837</v>
      </c>
      <c r="B427" s="8" t="s">
        <v>104</v>
      </c>
      <c r="C427" s="8" t="s">
        <v>76</v>
      </c>
      <c r="D427" s="8" t="s">
        <v>1838</v>
      </c>
      <c r="E427" s="8" t="s">
        <v>640</v>
      </c>
      <c r="F427" s="8" t="s">
        <v>107</v>
      </c>
      <c r="G427" s="8" t="s">
        <v>32</v>
      </c>
      <c r="H427" s="32"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c r="W427" s="40" t="str">
        <f t="shared" si="18"/>
        <v>Priya Patel</v>
      </c>
      <c r="X427" s="35">
        <f t="shared" ca="1" si="19"/>
        <v>39</v>
      </c>
      <c r="Y427" s="29">
        <f t="shared" si="20"/>
        <v>3</v>
      </c>
      <c r="Z427" s="41" t="e" cm="1">
        <f t="array" aca="1" ref="Z427" ca="1">_xlfn.IFS(Y427&lt;=5, "On time", AND(Y427&gt;5, Y427&lt;&gt;" "), "Delayed", Y427=" ", "pending" )</f>
        <v>#NAME?</v>
      </c>
    </row>
    <row r="428" spans="1:26">
      <c r="A428" s="3" t="s">
        <v>1841</v>
      </c>
      <c r="B428" s="4" t="s">
        <v>87</v>
      </c>
      <c r="C428" s="4" t="s">
        <v>173</v>
      </c>
      <c r="D428" s="4" t="s">
        <v>1488</v>
      </c>
      <c r="E428" s="4" t="s">
        <v>1842</v>
      </c>
      <c r="F428" s="4" t="s">
        <v>184</v>
      </c>
      <c r="G428" s="4" t="s">
        <v>80</v>
      </c>
      <c r="H428" s="31"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c r="W428" s="40" t="str">
        <f t="shared" si="18"/>
        <v>Arjun Rao</v>
      </c>
      <c r="X428" s="35">
        <f t="shared" ca="1" si="19"/>
        <v>23</v>
      </c>
      <c r="Y428" s="29">
        <f t="shared" si="20"/>
        <v>5</v>
      </c>
      <c r="Z428" s="41" t="e" cm="1">
        <f t="array" aca="1" ref="Z428" ca="1">_xlfn.IFS(Y428&lt;=5, "On time", AND(Y428&gt;5, Y428&lt;&gt;" "), "Delayed", Y428=" ", "pending" )</f>
        <v>#NAME?</v>
      </c>
    </row>
    <row r="429" spans="1:26">
      <c r="A429" s="7" t="s">
        <v>1845</v>
      </c>
      <c r="B429" s="8" t="s">
        <v>75</v>
      </c>
      <c r="C429" s="8" t="s">
        <v>122</v>
      </c>
      <c r="D429" s="8" t="s">
        <v>769</v>
      </c>
      <c r="E429" s="8" t="s">
        <v>1846</v>
      </c>
      <c r="F429" s="8" t="s">
        <v>221</v>
      </c>
      <c r="G429" s="8" t="s">
        <v>80</v>
      </c>
      <c r="H429" s="32"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c r="W429" s="40" t="str">
        <f t="shared" si="18"/>
        <v>Mohit Verma</v>
      </c>
      <c r="X429" s="35">
        <f t="shared" ca="1" si="19"/>
        <v>27</v>
      </c>
      <c r="Y429" s="29">
        <f t="shared" si="20"/>
        <v>11</v>
      </c>
      <c r="Z429" s="41" t="e" cm="1">
        <f t="array" aca="1" ref="Z429" ca="1">_xlfn.IFS(Y429&lt;=5, "On time", AND(Y429&gt;5, Y429&lt;&gt;" "), "Delayed", Y429=" ", "pending" )</f>
        <v>#NAME?</v>
      </c>
    </row>
    <row r="430" spans="1:26">
      <c r="A430" s="3" t="s">
        <v>1849</v>
      </c>
      <c r="B430" s="4" t="s">
        <v>255</v>
      </c>
      <c r="C430" s="4" t="s">
        <v>28</v>
      </c>
      <c r="D430" s="4" t="s">
        <v>340</v>
      </c>
      <c r="E430" s="4" t="s">
        <v>610</v>
      </c>
      <c r="F430" s="4" t="s">
        <v>258</v>
      </c>
      <c r="G430" s="4" t="s">
        <v>32</v>
      </c>
      <c r="H430" s="31"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c r="W430" s="40" t="str">
        <f t="shared" si="18"/>
        <v>Sneha Joshi</v>
      </c>
      <c r="X430" s="35">
        <f t="shared" ca="1" si="19"/>
        <v>40</v>
      </c>
      <c r="Y430" s="29">
        <f t="shared" si="20"/>
        <v>1</v>
      </c>
      <c r="Z430" s="41" t="e" cm="1">
        <f t="array" aca="1" ref="Z430" ca="1">_xlfn.IFS(Y430&lt;=5, "On time", AND(Y430&gt;5, Y430&lt;&gt;" "), "Delayed", Y430=" ", "pending" )</f>
        <v>#NAME?</v>
      </c>
    </row>
    <row r="431" spans="1:26">
      <c r="A431" s="7" t="s">
        <v>1852</v>
      </c>
      <c r="B431" s="8" t="s">
        <v>87</v>
      </c>
      <c r="C431" s="8" t="s">
        <v>122</v>
      </c>
      <c r="D431" s="8" t="s">
        <v>1853</v>
      </c>
      <c r="E431" s="8" t="s">
        <v>1854</v>
      </c>
      <c r="F431" s="8" t="s">
        <v>184</v>
      </c>
      <c r="G431" s="8" t="s">
        <v>80</v>
      </c>
      <c r="H431" s="32"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c r="W431" s="40" t="str">
        <f t="shared" si="18"/>
        <v>Arjun Rao</v>
      </c>
      <c r="X431" s="35">
        <f t="shared" ca="1" si="19"/>
        <v>30</v>
      </c>
      <c r="Y431" s="29">
        <f t="shared" si="20"/>
        <v>2</v>
      </c>
      <c r="Z431" s="41" t="e" cm="1">
        <f t="array" aca="1" ref="Z431" ca="1">_xlfn.IFS(Y431&lt;=5, "On time", AND(Y431&gt;5, Y431&lt;&gt;" "), "Delayed", Y431=" ", "pending" )</f>
        <v>#NAME?</v>
      </c>
    </row>
    <row r="432" spans="1:26">
      <c r="A432" s="3" t="s">
        <v>1857</v>
      </c>
      <c r="B432" s="4" t="s">
        <v>57</v>
      </c>
      <c r="C432" s="4" t="s">
        <v>263</v>
      </c>
      <c r="D432" s="4" t="s">
        <v>1764</v>
      </c>
      <c r="E432" s="4" t="s">
        <v>345</v>
      </c>
      <c r="F432" s="4" t="s">
        <v>167</v>
      </c>
      <c r="G432" s="4" t="s">
        <v>32</v>
      </c>
      <c r="H432" s="31"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c r="W432" s="40" t="str">
        <f t="shared" si="18"/>
        <v>Pooja Shah</v>
      </c>
      <c r="X432" s="35">
        <f t="shared" ca="1" si="19"/>
        <v>40</v>
      </c>
      <c r="Y432" s="29">
        <f t="shared" si="20"/>
        <v>11</v>
      </c>
      <c r="Z432" s="41" t="e" cm="1">
        <f t="array" aca="1" ref="Z432" ca="1">_xlfn.IFS(Y432&lt;=5, "On time", AND(Y432&gt;5, Y432&lt;&gt;" "), "Delayed", Y432=" ", "pending" )</f>
        <v>#NAME?</v>
      </c>
    </row>
    <row r="433" spans="1:26">
      <c r="A433" s="7" t="s">
        <v>1860</v>
      </c>
      <c r="B433" s="8" t="s">
        <v>255</v>
      </c>
      <c r="C433" s="8" t="s">
        <v>44</v>
      </c>
      <c r="D433" s="8" t="s">
        <v>1002</v>
      </c>
      <c r="E433" s="8" t="s">
        <v>1132</v>
      </c>
      <c r="F433" s="8" t="s">
        <v>258</v>
      </c>
      <c r="G433" s="8" t="s">
        <v>32</v>
      </c>
      <c r="H433" s="32"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c r="W433" s="40" t="str">
        <f t="shared" si="18"/>
        <v>Sneha Joshi</v>
      </c>
      <c r="X433" s="35">
        <f t="shared" ca="1" si="19"/>
        <v>51</v>
      </c>
      <c r="Y433" s="29">
        <f t="shared" si="20"/>
        <v>10</v>
      </c>
      <c r="Z433" s="41" t="e" cm="1">
        <f t="array" aca="1" ref="Z433" ca="1">_xlfn.IFS(Y433&lt;=5, "On time", AND(Y433&gt;5, Y433&lt;&gt;" "), "Delayed", Y433=" ", "pending" )</f>
        <v>#NAME?</v>
      </c>
    </row>
    <row r="434" spans="1:26">
      <c r="A434" s="3" t="s">
        <v>1863</v>
      </c>
      <c r="B434" s="4" t="s">
        <v>331</v>
      </c>
      <c r="C434" s="4" t="s">
        <v>226</v>
      </c>
      <c r="D434" s="4" t="s">
        <v>605</v>
      </c>
      <c r="E434" s="4"/>
      <c r="F434" s="4" t="s">
        <v>398</v>
      </c>
      <c r="G434" s="4" t="s">
        <v>80</v>
      </c>
      <c r="H434" s="31"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c r="W434" s="40" t="str">
        <f t="shared" si="18"/>
        <v>Amit Sharma</v>
      </c>
      <c r="X434" s="35">
        <f t="shared" ca="1" si="19"/>
        <v>29</v>
      </c>
      <c r="Y434" s="29" t="str">
        <f t="shared" si="20"/>
        <v xml:space="preserve"> </v>
      </c>
      <c r="Z434" s="41" t="e" cm="1">
        <f t="array" aca="1" ref="Z434" ca="1">_xlfn.IFS(Y434&lt;=5, "On time", AND(Y434&gt;5, Y434&lt;&gt;" "), "Delayed", Y434=" ", "pending" )</f>
        <v>#NAME?</v>
      </c>
    </row>
    <row r="435" spans="1:26">
      <c r="A435" s="7" t="s">
        <v>1866</v>
      </c>
      <c r="B435" s="8" t="s">
        <v>27</v>
      </c>
      <c r="C435" s="8" t="s">
        <v>96</v>
      </c>
      <c r="D435" s="8" t="s">
        <v>1867</v>
      </c>
      <c r="E435" s="8" t="s">
        <v>904</v>
      </c>
      <c r="F435" s="8" t="s">
        <v>31</v>
      </c>
      <c r="G435" s="8" t="s">
        <v>32</v>
      </c>
      <c r="H435" s="32"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c r="W435" s="40" t="str">
        <f t="shared" si="18"/>
        <v>Kavya Nair</v>
      </c>
      <c r="X435" s="35">
        <f t="shared" ca="1" si="19"/>
        <v>29</v>
      </c>
      <c r="Y435" s="29">
        <f t="shared" si="20"/>
        <v>5</v>
      </c>
      <c r="Z435" s="41" t="e" cm="1">
        <f t="array" aca="1" ref="Z435" ca="1">_xlfn.IFS(Y435&lt;=5, "On time", AND(Y435&gt;5, Y435&lt;&gt;" "), "Delayed", Y435=" ", "pending" )</f>
        <v>#NAME?</v>
      </c>
    </row>
    <row r="436" spans="1:26">
      <c r="A436" s="3" t="s">
        <v>1870</v>
      </c>
      <c r="B436" s="4" t="s">
        <v>331</v>
      </c>
      <c r="C436" s="4" t="s">
        <v>173</v>
      </c>
      <c r="D436" s="4" t="s">
        <v>1871</v>
      </c>
      <c r="E436" s="4" t="s">
        <v>1161</v>
      </c>
      <c r="F436" s="4" t="s">
        <v>398</v>
      </c>
      <c r="G436" s="4" t="s">
        <v>80</v>
      </c>
      <c r="H436" s="31"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c r="W436" s="40" t="str">
        <f t="shared" si="18"/>
        <v>Amit Sharma</v>
      </c>
      <c r="X436" s="35">
        <f t="shared" ca="1" si="19"/>
        <v>27</v>
      </c>
      <c r="Y436" s="29">
        <f t="shared" si="20"/>
        <v>10</v>
      </c>
      <c r="Z436" s="41" t="e" cm="1">
        <f t="array" aca="1" ref="Z436" ca="1">_xlfn.IFS(Y436&lt;=5, "On time", AND(Y436&gt;5, Y436&lt;&gt;" "), "Delayed", Y436=" ", "pending" )</f>
        <v>#NAME?</v>
      </c>
    </row>
    <row r="437" spans="1:26">
      <c r="A437" s="7" t="s">
        <v>1874</v>
      </c>
      <c r="B437" s="8" t="s">
        <v>27</v>
      </c>
      <c r="C437" s="8" t="s">
        <v>122</v>
      </c>
      <c r="D437" s="8" t="s">
        <v>543</v>
      </c>
      <c r="E437" s="8" t="s">
        <v>1118</v>
      </c>
      <c r="F437" s="8" t="s">
        <v>31</v>
      </c>
      <c r="G437" s="8" t="s">
        <v>32</v>
      </c>
      <c r="H437" s="32"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c r="W437" s="40" t="str">
        <f t="shared" si="18"/>
        <v>Kavya Nair</v>
      </c>
      <c r="X437" s="35">
        <f t="shared" ca="1" si="19"/>
        <v>43</v>
      </c>
      <c r="Y437" s="29">
        <f t="shared" si="20"/>
        <v>2</v>
      </c>
      <c r="Z437" s="41" t="e" cm="1">
        <f t="array" aca="1" ref="Z437" ca="1">_xlfn.IFS(Y437&lt;=5, "On time", AND(Y437&gt;5, Y437&lt;&gt;" "), "Delayed", Y437=" ", "pending" )</f>
        <v>#NAME?</v>
      </c>
    </row>
    <row r="438" spans="1:26">
      <c r="A438" s="3" t="s">
        <v>1877</v>
      </c>
      <c r="B438" s="4" t="s">
        <v>131</v>
      </c>
      <c r="C438" s="4" t="s">
        <v>122</v>
      </c>
      <c r="D438" s="4" t="s">
        <v>511</v>
      </c>
      <c r="E438" s="4" t="s">
        <v>539</v>
      </c>
      <c r="F438" s="4" t="s">
        <v>204</v>
      </c>
      <c r="G438" s="4" t="s">
        <v>80</v>
      </c>
      <c r="H438" s="31"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c r="W438" s="40" t="str">
        <f t="shared" si="18"/>
        <v>Rohit Singh</v>
      </c>
      <c r="X438" s="35">
        <f t="shared" ca="1" si="19"/>
        <v>33</v>
      </c>
      <c r="Y438" s="29">
        <f t="shared" si="20"/>
        <v>5</v>
      </c>
      <c r="Z438" s="41" t="e" cm="1">
        <f t="array" aca="1" ref="Z438" ca="1">_xlfn.IFS(Y438&lt;=5, "On time", AND(Y438&gt;5, Y438&lt;&gt;" "), "Delayed", Y438=" ", "pending" )</f>
        <v>#NAME?</v>
      </c>
    </row>
    <row r="439" spans="1:26">
      <c r="A439" s="7" t="s">
        <v>1880</v>
      </c>
      <c r="B439" s="8" t="s">
        <v>104</v>
      </c>
      <c r="C439" s="8" t="s">
        <v>188</v>
      </c>
      <c r="D439" s="8" t="s">
        <v>572</v>
      </c>
      <c r="E439" s="8" t="s">
        <v>123</v>
      </c>
      <c r="F439" s="8" t="s">
        <v>107</v>
      </c>
      <c r="G439" s="8" t="s">
        <v>32</v>
      </c>
      <c r="H439" s="32"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c r="W439" s="40" t="str">
        <f t="shared" si="18"/>
        <v>Priya Patel</v>
      </c>
      <c r="X439" s="35">
        <f t="shared" ca="1" si="19"/>
        <v>47</v>
      </c>
      <c r="Y439" s="29">
        <f t="shared" si="20"/>
        <v>5</v>
      </c>
      <c r="Z439" s="41" t="e" cm="1">
        <f t="array" aca="1" ref="Z439" ca="1">_xlfn.IFS(Y439&lt;=5, "On time", AND(Y439&gt;5, Y439&lt;&gt;" "), "Delayed", Y439=" ", "pending" )</f>
        <v>#NAME?</v>
      </c>
    </row>
    <row r="440" spans="1:26">
      <c r="A440" s="3" t="s">
        <v>1883</v>
      </c>
      <c r="B440" s="4" t="s">
        <v>87</v>
      </c>
      <c r="C440" s="4" t="s">
        <v>226</v>
      </c>
      <c r="D440" s="4" t="s">
        <v>1884</v>
      </c>
      <c r="E440" s="4" t="s">
        <v>1885</v>
      </c>
      <c r="F440" s="4" t="s">
        <v>184</v>
      </c>
      <c r="G440" s="4" t="s">
        <v>80</v>
      </c>
      <c r="H440" s="31"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c r="W440" s="40" t="str">
        <f t="shared" si="18"/>
        <v>Arjun Rao</v>
      </c>
      <c r="X440" s="35">
        <f t="shared" ca="1" si="19"/>
        <v>49</v>
      </c>
      <c r="Y440" s="29">
        <f t="shared" si="20"/>
        <v>3</v>
      </c>
      <c r="Z440" s="41" t="e" cm="1">
        <f t="array" aca="1" ref="Z440" ca="1">_xlfn.IFS(Y440&lt;=5, "On time", AND(Y440&gt;5, Y440&lt;&gt;" "), "Delayed", Y440=" ", "pending" )</f>
        <v>#NAME?</v>
      </c>
    </row>
    <row r="441" spans="1:26">
      <c r="A441" s="7" t="s">
        <v>1888</v>
      </c>
      <c r="B441" s="8" t="s">
        <v>87</v>
      </c>
      <c r="C441" s="8" t="s">
        <v>226</v>
      </c>
      <c r="D441" s="8" t="s">
        <v>1889</v>
      </c>
      <c r="E441" s="8" t="s">
        <v>1203</v>
      </c>
      <c r="F441" s="8" t="s">
        <v>184</v>
      </c>
      <c r="G441" s="8" t="s">
        <v>80</v>
      </c>
      <c r="H441" s="32"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c r="W441" s="40" t="str">
        <f t="shared" si="18"/>
        <v>Arjun Rao</v>
      </c>
      <c r="X441" s="35">
        <f t="shared" ca="1" si="19"/>
        <v>35</v>
      </c>
      <c r="Y441" s="29">
        <f t="shared" si="20"/>
        <v>5</v>
      </c>
      <c r="Z441" s="41" t="e" cm="1">
        <f t="array" aca="1" ref="Z441" ca="1">_xlfn.IFS(Y441&lt;=5, "On time", AND(Y441&gt;5, Y441&lt;&gt;" "), "Delayed", Y441=" ", "pending" )</f>
        <v>#NAME?</v>
      </c>
    </row>
    <row r="442" spans="1:26">
      <c r="A442" s="3" t="s">
        <v>1892</v>
      </c>
      <c r="B442" s="4" t="s">
        <v>331</v>
      </c>
      <c r="C442" s="4" t="s">
        <v>96</v>
      </c>
      <c r="D442" s="4" t="s">
        <v>1717</v>
      </c>
      <c r="E442" s="4" t="s">
        <v>197</v>
      </c>
      <c r="F442" s="4" t="s">
        <v>398</v>
      </c>
      <c r="G442" s="4" t="s">
        <v>80</v>
      </c>
      <c r="H442" s="31"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c r="W442" s="40" t="str">
        <f t="shared" si="18"/>
        <v>Amit Sharma</v>
      </c>
      <c r="X442" s="35">
        <f t="shared" ca="1" si="19"/>
        <v>38</v>
      </c>
      <c r="Y442" s="29">
        <f t="shared" si="20"/>
        <v>4</v>
      </c>
      <c r="Z442" s="41" t="e" cm="1">
        <f t="array" aca="1" ref="Z442" ca="1">_xlfn.IFS(Y442&lt;=5, "On time", AND(Y442&gt;5, Y442&lt;&gt;" "), "Delayed", Y442=" ", "pending" )</f>
        <v>#NAME?</v>
      </c>
    </row>
    <row r="443" spans="1:26">
      <c r="A443" s="7" t="s">
        <v>1895</v>
      </c>
      <c r="B443" s="8" t="s">
        <v>87</v>
      </c>
      <c r="C443" s="8" t="s">
        <v>96</v>
      </c>
      <c r="D443" s="8" t="s">
        <v>322</v>
      </c>
      <c r="E443" s="8" t="s">
        <v>1123</v>
      </c>
      <c r="F443" s="8" t="s">
        <v>184</v>
      </c>
      <c r="G443" s="8" t="s">
        <v>80</v>
      </c>
      <c r="H443" s="32"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c r="W443" s="40" t="str">
        <f t="shared" si="18"/>
        <v>Arjun Rao</v>
      </c>
      <c r="X443" s="35">
        <f t="shared" ca="1" si="19"/>
        <v>42</v>
      </c>
      <c r="Y443" s="29">
        <f t="shared" si="20"/>
        <v>1</v>
      </c>
      <c r="Z443" s="41" t="e" cm="1">
        <f t="array" aca="1" ref="Z443" ca="1">_xlfn.IFS(Y443&lt;=5, "On time", AND(Y443&gt;5, Y443&lt;&gt;" "), "Delayed", Y443=" ", "pending" )</f>
        <v>#NAME?</v>
      </c>
    </row>
    <row r="444" spans="1:26">
      <c r="A444" s="3" t="s">
        <v>1898</v>
      </c>
      <c r="B444" s="4" t="s">
        <v>131</v>
      </c>
      <c r="C444" s="4" t="s">
        <v>122</v>
      </c>
      <c r="D444" s="4" t="s">
        <v>687</v>
      </c>
      <c r="E444" s="4" t="s">
        <v>1469</v>
      </c>
      <c r="F444" s="4" t="s">
        <v>204</v>
      </c>
      <c r="G444" s="4" t="s">
        <v>80</v>
      </c>
      <c r="H444" s="31"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c r="W444" s="40" t="str">
        <f t="shared" si="18"/>
        <v>Rohit Singh</v>
      </c>
      <c r="X444" s="35">
        <f t="shared" ca="1" si="19"/>
        <v>42</v>
      </c>
      <c r="Y444" s="29">
        <f t="shared" si="20"/>
        <v>4</v>
      </c>
      <c r="Z444" s="41" t="e" cm="1">
        <f t="array" aca="1" ref="Z444" ca="1">_xlfn.IFS(Y444&lt;=5, "On time", AND(Y444&gt;5, Y444&lt;&gt;" "), "Delayed", Y444=" ", "pending" )</f>
        <v>#NAME?</v>
      </c>
    </row>
    <row r="445" spans="1:26">
      <c r="A445" s="7" t="s">
        <v>1901</v>
      </c>
      <c r="B445" s="8" t="s">
        <v>172</v>
      </c>
      <c r="C445" s="8" t="s">
        <v>76</v>
      </c>
      <c r="D445" s="8" t="s">
        <v>1902</v>
      </c>
      <c r="E445" s="8" t="s">
        <v>1267</v>
      </c>
      <c r="F445" s="8" t="s">
        <v>365</v>
      </c>
      <c r="G445" s="8" t="s">
        <v>32</v>
      </c>
      <c r="H445" s="32"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c r="W445" s="40" t="str">
        <f t="shared" si="18"/>
        <v>Anita Gupta</v>
      </c>
      <c r="X445" s="35">
        <f t="shared" ca="1" si="19"/>
        <v>33</v>
      </c>
      <c r="Y445" s="29">
        <f t="shared" si="20"/>
        <v>1</v>
      </c>
      <c r="Z445" s="41" t="e" cm="1">
        <f t="array" aca="1" ref="Z445" ca="1">_xlfn.IFS(Y445&lt;=5, "On time", AND(Y445&gt;5, Y445&lt;&gt;" "), "Delayed", Y445=" ", "pending" )</f>
        <v>#NAME?</v>
      </c>
    </row>
    <row r="446" spans="1:26">
      <c r="A446" s="3" t="s">
        <v>1905</v>
      </c>
      <c r="B446" s="4" t="s">
        <v>57</v>
      </c>
      <c r="C446" s="4" t="s">
        <v>58</v>
      </c>
      <c r="D446" s="4" t="s">
        <v>1624</v>
      </c>
      <c r="E446" s="4" t="s">
        <v>306</v>
      </c>
      <c r="F446" s="4" t="s">
        <v>167</v>
      </c>
      <c r="G446" s="4" t="s">
        <v>32</v>
      </c>
      <c r="H446" s="31"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c r="W446" s="40" t="str">
        <f t="shared" si="18"/>
        <v>Pooja Shah</v>
      </c>
      <c r="X446" s="35">
        <f t="shared" ca="1" si="19"/>
        <v>26</v>
      </c>
      <c r="Y446" s="29">
        <f t="shared" si="20"/>
        <v>10</v>
      </c>
      <c r="Z446" s="41" t="e" cm="1">
        <f t="array" aca="1" ref="Z446" ca="1">_xlfn.IFS(Y446&lt;=5, "On time", AND(Y446&gt;5, Y446&lt;&gt;" "), "Delayed", Y446=" ", "pending" )</f>
        <v>#NAME?</v>
      </c>
    </row>
    <row r="447" spans="1:26">
      <c r="A447" s="7" t="s">
        <v>1908</v>
      </c>
      <c r="B447" s="8" t="s">
        <v>225</v>
      </c>
      <c r="C447" s="8" t="s">
        <v>263</v>
      </c>
      <c r="D447" s="8" t="s">
        <v>1909</v>
      </c>
      <c r="E447" s="8" t="s">
        <v>885</v>
      </c>
      <c r="F447" s="8" t="s">
        <v>229</v>
      </c>
      <c r="G447" s="8" t="s">
        <v>80</v>
      </c>
      <c r="H447" s="32"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c r="W447" s="40" t="str">
        <f t="shared" si="18"/>
        <v>Vikas Mehta</v>
      </c>
      <c r="X447" s="35">
        <f t="shared" ca="1" si="19"/>
        <v>36</v>
      </c>
      <c r="Y447" s="29">
        <f t="shared" si="20"/>
        <v>7</v>
      </c>
      <c r="Z447" s="41" t="e" cm="1">
        <f t="array" aca="1" ref="Z447" ca="1">_xlfn.IFS(Y447&lt;=5, "On time", AND(Y447&gt;5, Y447&lt;&gt;" "), "Delayed", Y447=" ", "pending" )</f>
        <v>#NAME?</v>
      </c>
    </row>
    <row r="448" spans="1:26">
      <c r="A448" s="3" t="s">
        <v>1912</v>
      </c>
      <c r="B448" s="4" t="s">
        <v>27</v>
      </c>
      <c r="C448" s="4" t="s">
        <v>226</v>
      </c>
      <c r="D448" s="4" t="s">
        <v>318</v>
      </c>
      <c r="E448" s="4" t="s">
        <v>174</v>
      </c>
      <c r="F448" s="4" t="s">
        <v>31</v>
      </c>
      <c r="G448" s="4" t="s">
        <v>32</v>
      </c>
      <c r="H448" s="31"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c r="W448" s="40" t="str">
        <f t="shared" si="18"/>
        <v>Kavya Nair</v>
      </c>
      <c r="X448" s="35">
        <f t="shared" ca="1" si="19"/>
        <v>32</v>
      </c>
      <c r="Y448" s="29">
        <f t="shared" si="20"/>
        <v>10</v>
      </c>
      <c r="Z448" s="41" t="e" cm="1">
        <f t="array" aca="1" ref="Z448" ca="1">_xlfn.IFS(Y448&lt;=5, "On time", AND(Y448&gt;5, Y448&lt;&gt;" "), "Delayed", Y448=" ", "pending" )</f>
        <v>#NAME?</v>
      </c>
    </row>
    <row r="449" spans="1:26">
      <c r="A449" s="7" t="s">
        <v>1915</v>
      </c>
      <c r="B449" s="8" t="s">
        <v>27</v>
      </c>
      <c r="C449" s="8" t="s">
        <v>58</v>
      </c>
      <c r="D449" s="8" t="s">
        <v>1916</v>
      </c>
      <c r="E449" s="8" t="s">
        <v>914</v>
      </c>
      <c r="F449" s="8" t="s">
        <v>31</v>
      </c>
      <c r="G449" s="8" t="s">
        <v>32</v>
      </c>
      <c r="H449" s="32"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c r="W449" s="40" t="str">
        <f t="shared" si="18"/>
        <v>Kavya Nair</v>
      </c>
      <c r="X449" s="35">
        <f t="shared" ca="1" si="19"/>
        <v>46</v>
      </c>
      <c r="Y449" s="29">
        <f t="shared" si="20"/>
        <v>11</v>
      </c>
      <c r="Z449" s="41" t="e" cm="1">
        <f t="array" aca="1" ref="Z449" ca="1">_xlfn.IFS(Y449&lt;=5, "On time", AND(Y449&gt;5, Y449&lt;&gt;" "), "Delayed", Y449=" ", "pending" )</f>
        <v>#NAME?</v>
      </c>
    </row>
    <row r="450" spans="1:26">
      <c r="A450" s="3" t="s">
        <v>1919</v>
      </c>
      <c r="B450" s="4" t="s">
        <v>331</v>
      </c>
      <c r="C450" s="4" t="s">
        <v>76</v>
      </c>
      <c r="D450" s="4" t="s">
        <v>1920</v>
      </c>
      <c r="E450" s="4" t="s">
        <v>1434</v>
      </c>
      <c r="F450" s="4" t="s">
        <v>398</v>
      </c>
      <c r="G450" s="4" t="s">
        <v>80</v>
      </c>
      <c r="H450" s="31"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c r="W450" s="40" t="str">
        <f t="shared" ref="W450:W501" si="21">PROPER(TRIM(F450))</f>
        <v>Amit Sharma</v>
      </c>
      <c r="X450" s="35">
        <f t="shared" ca="1" si="19"/>
        <v>26</v>
      </c>
      <c r="Y450" s="29">
        <f t="shared" si="20"/>
        <v>4</v>
      </c>
      <c r="Z450" s="41" t="e" cm="1">
        <f t="array" aca="1" ref="Z450" ca="1">_xlfn.IFS(Y450&lt;=5, "On time", AND(Y450&gt;5, Y450&lt;&gt;" "), "Delayed", Y450=" ", "pending" )</f>
        <v>#NAME?</v>
      </c>
    </row>
    <row r="451" spans="1:26">
      <c r="A451" s="7" t="s">
        <v>1924</v>
      </c>
      <c r="B451" s="8" t="s">
        <v>331</v>
      </c>
      <c r="C451" s="8" t="s">
        <v>173</v>
      </c>
      <c r="D451" s="8" t="s">
        <v>522</v>
      </c>
      <c r="E451" s="8" t="s">
        <v>430</v>
      </c>
      <c r="F451" s="8" t="s">
        <v>398</v>
      </c>
      <c r="G451" s="8" t="s">
        <v>80</v>
      </c>
      <c r="H451" s="32"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c r="W451" s="40" t="str">
        <f t="shared" si="21"/>
        <v>Amit Sharma</v>
      </c>
      <c r="X451" s="35">
        <f t="shared" ref="X451:X501" ca="1" si="22">IFERROR(DATEDIF(H451, TODAY(), "y"), " ")</f>
        <v>28</v>
      </c>
      <c r="Y451" s="29">
        <f t="shared" ref="Y451:Y501" si="23">IFERROR(DATEDIF(D451, E451, "D"), " ")</f>
        <v>10</v>
      </c>
      <c r="Z451" s="41" t="e" cm="1">
        <f t="array" aca="1" ref="Z451" ca="1">_xlfn.IFS(Y451&lt;=5, "On time", AND(Y451&gt;5, Y451&lt;&gt;" "), "Delayed", Y451=" ", "pending" )</f>
        <v>#NAME?</v>
      </c>
    </row>
    <row r="452" spans="1:26">
      <c r="A452" s="3" t="s">
        <v>1927</v>
      </c>
      <c r="B452" s="4" t="s">
        <v>75</v>
      </c>
      <c r="C452" s="4" t="s">
        <v>263</v>
      </c>
      <c r="D452" s="4" t="s">
        <v>687</v>
      </c>
      <c r="E452" s="4" t="s">
        <v>1928</v>
      </c>
      <c r="F452" s="4" t="s">
        <v>221</v>
      </c>
      <c r="G452" s="4" t="s">
        <v>80</v>
      </c>
      <c r="H452" s="31"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c r="W452" s="40" t="str">
        <f t="shared" si="21"/>
        <v>Mohit Verma</v>
      </c>
      <c r="X452" s="35">
        <f t="shared" ca="1" si="22"/>
        <v>42</v>
      </c>
      <c r="Y452" s="29">
        <f t="shared" si="23"/>
        <v>8</v>
      </c>
      <c r="Z452" s="41" t="e" cm="1">
        <f t="array" aca="1" ref="Z452" ca="1">_xlfn.IFS(Y452&lt;=5, "On time", AND(Y452&gt;5, Y452&lt;&gt;" "), "Delayed", Y452=" ", "pending" )</f>
        <v>#NAME?</v>
      </c>
    </row>
    <row r="453" spans="1:26">
      <c r="A453" s="7" t="s">
        <v>1931</v>
      </c>
      <c r="B453" s="8" t="s">
        <v>75</v>
      </c>
      <c r="C453" s="8" t="s">
        <v>58</v>
      </c>
      <c r="D453" s="8" t="s">
        <v>905</v>
      </c>
      <c r="E453" s="8" t="s">
        <v>1073</v>
      </c>
      <c r="F453" s="8" t="s">
        <v>221</v>
      </c>
      <c r="G453" s="8" t="s">
        <v>80</v>
      </c>
      <c r="H453" s="32"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c r="W453" s="40" t="str">
        <f t="shared" si="21"/>
        <v>Mohit Verma</v>
      </c>
      <c r="X453" s="35">
        <f t="shared" ca="1" si="22"/>
        <v>39</v>
      </c>
      <c r="Y453" s="29">
        <f t="shared" si="23"/>
        <v>11</v>
      </c>
      <c r="Z453" s="41" t="e" cm="1">
        <f t="array" aca="1" ref="Z453" ca="1">_xlfn.IFS(Y453&lt;=5, "On time", AND(Y453&gt;5, Y453&lt;&gt;" "), "Delayed", Y453=" ", "pending" )</f>
        <v>#NAME?</v>
      </c>
    </row>
    <row r="454" spans="1:26">
      <c r="A454" s="3" t="s">
        <v>1934</v>
      </c>
      <c r="B454" s="4" t="s">
        <v>57</v>
      </c>
      <c r="C454" s="4" t="s">
        <v>188</v>
      </c>
      <c r="D454" s="4" t="s">
        <v>1935</v>
      </c>
      <c r="E454" s="4" t="s">
        <v>1936</v>
      </c>
      <c r="F454" s="4" t="s">
        <v>167</v>
      </c>
      <c r="G454" s="4" t="s">
        <v>32</v>
      </c>
      <c r="H454" s="31"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c r="W454" s="40" t="str">
        <f t="shared" si="21"/>
        <v>Pooja Shah</v>
      </c>
      <c r="X454" s="35">
        <f t="shared" ca="1" si="22"/>
        <v>22</v>
      </c>
      <c r="Y454" s="29">
        <f t="shared" si="23"/>
        <v>7</v>
      </c>
      <c r="Z454" s="41" t="e" cm="1">
        <f t="array" aca="1" ref="Z454" ca="1">_xlfn.IFS(Y454&lt;=5, "On time", AND(Y454&gt;5, Y454&lt;&gt;" "), "Delayed", Y454=" ", "pending" )</f>
        <v>#NAME?</v>
      </c>
    </row>
    <row r="455" spans="1:26">
      <c r="A455" s="7" t="s">
        <v>1939</v>
      </c>
      <c r="B455" s="8" t="s">
        <v>255</v>
      </c>
      <c r="C455" s="8" t="s">
        <v>76</v>
      </c>
      <c r="D455" s="8" t="s">
        <v>70</v>
      </c>
      <c r="E455" s="8" t="s">
        <v>1940</v>
      </c>
      <c r="F455" s="8" t="s">
        <v>258</v>
      </c>
      <c r="G455" s="8" t="s">
        <v>32</v>
      </c>
      <c r="H455" s="32"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c r="W455" s="40" t="str">
        <f t="shared" si="21"/>
        <v>Sneha Joshi</v>
      </c>
      <c r="X455" s="35">
        <f t="shared" ca="1" si="22"/>
        <v>23</v>
      </c>
      <c r="Y455" s="29">
        <f t="shared" si="23"/>
        <v>11</v>
      </c>
      <c r="Z455" s="41" t="e" cm="1">
        <f t="array" aca="1" ref="Z455" ca="1">_xlfn.IFS(Y455&lt;=5, "On time", AND(Y455&gt;5, Y455&lt;&gt;" "), "Delayed", Y455=" ", "pending" )</f>
        <v>#NAME?</v>
      </c>
    </row>
    <row r="456" spans="1:26">
      <c r="A456" s="3" t="s">
        <v>1943</v>
      </c>
      <c r="B456" s="4" t="s">
        <v>75</v>
      </c>
      <c r="C456" s="4" t="s">
        <v>96</v>
      </c>
      <c r="D456" s="4" t="s">
        <v>992</v>
      </c>
      <c r="E456" s="4" t="s">
        <v>391</v>
      </c>
      <c r="F456" s="4" t="s">
        <v>221</v>
      </c>
      <c r="G456" s="4" t="s">
        <v>80</v>
      </c>
      <c r="H456" s="31"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c r="W456" s="40" t="str">
        <f t="shared" si="21"/>
        <v>Mohit Verma</v>
      </c>
      <c r="X456" s="35">
        <f t="shared" ca="1" si="22"/>
        <v>36</v>
      </c>
      <c r="Y456" s="29">
        <f t="shared" si="23"/>
        <v>8</v>
      </c>
      <c r="Z456" s="41" t="e" cm="1">
        <f t="array" aca="1" ref="Z456" ca="1">_xlfn.IFS(Y456&lt;=5, "On time", AND(Y456&gt;5, Y456&lt;&gt;" "), "Delayed", Y456=" ", "pending" )</f>
        <v>#NAME?</v>
      </c>
    </row>
    <row r="457" spans="1:26">
      <c r="A457" s="7" t="s">
        <v>1946</v>
      </c>
      <c r="B457" s="8" t="s">
        <v>57</v>
      </c>
      <c r="C457" s="8" t="s">
        <v>58</v>
      </c>
      <c r="D457" s="8" t="s">
        <v>1936</v>
      </c>
      <c r="E457" s="8" t="s">
        <v>744</v>
      </c>
      <c r="F457" s="8" t="s">
        <v>167</v>
      </c>
      <c r="G457" s="8" t="s">
        <v>32</v>
      </c>
      <c r="H457" s="32"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c r="W457" s="40" t="str">
        <f t="shared" si="21"/>
        <v>Pooja Shah</v>
      </c>
      <c r="X457" s="35">
        <f t="shared" ca="1" si="22"/>
        <v>23</v>
      </c>
      <c r="Y457" s="29">
        <f t="shared" si="23"/>
        <v>6</v>
      </c>
      <c r="Z457" s="41" t="e" cm="1">
        <f t="array" aca="1" ref="Z457" ca="1">_xlfn.IFS(Y457&lt;=5, "On time", AND(Y457&gt;5, Y457&lt;&gt;" "), "Delayed", Y457=" ", "pending" )</f>
        <v>#NAME?</v>
      </c>
    </row>
    <row r="458" spans="1:26">
      <c r="A458" s="3" t="s">
        <v>1949</v>
      </c>
      <c r="B458" s="4" t="s">
        <v>331</v>
      </c>
      <c r="C458" s="4" t="s">
        <v>44</v>
      </c>
      <c r="D458" s="4" t="s">
        <v>189</v>
      </c>
      <c r="E458" s="4" t="s">
        <v>922</v>
      </c>
      <c r="F458" s="4" t="s">
        <v>398</v>
      </c>
      <c r="G458" s="4" t="s">
        <v>80</v>
      </c>
      <c r="H458" s="31"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c r="W458" s="40" t="str">
        <f t="shared" si="21"/>
        <v>Amit Sharma</v>
      </c>
      <c r="X458" s="35">
        <f t="shared" ca="1" si="22"/>
        <v>33</v>
      </c>
      <c r="Y458" s="29">
        <f t="shared" si="23"/>
        <v>1</v>
      </c>
      <c r="Z458" s="41" t="e" cm="1">
        <f t="array" aca="1" ref="Z458" ca="1">_xlfn.IFS(Y458&lt;=5, "On time", AND(Y458&gt;5, Y458&lt;&gt;" "), "Delayed", Y458=" ", "pending" )</f>
        <v>#NAME?</v>
      </c>
    </row>
    <row r="459" spans="1:26">
      <c r="A459" s="7" t="s">
        <v>1952</v>
      </c>
      <c r="B459" s="8" t="s">
        <v>104</v>
      </c>
      <c r="C459" s="8" t="s">
        <v>122</v>
      </c>
      <c r="D459" s="8" t="s">
        <v>46</v>
      </c>
      <c r="E459" s="8" t="s">
        <v>601</v>
      </c>
      <c r="F459" s="8" t="s">
        <v>107</v>
      </c>
      <c r="G459" s="8" t="s">
        <v>32</v>
      </c>
      <c r="H459" s="32"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c r="W459" s="40" t="str">
        <f t="shared" si="21"/>
        <v>Priya Patel</v>
      </c>
      <c r="X459" s="35">
        <f t="shared" ca="1" si="22"/>
        <v>50</v>
      </c>
      <c r="Y459" s="29">
        <f t="shared" si="23"/>
        <v>7</v>
      </c>
      <c r="Z459" s="41" t="e" cm="1">
        <f t="array" aca="1" ref="Z459" ca="1">_xlfn.IFS(Y459&lt;=5, "On time", AND(Y459&gt;5, Y459&lt;&gt;" "), "Delayed", Y459=" ", "pending" )</f>
        <v>#NAME?</v>
      </c>
    </row>
    <row r="460" spans="1:26">
      <c r="A460" s="3" t="s">
        <v>1955</v>
      </c>
      <c r="B460" s="4" t="s">
        <v>225</v>
      </c>
      <c r="C460" s="4" t="s">
        <v>28</v>
      </c>
      <c r="D460" s="4" t="s">
        <v>381</v>
      </c>
      <c r="E460" s="4" t="s">
        <v>678</v>
      </c>
      <c r="F460" s="4" t="s">
        <v>229</v>
      </c>
      <c r="G460" s="4" t="s">
        <v>80</v>
      </c>
      <c r="H460" s="31"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c r="W460" s="40" t="str">
        <f t="shared" si="21"/>
        <v>Vikas Mehta</v>
      </c>
      <c r="X460" s="35">
        <f t="shared" ca="1" si="22"/>
        <v>31</v>
      </c>
      <c r="Y460" s="29">
        <f t="shared" si="23"/>
        <v>8</v>
      </c>
      <c r="Z460" s="41" t="e" cm="1">
        <f t="array" aca="1" ref="Z460" ca="1">_xlfn.IFS(Y460&lt;=5, "On time", AND(Y460&gt;5, Y460&lt;&gt;" "), "Delayed", Y460=" ", "pending" )</f>
        <v>#NAME?</v>
      </c>
    </row>
    <row r="461" spans="1:26">
      <c r="A461" s="7" t="s">
        <v>1958</v>
      </c>
      <c r="B461" s="8" t="s">
        <v>331</v>
      </c>
      <c r="C461" s="8" t="s">
        <v>188</v>
      </c>
      <c r="D461" s="8" t="s">
        <v>355</v>
      </c>
      <c r="E461" s="8" t="s">
        <v>1541</v>
      </c>
      <c r="F461" s="8" t="s">
        <v>398</v>
      </c>
      <c r="G461" s="8" t="s">
        <v>80</v>
      </c>
      <c r="H461" s="32"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c r="W461" s="40" t="str">
        <f t="shared" si="21"/>
        <v>Amit Sharma</v>
      </c>
      <c r="X461" s="35">
        <f t="shared" ca="1" si="22"/>
        <v>33</v>
      </c>
      <c r="Y461" s="29">
        <f t="shared" si="23"/>
        <v>9</v>
      </c>
      <c r="Z461" s="41" t="e" cm="1">
        <f t="array" aca="1" ref="Z461" ca="1">_xlfn.IFS(Y461&lt;=5, "On time", AND(Y461&gt;5, Y461&lt;&gt;" "), "Delayed", Y461=" ", "pending" )</f>
        <v>#NAME?</v>
      </c>
    </row>
    <row r="462" spans="1:26">
      <c r="A462" s="3" t="s">
        <v>1961</v>
      </c>
      <c r="B462" s="4" t="s">
        <v>331</v>
      </c>
      <c r="C462" s="4" t="s">
        <v>58</v>
      </c>
      <c r="D462" s="4" t="s">
        <v>1962</v>
      </c>
      <c r="E462" s="4" t="s">
        <v>1192</v>
      </c>
      <c r="F462" s="4" t="s">
        <v>398</v>
      </c>
      <c r="G462" s="4" t="s">
        <v>80</v>
      </c>
      <c r="H462" s="31"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c r="W462" s="40" t="str">
        <f t="shared" si="21"/>
        <v>Amit Sharma</v>
      </c>
      <c r="X462" s="35">
        <f t="shared" ca="1" si="22"/>
        <v>24</v>
      </c>
      <c r="Y462" s="29">
        <f t="shared" si="23"/>
        <v>3</v>
      </c>
      <c r="Z462" s="41" t="e" cm="1">
        <f t="array" aca="1" ref="Z462" ca="1">_xlfn.IFS(Y462&lt;=5, "On time", AND(Y462&gt;5, Y462&lt;&gt;" "), "Delayed", Y462=" ", "pending" )</f>
        <v>#NAME?</v>
      </c>
    </row>
    <row r="463" spans="1:26">
      <c r="A463" s="7" t="s">
        <v>1965</v>
      </c>
      <c r="B463" s="8" t="s">
        <v>131</v>
      </c>
      <c r="C463" s="8" t="s">
        <v>122</v>
      </c>
      <c r="D463" s="8" t="s">
        <v>1176</v>
      </c>
      <c r="E463" s="8" t="s">
        <v>132</v>
      </c>
      <c r="F463" s="8" t="s">
        <v>204</v>
      </c>
      <c r="G463" s="8" t="s">
        <v>80</v>
      </c>
      <c r="H463" s="32"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c r="W463" s="40" t="str">
        <f t="shared" si="21"/>
        <v>Rohit Singh</v>
      </c>
      <c r="X463" s="35">
        <f t="shared" ca="1" si="22"/>
        <v>25</v>
      </c>
      <c r="Y463" s="29">
        <f t="shared" si="23"/>
        <v>7</v>
      </c>
      <c r="Z463" s="41" t="e" cm="1">
        <f t="array" aca="1" ref="Z463" ca="1">_xlfn.IFS(Y463&lt;=5, "On time", AND(Y463&gt;5, Y463&lt;&gt;" "), "Delayed", Y463=" ", "pending" )</f>
        <v>#NAME?</v>
      </c>
    </row>
    <row r="464" spans="1:26">
      <c r="A464" s="3" t="s">
        <v>1969</v>
      </c>
      <c r="B464" s="4" t="s">
        <v>75</v>
      </c>
      <c r="C464" s="4" t="s">
        <v>96</v>
      </c>
      <c r="D464" s="4" t="s">
        <v>1146</v>
      </c>
      <c r="E464" s="4" t="s">
        <v>558</v>
      </c>
      <c r="F464" s="4" t="s">
        <v>221</v>
      </c>
      <c r="G464" s="4" t="s">
        <v>80</v>
      </c>
      <c r="H464" s="31"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c r="W464" s="40" t="str">
        <f t="shared" si="21"/>
        <v>Mohit Verma</v>
      </c>
      <c r="X464" s="35">
        <f t="shared" ca="1" si="22"/>
        <v>36</v>
      </c>
      <c r="Y464" s="29">
        <f t="shared" si="23"/>
        <v>7</v>
      </c>
      <c r="Z464" s="41" t="e" cm="1">
        <f t="array" aca="1" ref="Z464" ca="1">_xlfn.IFS(Y464&lt;=5, "On time", AND(Y464&gt;5, Y464&lt;&gt;" "), "Delayed", Y464=" ", "pending" )</f>
        <v>#NAME?</v>
      </c>
    </row>
    <row r="465" spans="1:26">
      <c r="A465" s="7" t="s">
        <v>1972</v>
      </c>
      <c r="B465" s="8" t="s">
        <v>131</v>
      </c>
      <c r="C465" s="8" t="s">
        <v>226</v>
      </c>
      <c r="D465" s="8" t="s">
        <v>961</v>
      </c>
      <c r="E465" s="8" t="s">
        <v>770</v>
      </c>
      <c r="F465" s="8" t="s">
        <v>204</v>
      </c>
      <c r="G465" s="8" t="s">
        <v>80</v>
      </c>
      <c r="H465" s="32"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c r="W465" s="40" t="str">
        <f t="shared" si="21"/>
        <v>Rohit Singh</v>
      </c>
      <c r="X465" s="35">
        <f t="shared" ca="1" si="22"/>
        <v>48</v>
      </c>
      <c r="Y465" s="29">
        <f t="shared" si="23"/>
        <v>12</v>
      </c>
      <c r="Z465" s="41" t="e" cm="1">
        <f t="array" aca="1" ref="Z465" ca="1">_xlfn.IFS(Y465&lt;=5, "On time", AND(Y465&gt;5, Y465&lt;&gt;" "), "Delayed", Y465=" ", "pending" )</f>
        <v>#NAME?</v>
      </c>
    </row>
    <row r="466" spans="1:26">
      <c r="A466" s="3" t="s">
        <v>1974</v>
      </c>
      <c r="B466" s="4" t="s">
        <v>75</v>
      </c>
      <c r="C466" s="4" t="s">
        <v>28</v>
      </c>
      <c r="D466" s="4" t="s">
        <v>477</v>
      </c>
      <c r="E466" s="4" t="s">
        <v>458</v>
      </c>
      <c r="F466" s="4" t="s">
        <v>221</v>
      </c>
      <c r="G466" s="4" t="s">
        <v>80</v>
      </c>
      <c r="H466" s="31"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c r="W466" s="40" t="str">
        <f t="shared" si="21"/>
        <v>Mohit Verma</v>
      </c>
      <c r="X466" s="35">
        <f t="shared" ca="1" si="22"/>
        <v>26</v>
      </c>
      <c r="Y466" s="29">
        <f t="shared" si="23"/>
        <v>1</v>
      </c>
      <c r="Z466" s="41" t="e" cm="1">
        <f t="array" aca="1" ref="Z466" ca="1">_xlfn.IFS(Y466&lt;=5, "On time", AND(Y466&gt;5, Y466&lt;&gt;" "), "Delayed", Y466=" ", "pending" )</f>
        <v>#NAME?</v>
      </c>
    </row>
    <row r="467" spans="1:26">
      <c r="A467" s="7" t="s">
        <v>1977</v>
      </c>
      <c r="B467" s="8" t="s">
        <v>87</v>
      </c>
      <c r="C467" s="8" t="s">
        <v>58</v>
      </c>
      <c r="D467" s="8" t="s">
        <v>760</v>
      </c>
      <c r="E467" s="8" t="s">
        <v>1286</v>
      </c>
      <c r="F467" s="8" t="s">
        <v>184</v>
      </c>
      <c r="G467" s="8" t="s">
        <v>80</v>
      </c>
      <c r="H467" s="32"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c r="W467" s="40" t="str">
        <f t="shared" si="21"/>
        <v>Arjun Rao</v>
      </c>
      <c r="X467" s="35">
        <f t="shared" ca="1" si="22"/>
        <v>41</v>
      </c>
      <c r="Y467" s="29">
        <f t="shared" si="23"/>
        <v>8</v>
      </c>
      <c r="Z467" s="41" t="e" cm="1">
        <f t="array" aca="1" ref="Z467" ca="1">_xlfn.IFS(Y467&lt;=5, "On time", AND(Y467&gt;5, Y467&lt;&gt;" "), "Delayed", Y467=" ", "pending" )</f>
        <v>#NAME?</v>
      </c>
    </row>
    <row r="468" spans="1:26">
      <c r="A468" s="3" t="s">
        <v>1980</v>
      </c>
      <c r="B468" s="4" t="s">
        <v>57</v>
      </c>
      <c r="C468" s="4" t="s">
        <v>28</v>
      </c>
      <c r="D468" s="4" t="s">
        <v>516</v>
      </c>
      <c r="E468" s="4" t="s">
        <v>517</v>
      </c>
      <c r="F468" s="4" t="s">
        <v>167</v>
      </c>
      <c r="G468" s="4" t="s">
        <v>32</v>
      </c>
      <c r="H468" s="31"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c r="W468" s="40" t="str">
        <f t="shared" si="21"/>
        <v>Pooja Shah</v>
      </c>
      <c r="X468" s="35">
        <f t="shared" ca="1" si="22"/>
        <v>38</v>
      </c>
      <c r="Y468" s="29">
        <f t="shared" si="23"/>
        <v>6</v>
      </c>
      <c r="Z468" s="41" t="e" cm="1">
        <f t="array" aca="1" ref="Z468" ca="1">_xlfn.IFS(Y468&lt;=5, "On time", AND(Y468&gt;5, Y468&lt;&gt;" "), "Delayed", Y468=" ", "pending" )</f>
        <v>#NAME?</v>
      </c>
    </row>
    <row r="469" spans="1:26">
      <c r="A469" s="7" t="s">
        <v>1983</v>
      </c>
      <c r="B469" s="8" t="s">
        <v>27</v>
      </c>
      <c r="C469" s="8" t="s">
        <v>263</v>
      </c>
      <c r="D469" s="8" t="s">
        <v>1511</v>
      </c>
      <c r="E469" s="8" t="s">
        <v>581</v>
      </c>
      <c r="F469" s="8" t="s">
        <v>31</v>
      </c>
      <c r="G469" s="8" t="s">
        <v>32</v>
      </c>
      <c r="H469" s="32"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c r="W469" s="40" t="str">
        <f t="shared" si="21"/>
        <v>Kavya Nair</v>
      </c>
      <c r="X469" s="35">
        <f t="shared" ca="1" si="22"/>
        <v>29</v>
      </c>
      <c r="Y469" s="29">
        <f t="shared" si="23"/>
        <v>4</v>
      </c>
      <c r="Z469" s="41" t="e" cm="1">
        <f t="array" aca="1" ref="Z469" ca="1">_xlfn.IFS(Y469&lt;=5, "On time", AND(Y469&gt;5, Y469&lt;&gt;" "), "Delayed", Y469=" ", "pending" )</f>
        <v>#NAME?</v>
      </c>
    </row>
    <row r="470" spans="1:26">
      <c r="A470" s="3" t="s">
        <v>1986</v>
      </c>
      <c r="B470" s="4" t="s">
        <v>104</v>
      </c>
      <c r="C470" s="4" t="s">
        <v>122</v>
      </c>
      <c r="D470" s="4" t="s">
        <v>1118</v>
      </c>
      <c r="E470" s="4" t="s">
        <v>214</v>
      </c>
      <c r="F470" s="4" t="s">
        <v>107</v>
      </c>
      <c r="G470" s="4" t="s">
        <v>32</v>
      </c>
      <c r="H470" s="31"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c r="W470" s="40" t="str">
        <f t="shared" si="21"/>
        <v>Priya Patel</v>
      </c>
      <c r="X470" s="35">
        <f t="shared" ca="1" si="22"/>
        <v>25</v>
      </c>
      <c r="Y470" s="29">
        <f t="shared" si="23"/>
        <v>10</v>
      </c>
      <c r="Z470" s="41" t="e" cm="1">
        <f t="array" aca="1" ref="Z470" ca="1">_xlfn.IFS(Y470&lt;=5, "On time", AND(Y470&gt;5, Y470&lt;&gt;" "), "Delayed", Y470=" ", "pending" )</f>
        <v>#NAME?</v>
      </c>
    </row>
    <row r="471" spans="1:26">
      <c r="A471" s="7" t="s">
        <v>1989</v>
      </c>
      <c r="B471" s="8" t="s">
        <v>331</v>
      </c>
      <c r="C471" s="8" t="s">
        <v>58</v>
      </c>
      <c r="D471" s="8" t="s">
        <v>1106</v>
      </c>
      <c r="E471" s="8" t="s">
        <v>868</v>
      </c>
      <c r="F471" s="8" t="s">
        <v>398</v>
      </c>
      <c r="G471" s="8" t="s">
        <v>80</v>
      </c>
      <c r="H471" s="32"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c r="W471" s="40" t="str">
        <f t="shared" si="21"/>
        <v>Amit Sharma</v>
      </c>
      <c r="X471" s="35">
        <f t="shared" ca="1" si="22"/>
        <v>44</v>
      </c>
      <c r="Y471" s="29">
        <f t="shared" si="23"/>
        <v>2</v>
      </c>
      <c r="Z471" s="41" t="e" cm="1">
        <f t="array" aca="1" ref="Z471" ca="1">_xlfn.IFS(Y471&lt;=5, "On time", AND(Y471&gt;5, Y471&lt;&gt;" "), "Delayed", Y471=" ", "pending" )</f>
        <v>#NAME?</v>
      </c>
    </row>
    <row r="472" spans="1:26">
      <c r="A472" s="3" t="s">
        <v>1992</v>
      </c>
      <c r="B472" s="4" t="s">
        <v>27</v>
      </c>
      <c r="C472" s="4" t="s">
        <v>76</v>
      </c>
      <c r="D472" s="4" t="s">
        <v>1993</v>
      </c>
      <c r="E472" s="4" t="s">
        <v>1884</v>
      </c>
      <c r="F472" s="4" t="s">
        <v>31</v>
      </c>
      <c r="G472" s="4" t="s">
        <v>32</v>
      </c>
      <c r="H472" s="31"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c r="W472" s="40" t="str">
        <f t="shared" si="21"/>
        <v>Kavya Nair</v>
      </c>
      <c r="X472" s="35">
        <f t="shared" ca="1" si="22"/>
        <v>27</v>
      </c>
      <c r="Y472" s="29">
        <f t="shared" si="23"/>
        <v>4</v>
      </c>
      <c r="Z472" s="41" t="e" cm="1">
        <f t="array" aca="1" ref="Z472" ca="1">_xlfn.IFS(Y472&lt;=5, "On time", AND(Y472&gt;5, Y472&lt;&gt;" "), "Delayed", Y472=" ", "pending" )</f>
        <v>#NAME?</v>
      </c>
    </row>
    <row r="473" spans="1:26">
      <c r="A473" s="7" t="s">
        <v>1996</v>
      </c>
      <c r="B473" s="8" t="s">
        <v>57</v>
      </c>
      <c r="C473" s="8" t="s">
        <v>58</v>
      </c>
      <c r="D473" s="8" t="s">
        <v>45</v>
      </c>
      <c r="E473" s="8" t="s">
        <v>203</v>
      </c>
      <c r="F473" s="8" t="s">
        <v>167</v>
      </c>
      <c r="G473" s="8" t="s">
        <v>32</v>
      </c>
      <c r="H473" s="32"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c r="W473" s="40" t="str">
        <f t="shared" si="21"/>
        <v>Pooja Shah</v>
      </c>
      <c r="X473" s="35">
        <f t="shared" ca="1" si="22"/>
        <v>25</v>
      </c>
      <c r="Y473" s="29">
        <f t="shared" si="23"/>
        <v>8</v>
      </c>
      <c r="Z473" s="41" t="e" cm="1">
        <f t="array" aca="1" ref="Z473" ca="1">_xlfn.IFS(Y473&lt;=5, "On time", AND(Y473&gt;5, Y473&lt;&gt;" "), "Delayed", Y473=" ", "pending" )</f>
        <v>#NAME?</v>
      </c>
    </row>
    <row r="474" spans="1:26">
      <c r="A474" s="3" t="s">
        <v>1999</v>
      </c>
      <c r="B474" s="4" t="s">
        <v>255</v>
      </c>
      <c r="C474" s="4" t="s">
        <v>188</v>
      </c>
      <c r="D474" s="4" t="s">
        <v>240</v>
      </c>
      <c r="E474" s="4" t="s">
        <v>682</v>
      </c>
      <c r="F474" s="4" t="s">
        <v>258</v>
      </c>
      <c r="G474" s="4" t="s">
        <v>32</v>
      </c>
      <c r="H474" s="31"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c r="W474" s="40" t="str">
        <f t="shared" si="21"/>
        <v>Sneha Joshi</v>
      </c>
      <c r="X474" s="35">
        <f t="shared" ca="1" si="22"/>
        <v>27</v>
      </c>
      <c r="Y474" s="29">
        <f t="shared" si="23"/>
        <v>9</v>
      </c>
      <c r="Z474" s="41" t="e" cm="1">
        <f t="array" aca="1" ref="Z474" ca="1">_xlfn.IFS(Y474&lt;=5, "On time", AND(Y474&gt;5, Y474&lt;&gt;" "), "Delayed", Y474=" ", "pending" )</f>
        <v>#NAME?</v>
      </c>
    </row>
    <row r="475" spans="1:26">
      <c r="A475" s="7" t="s">
        <v>2002</v>
      </c>
      <c r="B475" s="8" t="s">
        <v>75</v>
      </c>
      <c r="C475" s="8" t="s">
        <v>226</v>
      </c>
      <c r="D475" s="8" t="s">
        <v>488</v>
      </c>
      <c r="E475" s="8" t="s">
        <v>326</v>
      </c>
      <c r="F475" s="8" t="s">
        <v>221</v>
      </c>
      <c r="G475" s="8" t="s">
        <v>80</v>
      </c>
      <c r="H475" s="32"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c r="W475" s="40" t="str">
        <f t="shared" si="21"/>
        <v>Mohit Verma</v>
      </c>
      <c r="X475" s="35">
        <f t="shared" ca="1" si="22"/>
        <v>38</v>
      </c>
      <c r="Y475" s="29">
        <f t="shared" si="23"/>
        <v>11</v>
      </c>
      <c r="Z475" s="41" t="e" cm="1">
        <f t="array" aca="1" ref="Z475" ca="1">_xlfn.IFS(Y475&lt;=5, "On time", AND(Y475&gt;5, Y475&lt;&gt;" "), "Delayed", Y475=" ", "pending" )</f>
        <v>#NAME?</v>
      </c>
    </row>
    <row r="476" spans="1:26">
      <c r="A476" s="3" t="s">
        <v>2005</v>
      </c>
      <c r="B476" s="4" t="s">
        <v>331</v>
      </c>
      <c r="C476" s="4" t="s">
        <v>58</v>
      </c>
      <c r="D476" s="4" t="s">
        <v>769</v>
      </c>
      <c r="E476" s="4" t="s">
        <v>1377</v>
      </c>
      <c r="F476" s="4" t="s">
        <v>398</v>
      </c>
      <c r="G476" s="4" t="s">
        <v>80</v>
      </c>
      <c r="H476" s="31"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c r="W476" s="40" t="str">
        <f t="shared" si="21"/>
        <v>Amit Sharma</v>
      </c>
      <c r="X476" s="35">
        <f t="shared" ca="1" si="22"/>
        <v>51</v>
      </c>
      <c r="Y476" s="29">
        <f t="shared" si="23"/>
        <v>7</v>
      </c>
      <c r="Z476" s="41" t="e" cm="1">
        <f t="array" aca="1" ref="Z476" ca="1">_xlfn.IFS(Y476&lt;=5, "On time", AND(Y476&gt;5, Y476&lt;&gt;" "), "Delayed", Y476=" ", "pending" )</f>
        <v>#NAME?</v>
      </c>
    </row>
    <row r="477" spans="1:26">
      <c r="A477" s="7" t="s">
        <v>2008</v>
      </c>
      <c r="B477" s="8" t="s">
        <v>131</v>
      </c>
      <c r="C477" s="8" t="s">
        <v>58</v>
      </c>
      <c r="D477" s="8" t="s">
        <v>106</v>
      </c>
      <c r="E477" s="8" t="s">
        <v>1118</v>
      </c>
      <c r="F477" s="8" t="s">
        <v>204</v>
      </c>
      <c r="G477" s="8" t="s">
        <v>80</v>
      </c>
      <c r="H477" s="32"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c r="W477" s="40" t="str">
        <f t="shared" si="21"/>
        <v>Rohit Singh</v>
      </c>
      <c r="X477" s="35">
        <f t="shared" ca="1" si="22"/>
        <v>22</v>
      </c>
      <c r="Y477" s="29">
        <f t="shared" si="23"/>
        <v>1</v>
      </c>
      <c r="Z477" s="41" t="e" cm="1">
        <f t="array" aca="1" ref="Z477" ca="1">_xlfn.IFS(Y477&lt;=5, "On time", AND(Y477&gt;5, Y477&lt;&gt;" "), "Delayed", Y477=" ", "pending" )</f>
        <v>#NAME?</v>
      </c>
    </row>
    <row r="478" spans="1:26">
      <c r="A478" s="3" t="s">
        <v>2011</v>
      </c>
      <c r="B478" s="4" t="s">
        <v>57</v>
      </c>
      <c r="C478" s="4" t="s">
        <v>263</v>
      </c>
      <c r="D478" s="4" t="s">
        <v>765</v>
      </c>
      <c r="E478" s="4" t="s">
        <v>1709</v>
      </c>
      <c r="F478" s="4" t="s">
        <v>167</v>
      </c>
      <c r="G478" s="4" t="s">
        <v>32</v>
      </c>
      <c r="H478" s="31"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c r="W478" s="40" t="str">
        <f t="shared" si="21"/>
        <v>Pooja Shah</v>
      </c>
      <c r="X478" s="35">
        <f t="shared" ca="1" si="22"/>
        <v>24</v>
      </c>
      <c r="Y478" s="29">
        <f t="shared" si="23"/>
        <v>7</v>
      </c>
      <c r="Z478" s="41" t="e" cm="1">
        <f t="array" aca="1" ref="Z478" ca="1">_xlfn.IFS(Y478&lt;=5, "On time", AND(Y478&gt;5, Y478&lt;&gt;" "), "Delayed", Y478=" ", "pending" )</f>
        <v>#NAME?</v>
      </c>
    </row>
    <row r="479" spans="1:26">
      <c r="A479" s="7" t="s">
        <v>2014</v>
      </c>
      <c r="B479" s="8" t="s">
        <v>27</v>
      </c>
      <c r="C479" s="8" t="s">
        <v>76</v>
      </c>
      <c r="D479" s="8" t="s">
        <v>29</v>
      </c>
      <c r="E479" s="8" t="s">
        <v>77</v>
      </c>
      <c r="F479" s="8" t="s">
        <v>31</v>
      </c>
      <c r="G479" s="8" t="s">
        <v>32</v>
      </c>
      <c r="H479" s="32"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c r="W479" s="40" t="str">
        <f t="shared" si="21"/>
        <v>Kavya Nair</v>
      </c>
      <c r="X479" s="35">
        <f t="shared" ca="1" si="22"/>
        <v>28</v>
      </c>
      <c r="Y479" s="29">
        <f t="shared" si="23"/>
        <v>9</v>
      </c>
      <c r="Z479" s="41" t="e" cm="1">
        <f t="array" aca="1" ref="Z479" ca="1">_xlfn.IFS(Y479&lt;=5, "On time", AND(Y479&gt;5, Y479&lt;&gt;" "), "Delayed", Y479=" ", "pending" )</f>
        <v>#NAME?</v>
      </c>
    </row>
    <row r="480" spans="1:26">
      <c r="A480" s="3" t="s">
        <v>2018</v>
      </c>
      <c r="B480" s="4" t="s">
        <v>172</v>
      </c>
      <c r="C480" s="4" t="s">
        <v>263</v>
      </c>
      <c r="D480" s="4" t="s">
        <v>286</v>
      </c>
      <c r="E480" s="4" t="s">
        <v>706</v>
      </c>
      <c r="F480" s="4" t="s">
        <v>2019</v>
      </c>
      <c r="G480" s="4" t="s">
        <v>32</v>
      </c>
      <c r="H480" s="31"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c r="W480" s="40" t="str">
        <f t="shared" si="21"/>
        <v>Anita Gupta</v>
      </c>
      <c r="X480" s="35">
        <f t="shared" ca="1" si="22"/>
        <v>22</v>
      </c>
      <c r="Y480" s="29">
        <f t="shared" si="23"/>
        <v>1</v>
      </c>
      <c r="Z480" s="41" t="e" cm="1">
        <f t="array" aca="1" ref="Z480" ca="1">_xlfn.IFS(Y480&lt;=5, "On time", AND(Y480&gt;5, Y480&lt;&gt;" "), "Delayed", Y480=" ", "pending" )</f>
        <v>#NAME?</v>
      </c>
    </row>
    <row r="481" spans="1:26">
      <c r="A481" s="7" t="s">
        <v>2022</v>
      </c>
      <c r="B481" s="8" t="s">
        <v>131</v>
      </c>
      <c r="C481" s="8" t="s">
        <v>44</v>
      </c>
      <c r="D481" s="8" t="s">
        <v>89</v>
      </c>
      <c r="E481" s="8" t="s">
        <v>591</v>
      </c>
      <c r="F481" s="8" t="s">
        <v>204</v>
      </c>
      <c r="G481" s="8" t="s">
        <v>80</v>
      </c>
      <c r="H481" s="32"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c r="W481" s="40" t="str">
        <f t="shared" si="21"/>
        <v>Rohit Singh</v>
      </c>
      <c r="X481" s="35">
        <f t="shared" ca="1" si="22"/>
        <v>41</v>
      </c>
      <c r="Y481" s="29">
        <f t="shared" si="23"/>
        <v>6</v>
      </c>
      <c r="Z481" s="41" t="e" cm="1">
        <f t="array" aca="1" ref="Z481" ca="1">_xlfn.IFS(Y481&lt;=5, "On time", AND(Y481&gt;5, Y481&lt;&gt;" "), "Delayed", Y481=" ", "pending" )</f>
        <v>#NAME?</v>
      </c>
    </row>
    <row r="482" spans="1:26">
      <c r="A482" s="3" t="s">
        <v>2025</v>
      </c>
      <c r="B482" s="4" t="s">
        <v>27</v>
      </c>
      <c r="C482" s="4" t="s">
        <v>44</v>
      </c>
      <c r="D482" s="4" t="s">
        <v>2026</v>
      </c>
      <c r="E482" s="4" t="s">
        <v>1867</v>
      </c>
      <c r="F482" s="4" t="s">
        <v>99</v>
      </c>
      <c r="G482" s="4" t="s">
        <v>32</v>
      </c>
      <c r="H482" s="31"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c r="W482" s="40" t="str">
        <f t="shared" si="21"/>
        <v>Kavya Nair</v>
      </c>
      <c r="X482" s="35">
        <f t="shared" ca="1" si="22"/>
        <v>39</v>
      </c>
      <c r="Y482" s="29">
        <f t="shared" si="23"/>
        <v>6</v>
      </c>
      <c r="Z482" s="41" t="e" cm="1">
        <f t="array" aca="1" ref="Z482" ca="1">_xlfn.IFS(Y482&lt;=5, "On time", AND(Y482&gt;5, Y482&lt;&gt;" "), "Delayed", Y482=" ", "pending" )</f>
        <v>#NAME?</v>
      </c>
    </row>
    <row r="483" spans="1:26">
      <c r="A483" s="7" t="s">
        <v>2029</v>
      </c>
      <c r="B483" s="8" t="s">
        <v>131</v>
      </c>
      <c r="C483" s="8" t="s">
        <v>173</v>
      </c>
      <c r="D483" s="8" t="s">
        <v>896</v>
      </c>
      <c r="E483" s="8" t="s">
        <v>165</v>
      </c>
      <c r="F483" s="8" t="s">
        <v>204</v>
      </c>
      <c r="G483" s="8" t="s">
        <v>80</v>
      </c>
      <c r="H483" s="32"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c r="W483" s="40" t="str">
        <f t="shared" si="21"/>
        <v>Rohit Singh</v>
      </c>
      <c r="X483" s="35">
        <f t="shared" ca="1" si="22"/>
        <v>44</v>
      </c>
      <c r="Y483" s="29">
        <f t="shared" si="23"/>
        <v>1</v>
      </c>
      <c r="Z483" s="41" t="e" cm="1">
        <f t="array" aca="1" ref="Z483" ca="1">_xlfn.IFS(Y483&lt;=5, "On time", AND(Y483&gt;5, Y483&lt;&gt;" "), "Delayed", Y483=" ", "pending" )</f>
        <v>#NAME?</v>
      </c>
    </row>
    <row r="484" spans="1:26">
      <c r="A484" s="3" t="s">
        <v>2032</v>
      </c>
      <c r="B484" s="4" t="s">
        <v>75</v>
      </c>
      <c r="C484" s="4" t="s">
        <v>188</v>
      </c>
      <c r="D484" s="4" t="s">
        <v>265</v>
      </c>
      <c r="E484" s="4" t="s">
        <v>885</v>
      </c>
      <c r="F484" s="4" t="s">
        <v>2033</v>
      </c>
      <c r="G484" s="4" t="s">
        <v>80</v>
      </c>
      <c r="H484" s="31"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c r="W484" s="40" t="str">
        <f t="shared" si="21"/>
        <v>Mohit Verma</v>
      </c>
      <c r="X484" s="35">
        <f t="shared" ca="1" si="22"/>
        <v>34</v>
      </c>
      <c r="Y484" s="29">
        <f t="shared" si="23"/>
        <v>10</v>
      </c>
      <c r="Z484" s="41" t="e" cm="1">
        <f t="array" aca="1" ref="Z484" ca="1">_xlfn.IFS(Y484&lt;=5, "On time", AND(Y484&gt;5, Y484&lt;&gt;" "), "Delayed", Y484=" ", "pending" )</f>
        <v>#NAME?</v>
      </c>
    </row>
    <row r="485" spans="1:26">
      <c r="A485" s="7" t="s">
        <v>2036</v>
      </c>
      <c r="B485" s="8" t="s">
        <v>27</v>
      </c>
      <c r="C485" s="8" t="s">
        <v>188</v>
      </c>
      <c r="D485" s="8" t="s">
        <v>1253</v>
      </c>
      <c r="E485" s="8" t="s">
        <v>1576</v>
      </c>
      <c r="F485" s="8" t="s">
        <v>31</v>
      </c>
      <c r="G485" s="8" t="s">
        <v>32</v>
      </c>
      <c r="H485" s="32"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c r="W485" s="40" t="str">
        <f t="shared" si="21"/>
        <v>Kavya Nair</v>
      </c>
      <c r="X485" s="35">
        <f t="shared" ca="1" si="22"/>
        <v>35</v>
      </c>
      <c r="Y485" s="29">
        <f t="shared" si="23"/>
        <v>10</v>
      </c>
      <c r="Z485" s="41" t="e" cm="1">
        <f t="array" aca="1" ref="Z485" ca="1">_xlfn.IFS(Y485&lt;=5, "On time", AND(Y485&gt;5, Y485&lt;&gt;" "), "Delayed", Y485=" ", "pending" )</f>
        <v>#NAME?</v>
      </c>
    </row>
    <row r="486" spans="1:26">
      <c r="A486" s="3" t="s">
        <v>2039</v>
      </c>
      <c r="B486" s="4" t="s">
        <v>331</v>
      </c>
      <c r="C486" s="4" t="s">
        <v>76</v>
      </c>
      <c r="D486" s="4" t="s">
        <v>558</v>
      </c>
      <c r="E486" s="4" t="s">
        <v>69</v>
      </c>
      <c r="F486" s="4" t="s">
        <v>2040</v>
      </c>
      <c r="G486" s="4" t="s">
        <v>80</v>
      </c>
      <c r="H486" s="31"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c r="W486" s="40" t="str">
        <f t="shared" si="21"/>
        <v>Amit Sharma</v>
      </c>
      <c r="X486" s="35">
        <f t="shared" ca="1" si="22"/>
        <v>48</v>
      </c>
      <c r="Y486" s="29">
        <f t="shared" si="23"/>
        <v>10</v>
      </c>
      <c r="Z486" s="41" t="e" cm="1">
        <f t="array" aca="1" ref="Z486" ca="1">_xlfn.IFS(Y486&lt;=5, "On time", AND(Y486&gt;5, Y486&lt;&gt;" "), "Delayed", Y486=" ", "pending" )</f>
        <v>#NAME?</v>
      </c>
    </row>
    <row r="487" spans="1:26">
      <c r="A487" s="7" t="s">
        <v>2043</v>
      </c>
      <c r="B487" s="8" t="s">
        <v>104</v>
      </c>
      <c r="C487" s="8" t="s">
        <v>58</v>
      </c>
      <c r="D487" s="8" t="s">
        <v>2044</v>
      </c>
      <c r="E487" s="8" t="s">
        <v>1936</v>
      </c>
      <c r="F487" s="8" t="s">
        <v>107</v>
      </c>
      <c r="G487" s="8" t="s">
        <v>32</v>
      </c>
      <c r="H487" s="32"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c r="W487" s="40" t="str">
        <f t="shared" si="21"/>
        <v>Priya Patel</v>
      </c>
      <c r="X487" s="35">
        <f t="shared" ca="1" si="22"/>
        <v>27</v>
      </c>
      <c r="Y487" s="29">
        <f t="shared" si="23"/>
        <v>6</v>
      </c>
      <c r="Z487" s="41" t="e" cm="1">
        <f t="array" aca="1" ref="Z487" ca="1">_xlfn.IFS(Y487&lt;=5, "On time", AND(Y487&gt;5, Y487&lt;&gt;" "), "Delayed", Y487=" ", "pending" )</f>
        <v>#NAME?</v>
      </c>
    </row>
    <row r="488" spans="1:26">
      <c r="A488" s="3" t="s">
        <v>2046</v>
      </c>
      <c r="B488" s="4" t="s">
        <v>255</v>
      </c>
      <c r="C488" s="4" t="s">
        <v>76</v>
      </c>
      <c r="D488" s="4" t="s">
        <v>535</v>
      </c>
      <c r="E488" s="4" t="s">
        <v>295</v>
      </c>
      <c r="F488" s="4" t="s">
        <v>258</v>
      </c>
      <c r="G488" s="4" t="s">
        <v>32</v>
      </c>
      <c r="H488" s="31"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c r="W488" s="40" t="str">
        <f t="shared" si="21"/>
        <v>Sneha Joshi</v>
      </c>
      <c r="X488" s="35">
        <f t="shared" ca="1" si="22"/>
        <v>38</v>
      </c>
      <c r="Y488" s="29">
        <f t="shared" si="23"/>
        <v>5</v>
      </c>
      <c r="Z488" s="41" t="e" cm="1">
        <f t="array" aca="1" ref="Z488" ca="1">_xlfn.IFS(Y488&lt;=5, "On time", AND(Y488&gt;5, Y488&lt;&gt;" "), "Delayed", Y488=" ", "pending" )</f>
        <v>#NAME?</v>
      </c>
    </row>
    <row r="489" spans="1:26">
      <c r="A489" s="7" t="s">
        <v>2049</v>
      </c>
      <c r="B489" s="8" t="s">
        <v>57</v>
      </c>
      <c r="C489" s="8" t="s">
        <v>226</v>
      </c>
      <c r="D489" s="8" t="s">
        <v>2050</v>
      </c>
      <c r="E489" s="8" t="s">
        <v>1242</v>
      </c>
      <c r="F489" s="8" t="s">
        <v>167</v>
      </c>
      <c r="G489" s="8" t="s">
        <v>32</v>
      </c>
      <c r="H489" s="32"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c r="W489" s="40" t="str">
        <f t="shared" si="21"/>
        <v>Pooja Shah</v>
      </c>
      <c r="X489" s="35">
        <f t="shared" ca="1" si="22"/>
        <v>47</v>
      </c>
      <c r="Y489" s="29">
        <f t="shared" si="23"/>
        <v>4</v>
      </c>
      <c r="Z489" s="41" t="e" cm="1">
        <f t="array" aca="1" ref="Z489" ca="1">_xlfn.IFS(Y489&lt;=5, "On time", AND(Y489&gt;5, Y489&lt;&gt;" "), "Delayed", Y489=" ", "pending" )</f>
        <v>#NAME?</v>
      </c>
    </row>
    <row r="490" spans="1:26">
      <c r="A490" s="3" t="s">
        <v>2054</v>
      </c>
      <c r="B490" s="4" t="s">
        <v>172</v>
      </c>
      <c r="C490" s="4" t="s">
        <v>44</v>
      </c>
      <c r="D490" s="4" t="s">
        <v>2055</v>
      </c>
      <c r="E490" s="4" t="s">
        <v>276</v>
      </c>
      <c r="F490" s="4" t="s">
        <v>365</v>
      </c>
      <c r="G490" s="4" t="s">
        <v>32</v>
      </c>
      <c r="H490" s="31"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c r="W490" s="40" t="str">
        <f t="shared" si="21"/>
        <v>Anita Gupta</v>
      </c>
      <c r="X490" s="35">
        <f t="shared" ca="1" si="22"/>
        <v>32</v>
      </c>
      <c r="Y490" s="29">
        <f t="shared" si="23"/>
        <v>12</v>
      </c>
      <c r="Z490" s="41" t="e" cm="1">
        <f t="array" aca="1" ref="Z490" ca="1">_xlfn.IFS(Y490&lt;=5, "On time", AND(Y490&gt;5, Y490&lt;&gt;" "), "Delayed", Y490=" ", "pending" )</f>
        <v>#NAME?</v>
      </c>
    </row>
    <row r="491" spans="1:26">
      <c r="A491" s="7" t="s">
        <v>2058</v>
      </c>
      <c r="B491" s="8" t="s">
        <v>331</v>
      </c>
      <c r="C491" s="8" t="s">
        <v>173</v>
      </c>
      <c r="D491" s="8" t="s">
        <v>146</v>
      </c>
      <c r="E491" s="8" t="s">
        <v>1382</v>
      </c>
      <c r="F491" s="8" t="s">
        <v>398</v>
      </c>
      <c r="G491" s="8" t="s">
        <v>80</v>
      </c>
      <c r="H491" s="32"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c r="W491" s="40" t="str">
        <f t="shared" si="21"/>
        <v>Amit Sharma</v>
      </c>
      <c r="X491" s="35">
        <f t="shared" ca="1" si="22"/>
        <v>33</v>
      </c>
      <c r="Y491" s="29">
        <f t="shared" si="23"/>
        <v>2</v>
      </c>
      <c r="Z491" s="41" t="e" cm="1">
        <f t="array" aca="1" ref="Z491" ca="1">_xlfn.IFS(Y491&lt;=5, "On time", AND(Y491&gt;5, Y491&lt;&gt;" "), "Delayed", Y491=" ", "pending" )</f>
        <v>#NAME?</v>
      </c>
    </row>
    <row r="492" spans="1:26">
      <c r="A492" s="3" t="s">
        <v>2061</v>
      </c>
      <c r="B492" s="4" t="s">
        <v>104</v>
      </c>
      <c r="C492" s="4" t="s">
        <v>28</v>
      </c>
      <c r="D492" s="4" t="s">
        <v>332</v>
      </c>
      <c r="E492" s="4" t="s">
        <v>1511</v>
      </c>
      <c r="F492" s="4" t="s">
        <v>2062</v>
      </c>
      <c r="G492" s="4" t="s">
        <v>32</v>
      </c>
      <c r="H492" s="31"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c r="W492" s="40" t="str">
        <f t="shared" si="21"/>
        <v>Priya Patel</v>
      </c>
      <c r="X492" s="35">
        <f t="shared" ca="1" si="22"/>
        <v>32</v>
      </c>
      <c r="Y492" s="29">
        <f t="shared" si="23"/>
        <v>9</v>
      </c>
      <c r="Z492" s="41" t="e" cm="1">
        <f t="array" aca="1" ref="Z492" ca="1">_xlfn.IFS(Y492&lt;=5, "On time", AND(Y492&gt;5, Y492&lt;&gt;" "), "Delayed", Y492=" ", "pending" )</f>
        <v>#NAME?</v>
      </c>
    </row>
    <row r="493" spans="1:26">
      <c r="A493" s="7" t="s">
        <v>2065</v>
      </c>
      <c r="B493" s="8" t="s">
        <v>87</v>
      </c>
      <c r="C493" s="8" t="s">
        <v>173</v>
      </c>
      <c r="D493" s="8" t="s">
        <v>1920</v>
      </c>
      <c r="E493" s="8" t="s">
        <v>1102</v>
      </c>
      <c r="F493" s="8" t="s">
        <v>184</v>
      </c>
      <c r="G493" s="8" t="s">
        <v>80</v>
      </c>
      <c r="H493" s="32"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c r="W493" s="40" t="str">
        <f t="shared" si="21"/>
        <v>Arjun Rao</v>
      </c>
      <c r="X493" s="35">
        <f t="shared" ca="1" si="22"/>
        <v>43</v>
      </c>
      <c r="Y493" s="29">
        <f t="shared" si="23"/>
        <v>8</v>
      </c>
      <c r="Z493" s="41" t="e" cm="1">
        <f t="array" aca="1" ref="Z493" ca="1">_xlfn.IFS(Y493&lt;=5, "On time", AND(Y493&gt;5, Y493&lt;&gt;" "), "Delayed", Y493=" ", "pending" )</f>
        <v>#NAME?</v>
      </c>
    </row>
    <row r="494" spans="1:26">
      <c r="A494" s="3" t="s">
        <v>2068</v>
      </c>
      <c r="B494" s="4" t="s">
        <v>131</v>
      </c>
      <c r="C494" s="4" t="s">
        <v>76</v>
      </c>
      <c r="D494" s="4" t="s">
        <v>1110</v>
      </c>
      <c r="E494" s="4" t="s">
        <v>843</v>
      </c>
      <c r="F494" s="4" t="s">
        <v>2069</v>
      </c>
      <c r="G494" s="4" t="s">
        <v>80</v>
      </c>
      <c r="H494" s="31"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c r="W494" s="40" t="str">
        <f t="shared" si="21"/>
        <v>Rohit Singh</v>
      </c>
      <c r="X494" s="35">
        <f t="shared" ca="1" si="22"/>
        <v>24</v>
      </c>
      <c r="Y494" s="29">
        <f t="shared" si="23"/>
        <v>9</v>
      </c>
      <c r="Z494" s="41" t="e" cm="1">
        <f t="array" aca="1" ref="Z494" ca="1">_xlfn.IFS(Y494&lt;=5, "On time", AND(Y494&gt;5, Y494&lt;&gt;" "), "Delayed", Y494=" ", "pending" )</f>
        <v>#NAME?</v>
      </c>
    </row>
    <row r="495" spans="1:26">
      <c r="A495" s="7" t="s">
        <v>2072</v>
      </c>
      <c r="B495" s="8" t="s">
        <v>87</v>
      </c>
      <c r="C495" s="8" t="s">
        <v>188</v>
      </c>
      <c r="D495" s="8" t="s">
        <v>843</v>
      </c>
      <c r="E495" s="8" t="s">
        <v>760</v>
      </c>
      <c r="F495" s="8" t="s">
        <v>184</v>
      </c>
      <c r="G495" s="8" t="s">
        <v>80</v>
      </c>
      <c r="H495" s="32"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c r="W495" s="40" t="str">
        <f t="shared" si="21"/>
        <v>Arjun Rao</v>
      </c>
      <c r="X495" s="35">
        <f t="shared" ca="1" si="22"/>
        <v>24</v>
      </c>
      <c r="Y495" s="29">
        <f t="shared" si="23"/>
        <v>3</v>
      </c>
      <c r="Z495" s="41" t="e" cm="1">
        <f t="array" aca="1" ref="Z495" ca="1">_xlfn.IFS(Y495&lt;=5, "On time", AND(Y495&gt;5, Y495&lt;&gt;" "), "Delayed", Y495=" ", "pending" )</f>
        <v>#NAME?</v>
      </c>
    </row>
    <row r="496" spans="1:26">
      <c r="A496" s="3" t="s">
        <v>2075</v>
      </c>
      <c r="B496" s="4" t="s">
        <v>75</v>
      </c>
      <c r="C496" s="4" t="s">
        <v>76</v>
      </c>
      <c r="D496" s="4" t="s">
        <v>797</v>
      </c>
      <c r="E496" s="4" t="s">
        <v>1654</v>
      </c>
      <c r="F496" s="4" t="s">
        <v>221</v>
      </c>
      <c r="G496" s="4" t="s">
        <v>80</v>
      </c>
      <c r="H496" s="31"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c r="W496" s="40" t="str">
        <f t="shared" si="21"/>
        <v>Mohit Verma</v>
      </c>
      <c r="X496" s="35">
        <f t="shared" ca="1" si="22"/>
        <v>25</v>
      </c>
      <c r="Y496" s="29">
        <f t="shared" si="23"/>
        <v>11</v>
      </c>
      <c r="Z496" s="41" t="e" cm="1">
        <f t="array" aca="1" ref="Z496" ca="1">_xlfn.IFS(Y496&lt;=5, "On time", AND(Y496&gt;5, Y496&lt;&gt;" "), "Delayed", Y496=" ", "pending" )</f>
        <v>#NAME?</v>
      </c>
    </row>
    <row r="497" spans="1:26">
      <c r="A497" s="7" t="s">
        <v>2078</v>
      </c>
      <c r="B497" s="8" t="s">
        <v>172</v>
      </c>
      <c r="C497" s="8" t="s">
        <v>28</v>
      </c>
      <c r="D497" s="8" t="s">
        <v>497</v>
      </c>
      <c r="E497" s="8" t="s">
        <v>1936</v>
      </c>
      <c r="F497" s="8" t="s">
        <v>2079</v>
      </c>
      <c r="G497" s="8" t="s">
        <v>32</v>
      </c>
      <c r="H497" s="32"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c r="W497" s="40" t="str">
        <f t="shared" si="21"/>
        <v>Anita Gupta</v>
      </c>
      <c r="X497" s="35">
        <f t="shared" ca="1" si="22"/>
        <v>43</v>
      </c>
      <c r="Y497" s="29">
        <f t="shared" si="23"/>
        <v>12</v>
      </c>
      <c r="Z497" s="41" t="e" cm="1">
        <f t="array" aca="1" ref="Z497" ca="1">_xlfn.IFS(Y497&lt;=5, "On time", AND(Y497&gt;5, Y497&lt;&gt;" "), "Delayed", Y497=" ", "pending" )</f>
        <v>#NAME?</v>
      </c>
    </row>
    <row r="498" spans="1:26">
      <c r="A498" s="3" t="s">
        <v>2082</v>
      </c>
      <c r="B498" s="4" t="s">
        <v>87</v>
      </c>
      <c r="C498" s="4" t="s">
        <v>44</v>
      </c>
      <c r="D498" s="4" t="s">
        <v>2055</v>
      </c>
      <c r="E498" s="4" t="s">
        <v>276</v>
      </c>
      <c r="F498" s="4" t="s">
        <v>184</v>
      </c>
      <c r="G498" s="4" t="s">
        <v>80</v>
      </c>
      <c r="H498" s="31"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c r="W498" s="40" t="str">
        <f t="shared" si="21"/>
        <v>Arjun Rao</v>
      </c>
      <c r="X498" s="35">
        <f t="shared" ca="1" si="22"/>
        <v>38</v>
      </c>
      <c r="Y498" s="29">
        <f t="shared" si="23"/>
        <v>12</v>
      </c>
      <c r="Z498" s="41" t="e" cm="1">
        <f t="array" aca="1" ref="Z498" ca="1">_xlfn.IFS(Y498&lt;=5, "On time", AND(Y498&gt;5, Y498&lt;&gt;" "), "Delayed", Y498=" ", "pending" )</f>
        <v>#NAME?</v>
      </c>
    </row>
    <row r="499" spans="1:26">
      <c r="A499" s="7" t="s">
        <v>2085</v>
      </c>
      <c r="B499" s="8" t="s">
        <v>225</v>
      </c>
      <c r="C499" s="8" t="s">
        <v>76</v>
      </c>
      <c r="D499" s="8" t="s">
        <v>614</v>
      </c>
      <c r="E499" s="8" t="s">
        <v>615</v>
      </c>
      <c r="F499" s="8" t="s">
        <v>229</v>
      </c>
      <c r="G499" s="8" t="s">
        <v>80</v>
      </c>
      <c r="H499" s="32"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c r="W499" s="40" t="str">
        <f t="shared" si="21"/>
        <v>Vikas Mehta</v>
      </c>
      <c r="X499" s="35">
        <f t="shared" ca="1" si="22"/>
        <v>34</v>
      </c>
      <c r="Y499" s="29">
        <f t="shared" si="23"/>
        <v>9</v>
      </c>
      <c r="Z499" s="41" t="e" cm="1">
        <f t="array" aca="1" ref="Z499" ca="1">_xlfn.IFS(Y499&lt;=5, "On time", AND(Y499&gt;5, Y499&lt;&gt;" "), "Delayed", Y499=" ", "pending" )</f>
        <v>#NAME?</v>
      </c>
    </row>
    <row r="500" spans="1:26">
      <c r="A500" s="3" t="s">
        <v>2088</v>
      </c>
      <c r="B500" s="4" t="s">
        <v>104</v>
      </c>
      <c r="C500" s="4" t="s">
        <v>58</v>
      </c>
      <c r="D500" s="4" t="s">
        <v>280</v>
      </c>
      <c r="E500" s="4" t="s">
        <v>2089</v>
      </c>
      <c r="F500" s="4" t="s">
        <v>107</v>
      </c>
      <c r="G500" s="4" t="s">
        <v>32</v>
      </c>
      <c r="H500" s="31"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c r="W500" s="40" t="str">
        <f t="shared" si="21"/>
        <v>Priya Patel</v>
      </c>
      <c r="X500" s="35">
        <f t="shared" ca="1" si="22"/>
        <v>46</v>
      </c>
      <c r="Y500" s="29">
        <f t="shared" si="23"/>
        <v>1</v>
      </c>
      <c r="Z500" s="41" t="e" cm="1">
        <f t="array" aca="1" ref="Z500" ca="1">_xlfn.IFS(Y500&lt;=5, "On time", AND(Y500&gt;5, Y500&lt;&gt;" "), "Delayed", Y500=" ", "pending" )</f>
        <v>#NAME?</v>
      </c>
    </row>
    <row r="501" spans="1:26">
      <c r="A501" s="11" t="s">
        <v>2093</v>
      </c>
      <c r="B501" s="12" t="s">
        <v>104</v>
      </c>
      <c r="C501" s="12" t="s">
        <v>96</v>
      </c>
      <c r="D501" s="12" t="s">
        <v>2094</v>
      </c>
      <c r="E501" s="12" t="s">
        <v>133</v>
      </c>
      <c r="F501" s="12" t="s">
        <v>107</v>
      </c>
      <c r="G501" s="12" t="s">
        <v>32</v>
      </c>
      <c r="H501" s="33"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c r="W501" s="40" t="str">
        <f t="shared" si="21"/>
        <v>Priya Patel</v>
      </c>
      <c r="X501" s="35">
        <f t="shared" ca="1" si="22"/>
        <v>49</v>
      </c>
      <c r="Y501" s="29">
        <f t="shared" si="23"/>
        <v>7</v>
      </c>
      <c r="Z501" s="41" t="e" cm="1">
        <f t="array" aca="1" ref="Z501" ca="1">_xlfn.IFS(Y501&lt;=5, "On time", AND(Y501&gt;5, Y501&lt;&gt;" "), "Delayed", Y501=" ", "pending" )</f>
        <v>#NAME?</v>
      </c>
    </row>
  </sheetData>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01"/>
  <sheetViews>
    <sheetView topLeftCell="R1" workbookViewId="0">
      <selection activeCell="AF8" sqref="AF8"/>
    </sheetView>
  </sheetViews>
  <sheetFormatPr defaultRowHeight="14.25"/>
  <cols>
    <col min="22" max="22" width="12.75" bestFit="1" customWidth="1"/>
    <col min="23" max="23" width="11" style="40" bestFit="1" customWidth="1"/>
    <col min="24" max="24" width="14.125" style="29" bestFit="1" customWidth="1"/>
    <col min="25" max="26" width="9.125" style="29"/>
    <col min="27" max="27" width="10.75" style="29" bestFit="1" customWidth="1"/>
    <col min="28" max="28" width="9.125" style="41"/>
  </cols>
  <sheetData>
    <row r="1" spans="1:28" s="36" customFormat="1"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c r="W1" s="37" t="s">
        <v>2</v>
      </c>
      <c r="X1" s="38" t="s">
        <v>2</v>
      </c>
      <c r="Y1" s="38" t="s">
        <v>10</v>
      </c>
      <c r="Z1" s="38" t="s">
        <v>2100</v>
      </c>
      <c r="AA1" s="38" t="s">
        <v>2101</v>
      </c>
      <c r="AB1" s="39" t="s">
        <v>2102</v>
      </c>
    </row>
    <row r="2" spans="1:28">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c r="W2" s="40" t="str">
        <f>C2</f>
        <v>P202</v>
      </c>
      <c r="X2" s="29" t="e" cm="1">
        <f t="array" aca="1" ref="X2:AB2" ca="1">_xlfn.XLOOKUP(C2,C:C, _xlfn.HSTACK(L:L,K:K,S:S,Product_master!E:E,Product_master!F:F))</f>
        <v>#NAME?</v>
      </c>
      <c r="Y2" s="29" t="e">
        <f ca="1"/>
        <v>#NAME?</v>
      </c>
      <c r="Z2" s="29" t="e">
        <f ca="1"/>
        <v>#NAME?</v>
      </c>
      <c r="AA2" s="29" t="e">
        <f ca="1"/>
        <v>#NAME?</v>
      </c>
      <c r="AB2" s="41" t="e">
        <f ca="1"/>
        <v>#NAME?</v>
      </c>
    </row>
    <row r="3" spans="1:28">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c r="W3" s="40" t="str">
        <f t="shared" ref="W3:W66" si="0">C3</f>
        <v>P104</v>
      </c>
      <c r="X3" s="29" t="e" cm="1">
        <f t="array" aca="1" ref="X3:AB3" ca="1">_xlfn.XLOOKUP(C3,C:C, _xlfn.HSTACK(L:L,K:K,S:S,Product_master!E:E,Product_master!F:F ))</f>
        <v>#NAME?</v>
      </c>
      <c r="Y3" s="29" t="e">
        <f ca="1"/>
        <v>#NAME?</v>
      </c>
      <c r="Z3" s="29" t="e">
        <f ca="1"/>
        <v>#NAME?</v>
      </c>
      <c r="AA3" s="29" t="e">
        <f ca="1"/>
        <v>#NAME?</v>
      </c>
      <c r="AB3" s="41" t="e">
        <f ca="1"/>
        <v>#NAME?</v>
      </c>
    </row>
    <row r="4" spans="1:28">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W4" s="40" t="str">
        <f t="shared" si="0"/>
        <v>P101</v>
      </c>
      <c r="X4" s="29" t="e" cm="1">
        <f t="array" aca="1" ref="X4:AB4" ca="1">_xlfn.XLOOKUP(C4,C:C, _xlfn.HSTACK(L:L,K:K,S:S,Product_master!E:E,Product_master!F:F ))</f>
        <v>#NAME?</v>
      </c>
      <c r="Y4" s="29" t="e">
        <f ca="1"/>
        <v>#NAME?</v>
      </c>
      <c r="Z4" s="29" t="e">
        <f ca="1"/>
        <v>#NAME?</v>
      </c>
      <c r="AA4" s="29" t="e">
        <f ca="1"/>
        <v>#NAME?</v>
      </c>
      <c r="AB4" s="41" t="e">
        <f ca="1"/>
        <v>#NAME?</v>
      </c>
    </row>
    <row r="5" spans="1:28">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W5" s="40" t="str">
        <f t="shared" si="0"/>
        <v>P202</v>
      </c>
      <c r="X5" s="29" t="e" cm="1">
        <f t="array" aca="1" ref="X5:AB5" ca="1">_xlfn.XLOOKUP(C5,C:C, _xlfn.HSTACK(L:L,K:K,S:S,Product_master!E:E,Product_master!F:F ))</f>
        <v>#NAME?</v>
      </c>
      <c r="Y5" s="29" t="e">
        <f ca="1"/>
        <v>#NAME?</v>
      </c>
      <c r="Z5" s="29" t="e">
        <f ca="1"/>
        <v>#NAME?</v>
      </c>
      <c r="AA5" s="29" t="e">
        <f ca="1"/>
        <v>#NAME?</v>
      </c>
      <c r="AB5" s="41" t="e">
        <f ca="1"/>
        <v>#NAME?</v>
      </c>
    </row>
    <row r="6" spans="1:28">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W6" s="40" t="str">
        <f t="shared" si="0"/>
        <v>P103</v>
      </c>
      <c r="X6" s="29" t="e" cm="1">
        <f t="array" aca="1" ref="X6:AB6" ca="1">_xlfn.XLOOKUP(C6,C:C, _xlfn.HSTACK(L:L,K:K,S:S,Product_master!E:E,Product_master!F:F ))</f>
        <v>#NAME?</v>
      </c>
      <c r="Y6" s="29" t="e">
        <f ca="1"/>
        <v>#NAME?</v>
      </c>
      <c r="Z6" s="29" t="e">
        <f ca="1"/>
        <v>#NAME?</v>
      </c>
      <c r="AA6" s="29" t="e">
        <f ca="1"/>
        <v>#NAME?</v>
      </c>
      <c r="AB6" s="41" t="e">
        <f ca="1"/>
        <v>#NAME?</v>
      </c>
    </row>
    <row r="7" spans="1:28">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W7" s="40" t="str">
        <f t="shared" si="0"/>
        <v>P202</v>
      </c>
      <c r="X7" s="29" t="e" cm="1">
        <f t="array" aca="1" ref="X7:AB7" ca="1">_xlfn.XLOOKUP(C7,C:C, _xlfn.HSTACK(L:L,K:K,S:S,Product_master!E:E,Product_master!F:F ))</f>
        <v>#NAME?</v>
      </c>
      <c r="Y7" s="29" t="e">
        <f ca="1"/>
        <v>#NAME?</v>
      </c>
      <c r="Z7" s="29" t="e">
        <f ca="1"/>
        <v>#NAME?</v>
      </c>
      <c r="AA7" s="29" t="e">
        <f ca="1"/>
        <v>#NAME?</v>
      </c>
      <c r="AB7" s="41" t="e">
        <f ca="1"/>
        <v>#NAME?</v>
      </c>
    </row>
    <row r="8" spans="1:28">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W8" s="40" t="str">
        <f t="shared" si="0"/>
        <v>P201</v>
      </c>
      <c r="X8" s="29" t="e" cm="1">
        <f t="array" aca="1" ref="X8:AB8" ca="1">_xlfn.XLOOKUP(C8,C:C, _xlfn.HSTACK(L:L,K:K,S:S,Product_master!E:E,Product_master!F:F ))</f>
        <v>#NAME?</v>
      </c>
      <c r="Y8" s="29" t="e">
        <f ca="1"/>
        <v>#NAME?</v>
      </c>
      <c r="Z8" s="29" t="e">
        <f ca="1"/>
        <v>#NAME?</v>
      </c>
      <c r="AA8" s="29" t="e">
        <f ca="1"/>
        <v>#NAME?</v>
      </c>
      <c r="AB8" s="41" t="e">
        <f ca="1"/>
        <v>#NAME?</v>
      </c>
    </row>
    <row r="9" spans="1:28">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c r="W9" s="40" t="str">
        <f t="shared" si="0"/>
        <v>P104</v>
      </c>
      <c r="X9" s="29" t="e" cm="1">
        <f t="array" aca="1" ref="X9:AB9" ca="1">_xlfn.XLOOKUP(C9,C:C, _xlfn.HSTACK(L:L,K:K,S:S,Product_master!E:E,Product_master!F:F ))</f>
        <v>#NAME?</v>
      </c>
      <c r="Y9" s="29" t="e">
        <f ca="1"/>
        <v>#NAME?</v>
      </c>
      <c r="Z9" s="29" t="e">
        <f ca="1"/>
        <v>#NAME?</v>
      </c>
      <c r="AA9" s="29" t="e">
        <f ca="1"/>
        <v>#NAME?</v>
      </c>
      <c r="AB9" s="41" t="e">
        <f ca="1"/>
        <v>#NAME?</v>
      </c>
    </row>
    <row r="10" spans="1:28">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W10" s="40" t="str">
        <f t="shared" si="0"/>
        <v>P104</v>
      </c>
      <c r="X10" s="29" t="e" cm="1">
        <f t="array" aca="1" ref="X10:AB10" ca="1">_xlfn.XLOOKUP(C10,C:C, _xlfn.HSTACK(L:L,K:K,S:S,Product_master!E:E,Product_master!F:F ))</f>
        <v>#NAME?</v>
      </c>
      <c r="Y10" s="29" t="e">
        <f ca="1"/>
        <v>#NAME?</v>
      </c>
      <c r="Z10" s="29" t="e">
        <f ca="1"/>
        <v>#NAME?</v>
      </c>
      <c r="AA10" s="29" t="e">
        <f ca="1"/>
        <v>#NAME?</v>
      </c>
      <c r="AB10" s="41" t="e">
        <f ca="1"/>
        <v>#NAME?</v>
      </c>
    </row>
    <row r="11" spans="1:28">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W11" s="40" t="str">
        <f t="shared" si="0"/>
        <v>P301</v>
      </c>
      <c r="X11" s="29" t="e" cm="1">
        <f t="array" aca="1" ref="X11:AB11" ca="1">_xlfn.XLOOKUP(C11,C:C, _xlfn.HSTACK(L:L,K:K,S:S,Product_master!E:E,Product_master!F:F ))</f>
        <v>#NAME?</v>
      </c>
      <c r="Y11" s="29" t="e">
        <f ca="1"/>
        <v>#NAME?</v>
      </c>
      <c r="Z11" s="29" t="e">
        <f ca="1"/>
        <v>#NAME?</v>
      </c>
      <c r="AA11" s="29" t="e">
        <f ca="1"/>
        <v>#NAME?</v>
      </c>
      <c r="AB11" s="41" t="e">
        <f ca="1"/>
        <v>#NAME?</v>
      </c>
    </row>
    <row r="12" spans="1:28">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c r="W12" s="40" t="str">
        <f t="shared" si="0"/>
        <v>P202</v>
      </c>
      <c r="X12" s="29" t="e" cm="1">
        <f t="array" aca="1" ref="X12:AB12" ca="1">_xlfn.XLOOKUP(C12,C:C, _xlfn.HSTACK(L:L,K:K,S:S,Product_master!E:E,Product_master!F:F ))</f>
        <v>#NAME?</v>
      </c>
      <c r="Y12" s="29" t="e">
        <f ca="1"/>
        <v>#NAME?</v>
      </c>
      <c r="Z12" s="29" t="e">
        <f ca="1"/>
        <v>#NAME?</v>
      </c>
      <c r="AA12" s="29" t="e">
        <f ca="1"/>
        <v>#NAME?</v>
      </c>
      <c r="AB12" s="41" t="e">
        <f ca="1"/>
        <v>#NAME?</v>
      </c>
    </row>
    <row r="13" spans="1:28">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W13" s="40" t="str">
        <f t="shared" si="0"/>
        <v>P201</v>
      </c>
      <c r="X13" s="29" t="e" cm="1">
        <f t="array" aca="1" ref="X13:AB13" ca="1">_xlfn.XLOOKUP(C13,C:C, _xlfn.HSTACK(L:L,K:K,S:S,Product_master!E:E,Product_master!F:F ))</f>
        <v>#NAME?</v>
      </c>
      <c r="Y13" s="29" t="e">
        <f ca="1"/>
        <v>#NAME?</v>
      </c>
      <c r="Z13" s="29" t="e">
        <f ca="1"/>
        <v>#NAME?</v>
      </c>
      <c r="AA13" s="29" t="e">
        <f ca="1"/>
        <v>#NAME?</v>
      </c>
      <c r="AB13" s="41" t="e">
        <f ca="1"/>
        <v>#NAME?</v>
      </c>
    </row>
    <row r="14" spans="1:28">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W14" s="40" t="str">
        <f t="shared" si="0"/>
        <v>P202</v>
      </c>
      <c r="X14" s="29" t="e" cm="1">
        <f t="array" aca="1" ref="X14:AB14" ca="1">_xlfn.XLOOKUP(C14,C:C, _xlfn.HSTACK(L:L,K:K,S:S,Product_master!E:E,Product_master!F:F ))</f>
        <v>#NAME?</v>
      </c>
      <c r="Y14" s="29" t="e">
        <f ca="1"/>
        <v>#NAME?</v>
      </c>
      <c r="Z14" s="29" t="e">
        <f ca="1"/>
        <v>#NAME?</v>
      </c>
      <c r="AA14" s="29" t="e">
        <f ca="1"/>
        <v>#NAME?</v>
      </c>
      <c r="AB14" s="41" t="e">
        <f ca="1"/>
        <v>#NAME?</v>
      </c>
    </row>
    <row r="15" spans="1:28">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c r="W15" s="40" t="str">
        <f t="shared" si="0"/>
        <v>P202</v>
      </c>
      <c r="X15" s="29" t="e" cm="1">
        <f t="array" aca="1" ref="X15:AB15" ca="1">_xlfn.XLOOKUP(C15,C:C, _xlfn.HSTACK(L:L,K:K,S:S,Product_master!E:E,Product_master!F:F ))</f>
        <v>#NAME?</v>
      </c>
      <c r="Y15" s="29" t="e">
        <f ca="1"/>
        <v>#NAME?</v>
      </c>
      <c r="Z15" s="29" t="e">
        <f ca="1"/>
        <v>#NAME?</v>
      </c>
      <c r="AA15" s="29" t="e">
        <f ca="1"/>
        <v>#NAME?</v>
      </c>
      <c r="AB15" s="41" t="e">
        <f ca="1"/>
        <v>#NAME?</v>
      </c>
    </row>
    <row r="16" spans="1:28">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W16" s="40" t="str">
        <f t="shared" si="0"/>
        <v>P201</v>
      </c>
      <c r="X16" s="29" t="e" cm="1">
        <f t="array" aca="1" ref="X16:AB16" ca="1">_xlfn.XLOOKUP(C16,C:C, _xlfn.HSTACK(L:L,K:K,S:S,Product_master!E:E,Product_master!F:F ))</f>
        <v>#NAME?</v>
      </c>
      <c r="Y16" s="29" t="e">
        <f ca="1"/>
        <v>#NAME?</v>
      </c>
      <c r="Z16" s="29" t="e">
        <f ca="1"/>
        <v>#NAME?</v>
      </c>
      <c r="AA16" s="29" t="e">
        <f ca="1"/>
        <v>#NAME?</v>
      </c>
      <c r="AB16" s="41" t="e">
        <f ca="1"/>
        <v>#NAME?</v>
      </c>
    </row>
    <row r="17" spans="1:28">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W17" s="40" t="str">
        <f t="shared" si="0"/>
        <v>P103</v>
      </c>
      <c r="X17" s="29" t="e" cm="1">
        <f t="array" aca="1" ref="X17:AB17" ca="1">_xlfn.XLOOKUP(C17,C:C, _xlfn.HSTACK(L:L,K:K,S:S,Product_master!E:E,Product_master!F:F ))</f>
        <v>#NAME?</v>
      </c>
      <c r="Y17" s="29" t="e">
        <f ca="1"/>
        <v>#NAME?</v>
      </c>
      <c r="Z17" s="29" t="e">
        <f ca="1"/>
        <v>#NAME?</v>
      </c>
      <c r="AA17" s="29" t="e">
        <f ca="1"/>
        <v>#NAME?</v>
      </c>
      <c r="AB17" s="41" t="e">
        <f ca="1"/>
        <v>#NAME?</v>
      </c>
    </row>
    <row r="18" spans="1:28">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c r="W18" s="40" t="str">
        <f t="shared" si="0"/>
        <v>P203</v>
      </c>
      <c r="X18" s="29" t="e" cm="1">
        <f t="array" aca="1" ref="X18:AB18" ca="1">_xlfn.XLOOKUP(C18,C:C, _xlfn.HSTACK(L:L,K:K,S:S,Product_master!E:E,Product_master!F:F ))</f>
        <v>#NAME?</v>
      </c>
      <c r="Y18" s="29" t="e">
        <f ca="1"/>
        <v>#NAME?</v>
      </c>
      <c r="Z18" s="29" t="e">
        <f ca="1"/>
        <v>#NAME?</v>
      </c>
      <c r="AA18" s="29" t="e">
        <f ca="1"/>
        <v>#NAME?</v>
      </c>
      <c r="AB18" s="41" t="e">
        <f ca="1"/>
        <v>#NAME?</v>
      </c>
    </row>
    <row r="19" spans="1:28">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c r="W19" s="40" t="str">
        <f t="shared" si="0"/>
        <v>P203</v>
      </c>
      <c r="X19" s="29" t="e" cm="1">
        <f t="array" aca="1" ref="X19:AB19" ca="1">_xlfn.XLOOKUP(C19,C:C, _xlfn.HSTACK(L:L,K:K,S:S,Product_master!E:E,Product_master!F:F ))</f>
        <v>#NAME?</v>
      </c>
      <c r="Y19" s="29" t="e">
        <f ca="1"/>
        <v>#NAME?</v>
      </c>
      <c r="Z19" s="29" t="e">
        <f ca="1"/>
        <v>#NAME?</v>
      </c>
      <c r="AA19" s="29" t="e">
        <f ca="1"/>
        <v>#NAME?</v>
      </c>
      <c r="AB19" s="41" t="e">
        <f ca="1"/>
        <v>#NAME?</v>
      </c>
    </row>
    <row r="20" spans="1:28">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c r="W20" s="40" t="str">
        <f t="shared" si="0"/>
        <v>P102</v>
      </c>
      <c r="X20" s="29" t="e" cm="1">
        <f t="array" aca="1" ref="X20:AB20" ca="1">_xlfn.XLOOKUP(C20,C:C, _xlfn.HSTACK(L:L,K:K,S:S,Product_master!E:E,Product_master!F:F ))</f>
        <v>#NAME?</v>
      </c>
      <c r="Y20" s="29" t="e">
        <f ca="1"/>
        <v>#NAME?</v>
      </c>
      <c r="Z20" s="29" t="e">
        <f ca="1"/>
        <v>#NAME?</v>
      </c>
      <c r="AA20" s="29" t="e">
        <f ca="1"/>
        <v>#NAME?</v>
      </c>
      <c r="AB20" s="41" t="e">
        <f ca="1"/>
        <v>#NAME?</v>
      </c>
    </row>
    <row r="21" spans="1:28">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c r="W21" s="40" t="str">
        <f t="shared" si="0"/>
        <v>P101</v>
      </c>
      <c r="X21" s="29" t="e" cm="1">
        <f t="array" aca="1" ref="X21:AB21" ca="1">_xlfn.XLOOKUP(C21,C:C, _xlfn.HSTACK(L:L,K:K,S:S,Product_master!E:E,Product_master!F:F ))</f>
        <v>#NAME?</v>
      </c>
      <c r="Y21" s="29" t="e">
        <f ca="1"/>
        <v>#NAME?</v>
      </c>
      <c r="Z21" s="29" t="e">
        <f ca="1"/>
        <v>#NAME?</v>
      </c>
      <c r="AA21" s="29" t="e">
        <f ca="1"/>
        <v>#NAME?</v>
      </c>
      <c r="AB21" s="41" t="e">
        <f ca="1"/>
        <v>#NAME?</v>
      </c>
    </row>
    <row r="22" spans="1:28">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c r="W22" s="40" t="str">
        <f t="shared" si="0"/>
        <v>P102</v>
      </c>
      <c r="X22" s="29" t="e" cm="1">
        <f t="array" aca="1" ref="X22:AB22" ca="1">_xlfn.XLOOKUP(C22,C:C, _xlfn.HSTACK(L:L,K:K,S:S,Product_master!E:E,Product_master!F:F ))</f>
        <v>#NAME?</v>
      </c>
      <c r="Y22" s="29" t="e">
        <f ca="1"/>
        <v>#NAME?</v>
      </c>
      <c r="Z22" s="29" t="e">
        <f ca="1"/>
        <v>#NAME?</v>
      </c>
      <c r="AA22" s="29" t="e">
        <f ca="1"/>
        <v>#NAME?</v>
      </c>
      <c r="AB22" s="41" t="e">
        <f ca="1"/>
        <v>#NAME?</v>
      </c>
    </row>
    <row r="23" spans="1:28">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c r="W23" s="40" t="str">
        <f t="shared" si="0"/>
        <v>P201</v>
      </c>
      <c r="X23" s="29" t="e" cm="1">
        <f t="array" aca="1" ref="X23:AB23" ca="1">_xlfn.XLOOKUP(C23,C:C, _xlfn.HSTACK(L:L,K:K,S:S,Product_master!E:E,Product_master!F:F ))</f>
        <v>#NAME?</v>
      </c>
      <c r="Y23" s="29" t="e">
        <f ca="1"/>
        <v>#NAME?</v>
      </c>
      <c r="Z23" s="29" t="e">
        <f ca="1"/>
        <v>#NAME?</v>
      </c>
      <c r="AA23" s="29" t="e">
        <f ca="1"/>
        <v>#NAME?</v>
      </c>
      <c r="AB23" s="41" t="e">
        <f ca="1"/>
        <v>#NAME?</v>
      </c>
    </row>
    <row r="24" spans="1:28">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c r="W24" s="40" t="str">
        <f t="shared" si="0"/>
        <v>P102</v>
      </c>
      <c r="X24" s="29" t="e" cm="1">
        <f t="array" aca="1" ref="X24:AB24" ca="1">_xlfn.XLOOKUP(C24,C:C, _xlfn.HSTACK(L:L,K:K,S:S,Product_master!E:E,Product_master!F:F ))</f>
        <v>#NAME?</v>
      </c>
      <c r="Y24" s="29" t="e">
        <f ca="1"/>
        <v>#NAME?</v>
      </c>
      <c r="Z24" s="29" t="e">
        <f ca="1"/>
        <v>#NAME?</v>
      </c>
      <c r="AA24" s="29" t="e">
        <f ca="1"/>
        <v>#NAME?</v>
      </c>
      <c r="AB24" s="41" t="e">
        <f ca="1"/>
        <v>#NAME?</v>
      </c>
    </row>
    <row r="25" spans="1:28">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c r="W25" s="40" t="str">
        <f t="shared" si="0"/>
        <v>P101</v>
      </c>
      <c r="X25" s="29" t="e" cm="1">
        <f t="array" aca="1" ref="X25:AB25" ca="1">_xlfn.XLOOKUP(C25,C:C, _xlfn.HSTACK(L:L,K:K,S:S,Product_master!E:E,Product_master!F:F ))</f>
        <v>#NAME?</v>
      </c>
      <c r="Y25" s="29" t="e">
        <f ca="1"/>
        <v>#NAME?</v>
      </c>
      <c r="Z25" s="29" t="e">
        <f ca="1"/>
        <v>#NAME?</v>
      </c>
      <c r="AA25" s="29" t="e">
        <f ca="1"/>
        <v>#NAME?</v>
      </c>
      <c r="AB25" s="41" t="e">
        <f ca="1"/>
        <v>#NAME?</v>
      </c>
    </row>
    <row r="26" spans="1:28">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c r="W26" s="40" t="str">
        <f t="shared" si="0"/>
        <v>P302</v>
      </c>
      <c r="X26" s="29" t="e" cm="1">
        <f t="array" aca="1" ref="X26:AB26" ca="1">_xlfn.XLOOKUP(C26,C:C, _xlfn.HSTACK(L:L,K:K,S:S,Product_master!E:E,Product_master!F:F ))</f>
        <v>#NAME?</v>
      </c>
      <c r="Y26" s="29" t="e">
        <f ca="1"/>
        <v>#NAME?</v>
      </c>
      <c r="Z26" s="29" t="e">
        <f ca="1"/>
        <v>#NAME?</v>
      </c>
      <c r="AA26" s="29" t="e">
        <f ca="1"/>
        <v>#NAME?</v>
      </c>
      <c r="AB26" s="41" t="e">
        <f ca="1"/>
        <v>#NAME?</v>
      </c>
    </row>
    <row r="27" spans="1:28">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c r="W27" s="40" t="str">
        <f t="shared" si="0"/>
        <v>P302</v>
      </c>
      <c r="X27" s="29" t="e" cm="1">
        <f t="array" aca="1" ref="X27:AB27" ca="1">_xlfn.XLOOKUP(C27,C:C, _xlfn.HSTACK(L:L,K:K,S:S,Product_master!E:E,Product_master!F:F ))</f>
        <v>#NAME?</v>
      </c>
      <c r="Y27" s="29" t="e">
        <f ca="1"/>
        <v>#NAME?</v>
      </c>
      <c r="Z27" s="29" t="e">
        <f ca="1"/>
        <v>#NAME?</v>
      </c>
      <c r="AA27" s="29" t="e">
        <f ca="1"/>
        <v>#NAME?</v>
      </c>
      <c r="AB27" s="41" t="e">
        <f ca="1"/>
        <v>#NAME?</v>
      </c>
    </row>
    <row r="28" spans="1:28">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c r="W28" s="40" t="str">
        <f t="shared" si="0"/>
        <v>P201</v>
      </c>
      <c r="X28" s="29" t="e" cm="1">
        <f t="array" aca="1" ref="X28:AB28" ca="1">_xlfn.XLOOKUP(C28,C:C, _xlfn.HSTACK(L:L,K:K,S:S,Product_master!E:E,Product_master!F:F ))</f>
        <v>#NAME?</v>
      </c>
      <c r="Y28" s="29" t="e">
        <f ca="1"/>
        <v>#NAME?</v>
      </c>
      <c r="Z28" s="29" t="e">
        <f ca="1"/>
        <v>#NAME?</v>
      </c>
      <c r="AA28" s="29" t="e">
        <f ca="1"/>
        <v>#NAME?</v>
      </c>
      <c r="AB28" s="41" t="e">
        <f ca="1"/>
        <v>#NAME?</v>
      </c>
    </row>
    <row r="29" spans="1:28">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c r="W29" s="40" t="str">
        <f t="shared" si="0"/>
        <v>P103</v>
      </c>
      <c r="X29" s="29" t="e" cm="1">
        <f t="array" aca="1" ref="X29:AB29" ca="1">_xlfn.XLOOKUP(C29,C:C, _xlfn.HSTACK(L:L,K:K,S:S,Product_master!E:E,Product_master!F:F ))</f>
        <v>#NAME?</v>
      </c>
      <c r="Y29" s="29" t="e">
        <f ca="1"/>
        <v>#NAME?</v>
      </c>
      <c r="Z29" s="29" t="e">
        <f ca="1"/>
        <v>#NAME?</v>
      </c>
      <c r="AA29" s="29" t="e">
        <f ca="1"/>
        <v>#NAME?</v>
      </c>
      <c r="AB29" s="41" t="e">
        <f ca="1"/>
        <v>#NAME?</v>
      </c>
    </row>
    <row r="30" spans="1:28">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c r="W30" s="40" t="str">
        <f t="shared" si="0"/>
        <v>P203</v>
      </c>
      <c r="X30" s="29" t="e" cm="1">
        <f t="array" aca="1" ref="X30:AB30" ca="1">_xlfn.XLOOKUP(C30,C:C, _xlfn.HSTACK(L:L,K:K,S:S,Product_master!E:E,Product_master!F:F ))</f>
        <v>#NAME?</v>
      </c>
      <c r="Y30" s="29" t="e">
        <f ca="1"/>
        <v>#NAME?</v>
      </c>
      <c r="Z30" s="29" t="e">
        <f ca="1"/>
        <v>#NAME?</v>
      </c>
      <c r="AA30" s="29" t="e">
        <f ca="1"/>
        <v>#NAME?</v>
      </c>
      <c r="AB30" s="41" t="e">
        <f ca="1"/>
        <v>#NAME?</v>
      </c>
    </row>
    <row r="31" spans="1:28">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c r="W31" s="40" t="str">
        <f t="shared" si="0"/>
        <v>P301</v>
      </c>
      <c r="X31" s="29" t="e" cm="1">
        <f t="array" aca="1" ref="X31:AB31" ca="1">_xlfn.XLOOKUP(C31,C:C, _xlfn.HSTACK(L:L,K:K,S:S,Product_master!E:E,Product_master!F:F ))</f>
        <v>#NAME?</v>
      </c>
      <c r="Y31" s="29" t="e">
        <f ca="1"/>
        <v>#NAME?</v>
      </c>
      <c r="Z31" s="29" t="e">
        <f ca="1"/>
        <v>#NAME?</v>
      </c>
      <c r="AA31" s="29" t="e">
        <f ca="1"/>
        <v>#NAME?</v>
      </c>
      <c r="AB31" s="41" t="e">
        <f ca="1"/>
        <v>#NAME?</v>
      </c>
    </row>
    <row r="32" spans="1:28">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c r="W32" s="40" t="str">
        <f t="shared" si="0"/>
        <v>P303</v>
      </c>
      <c r="X32" s="29" t="e" cm="1">
        <f t="array" aca="1" ref="X32:AB32" ca="1">_xlfn.XLOOKUP(C32,C:C, _xlfn.HSTACK(L:L,K:K,S:S,Product_master!E:E,Product_master!F:F ))</f>
        <v>#NAME?</v>
      </c>
      <c r="Y32" s="29" t="e">
        <f ca="1"/>
        <v>#NAME?</v>
      </c>
      <c r="Z32" s="29" t="e">
        <f ca="1"/>
        <v>#NAME?</v>
      </c>
      <c r="AA32" s="29" t="e">
        <f ca="1"/>
        <v>#NAME?</v>
      </c>
      <c r="AB32" s="41" t="e">
        <f ca="1"/>
        <v>#NAME?</v>
      </c>
    </row>
    <row r="33" spans="1:28">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c r="W33" s="40" t="str">
        <f t="shared" si="0"/>
        <v>P104</v>
      </c>
      <c r="X33" s="29" t="e" cm="1">
        <f t="array" aca="1" ref="X33:AB33" ca="1">_xlfn.XLOOKUP(C33,C:C, _xlfn.HSTACK(L:L,K:K,S:S,Product_master!E:E,Product_master!F:F ))</f>
        <v>#NAME?</v>
      </c>
      <c r="Y33" s="29" t="e">
        <f ca="1"/>
        <v>#NAME?</v>
      </c>
      <c r="Z33" s="29" t="e">
        <f ca="1"/>
        <v>#NAME?</v>
      </c>
      <c r="AA33" s="29" t="e">
        <f ca="1"/>
        <v>#NAME?</v>
      </c>
      <c r="AB33" s="41" t="e">
        <f ca="1"/>
        <v>#NAME?</v>
      </c>
    </row>
    <row r="34" spans="1:28">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c r="W34" s="40" t="str">
        <f t="shared" si="0"/>
        <v>P202</v>
      </c>
      <c r="X34" s="29" t="e" cm="1">
        <f t="array" aca="1" ref="X34:AB34" ca="1">_xlfn.XLOOKUP(C34,C:C, _xlfn.HSTACK(L:L,K:K,S:S,Product_master!E:E,Product_master!F:F ))</f>
        <v>#NAME?</v>
      </c>
      <c r="Y34" s="29" t="e">
        <f ca="1"/>
        <v>#NAME?</v>
      </c>
      <c r="Z34" s="29" t="e">
        <f ca="1"/>
        <v>#NAME?</v>
      </c>
      <c r="AA34" s="29" t="e">
        <f ca="1"/>
        <v>#NAME?</v>
      </c>
      <c r="AB34" s="41" t="e">
        <f ca="1"/>
        <v>#NAME?</v>
      </c>
    </row>
    <row r="35" spans="1:28">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c r="W35" s="40" t="str">
        <f t="shared" si="0"/>
        <v>P302</v>
      </c>
      <c r="X35" s="29" t="e" cm="1">
        <f t="array" aca="1" ref="X35:AB35" ca="1">_xlfn.XLOOKUP(C35,C:C, _xlfn.HSTACK(L:L,K:K,S:S,Product_master!E:E,Product_master!F:F ))</f>
        <v>#NAME?</v>
      </c>
      <c r="Y35" s="29" t="e">
        <f ca="1"/>
        <v>#NAME?</v>
      </c>
      <c r="Z35" s="29" t="e">
        <f ca="1"/>
        <v>#NAME?</v>
      </c>
      <c r="AA35" s="29" t="e">
        <f ca="1"/>
        <v>#NAME?</v>
      </c>
      <c r="AB35" s="41" t="e">
        <f ca="1"/>
        <v>#NAME?</v>
      </c>
    </row>
    <row r="36" spans="1:28">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c r="W36" s="40" t="str">
        <f t="shared" si="0"/>
        <v>P303</v>
      </c>
      <c r="X36" s="29" t="e" cm="1">
        <f t="array" aca="1" ref="X36:AB36" ca="1">_xlfn.XLOOKUP(C36,C:C, _xlfn.HSTACK(L:L,K:K,S:S,Product_master!E:E,Product_master!F:F ))</f>
        <v>#NAME?</v>
      </c>
      <c r="Y36" s="29" t="e">
        <f ca="1"/>
        <v>#NAME?</v>
      </c>
      <c r="Z36" s="29" t="e">
        <f ca="1"/>
        <v>#NAME?</v>
      </c>
      <c r="AA36" s="29" t="e">
        <f ca="1"/>
        <v>#NAME?</v>
      </c>
      <c r="AB36" s="41" t="e">
        <f ca="1"/>
        <v>#NAME?</v>
      </c>
    </row>
    <row r="37" spans="1:28">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c r="W37" s="40" t="str">
        <f t="shared" si="0"/>
        <v>P103</v>
      </c>
      <c r="X37" s="29" t="e" cm="1">
        <f t="array" aca="1" ref="X37:AB37" ca="1">_xlfn.XLOOKUP(C37,C:C, _xlfn.HSTACK(L:L,K:K,S:S,Product_master!E:E,Product_master!F:F ))</f>
        <v>#NAME?</v>
      </c>
      <c r="Y37" s="29" t="e">
        <f ca="1"/>
        <v>#NAME?</v>
      </c>
      <c r="Z37" s="29" t="e">
        <f ca="1"/>
        <v>#NAME?</v>
      </c>
      <c r="AA37" s="29" t="e">
        <f ca="1"/>
        <v>#NAME?</v>
      </c>
      <c r="AB37" s="41" t="e">
        <f ca="1"/>
        <v>#NAME?</v>
      </c>
    </row>
    <row r="38" spans="1:28">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c r="W38" s="40" t="str">
        <f t="shared" si="0"/>
        <v>P101</v>
      </c>
      <c r="X38" s="29" t="e" cm="1">
        <f t="array" aca="1" ref="X38:AB38" ca="1">_xlfn.XLOOKUP(C38,C:C, _xlfn.HSTACK(L:L,K:K,S:S,Product_master!E:E,Product_master!F:F ))</f>
        <v>#NAME?</v>
      </c>
      <c r="Y38" s="29" t="e">
        <f ca="1"/>
        <v>#NAME?</v>
      </c>
      <c r="Z38" s="29" t="e">
        <f ca="1"/>
        <v>#NAME?</v>
      </c>
      <c r="AA38" s="29" t="e">
        <f ca="1"/>
        <v>#NAME?</v>
      </c>
      <c r="AB38" s="41" t="e">
        <f ca="1"/>
        <v>#NAME?</v>
      </c>
    </row>
    <row r="39" spans="1:28">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c r="W39" s="40" t="str">
        <f t="shared" si="0"/>
        <v>P201</v>
      </c>
      <c r="X39" s="29" t="e" cm="1">
        <f t="array" aca="1" ref="X39:AB39" ca="1">_xlfn.XLOOKUP(C39,C:C, _xlfn.HSTACK(L:L,K:K,S:S,Product_master!E:E,Product_master!F:F ))</f>
        <v>#NAME?</v>
      </c>
      <c r="Y39" s="29" t="e">
        <f ca="1"/>
        <v>#NAME?</v>
      </c>
      <c r="Z39" s="29" t="e">
        <f ca="1"/>
        <v>#NAME?</v>
      </c>
      <c r="AA39" s="29" t="e">
        <f ca="1"/>
        <v>#NAME?</v>
      </c>
      <c r="AB39" s="41" t="e">
        <f ca="1"/>
        <v>#NAME?</v>
      </c>
    </row>
    <row r="40" spans="1:28">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c r="W40" s="40" t="str">
        <f t="shared" si="0"/>
        <v>P302</v>
      </c>
      <c r="X40" s="29" t="e" cm="1">
        <f t="array" aca="1" ref="X40:AB40" ca="1">_xlfn.XLOOKUP(C40,C:C, _xlfn.HSTACK(L:L,K:K,S:S,Product_master!E:E,Product_master!F:F ))</f>
        <v>#NAME?</v>
      </c>
      <c r="Y40" s="29" t="e">
        <f ca="1"/>
        <v>#NAME?</v>
      </c>
      <c r="Z40" s="29" t="e">
        <f ca="1"/>
        <v>#NAME?</v>
      </c>
      <c r="AA40" s="29" t="e">
        <f ca="1"/>
        <v>#NAME?</v>
      </c>
      <c r="AB40" s="41" t="e">
        <f ca="1"/>
        <v>#NAME?</v>
      </c>
    </row>
    <row r="41" spans="1:28">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c r="W41" s="40" t="str">
        <f t="shared" si="0"/>
        <v>P203</v>
      </c>
      <c r="X41" s="29" t="e" cm="1">
        <f t="array" aca="1" ref="X41:AB41" ca="1">_xlfn.XLOOKUP(C41,C:C, _xlfn.HSTACK(L:L,K:K,S:S,Product_master!E:E,Product_master!F:F ))</f>
        <v>#NAME?</v>
      </c>
      <c r="Y41" s="29" t="e">
        <f ca="1"/>
        <v>#NAME?</v>
      </c>
      <c r="Z41" s="29" t="e">
        <f ca="1"/>
        <v>#NAME?</v>
      </c>
      <c r="AA41" s="29" t="e">
        <f ca="1"/>
        <v>#NAME?</v>
      </c>
      <c r="AB41" s="41" t="e">
        <f ca="1"/>
        <v>#NAME?</v>
      </c>
    </row>
    <row r="42" spans="1:28">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c r="W42" s="40" t="str">
        <f t="shared" si="0"/>
        <v>P301</v>
      </c>
      <c r="X42" s="29" t="e" cm="1">
        <f t="array" aca="1" ref="X42:AB42" ca="1">_xlfn.XLOOKUP(C42,C:C, _xlfn.HSTACK(L:L,K:K,S:S,Product_master!E:E,Product_master!F:F ))</f>
        <v>#NAME?</v>
      </c>
      <c r="Y42" s="29" t="e">
        <f ca="1"/>
        <v>#NAME?</v>
      </c>
      <c r="Z42" s="29" t="e">
        <f ca="1"/>
        <v>#NAME?</v>
      </c>
      <c r="AA42" s="29" t="e">
        <f ca="1"/>
        <v>#NAME?</v>
      </c>
      <c r="AB42" s="41" t="e">
        <f ca="1"/>
        <v>#NAME?</v>
      </c>
    </row>
    <row r="43" spans="1:28">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c r="W43" s="40" t="str">
        <f t="shared" si="0"/>
        <v>P201</v>
      </c>
      <c r="X43" s="29" t="e" cm="1">
        <f t="array" aca="1" ref="X43:AB43" ca="1">_xlfn.XLOOKUP(C43,C:C, _xlfn.HSTACK(L:L,K:K,S:S,Product_master!E:E,Product_master!F:F ))</f>
        <v>#NAME?</v>
      </c>
      <c r="Y43" s="29" t="e">
        <f ca="1"/>
        <v>#NAME?</v>
      </c>
      <c r="Z43" s="29" t="e">
        <f ca="1"/>
        <v>#NAME?</v>
      </c>
      <c r="AA43" s="29" t="e">
        <f ca="1"/>
        <v>#NAME?</v>
      </c>
      <c r="AB43" s="41" t="e">
        <f ca="1"/>
        <v>#NAME?</v>
      </c>
    </row>
    <row r="44" spans="1:28">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c r="W44" s="40" t="str">
        <f t="shared" si="0"/>
        <v>P203</v>
      </c>
      <c r="X44" s="29" t="e" cm="1">
        <f t="array" aca="1" ref="X44:AB44" ca="1">_xlfn.XLOOKUP(C44,C:C, _xlfn.HSTACK(L:L,K:K,S:S,Product_master!E:E,Product_master!F:F ))</f>
        <v>#NAME?</v>
      </c>
      <c r="Y44" s="29" t="e">
        <f ca="1"/>
        <v>#NAME?</v>
      </c>
      <c r="Z44" s="29" t="e">
        <f ca="1"/>
        <v>#NAME?</v>
      </c>
      <c r="AA44" s="29" t="e">
        <f ca="1"/>
        <v>#NAME?</v>
      </c>
      <c r="AB44" s="41" t="e">
        <f ca="1"/>
        <v>#NAME?</v>
      </c>
    </row>
    <row r="45" spans="1:28">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c r="W45" s="40" t="str">
        <f t="shared" si="0"/>
        <v>P303</v>
      </c>
      <c r="X45" s="29" t="e" cm="1">
        <f t="array" aca="1" ref="X45:AB45" ca="1">_xlfn.XLOOKUP(C45,C:C, _xlfn.HSTACK(L:L,K:K,S:S,Product_master!E:E,Product_master!F:F ))</f>
        <v>#NAME?</v>
      </c>
      <c r="Y45" s="29" t="e">
        <f ca="1"/>
        <v>#NAME?</v>
      </c>
      <c r="Z45" s="29" t="e">
        <f ca="1"/>
        <v>#NAME?</v>
      </c>
      <c r="AA45" s="29" t="e">
        <f ca="1"/>
        <v>#NAME?</v>
      </c>
      <c r="AB45" s="41" t="e">
        <f ca="1"/>
        <v>#NAME?</v>
      </c>
    </row>
    <row r="46" spans="1:28">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c r="W46" s="40" t="str">
        <f t="shared" si="0"/>
        <v>P202</v>
      </c>
      <c r="X46" s="29" t="e" cm="1">
        <f t="array" aca="1" ref="X46:AB46" ca="1">_xlfn.XLOOKUP(C46,C:C, _xlfn.HSTACK(L:L,K:K,S:S,Product_master!E:E,Product_master!F:F ))</f>
        <v>#NAME?</v>
      </c>
      <c r="Y46" s="29" t="e">
        <f ca="1"/>
        <v>#NAME?</v>
      </c>
      <c r="Z46" s="29" t="e">
        <f ca="1"/>
        <v>#NAME?</v>
      </c>
      <c r="AA46" s="29" t="e">
        <f ca="1"/>
        <v>#NAME?</v>
      </c>
      <c r="AB46" s="41" t="e">
        <f ca="1"/>
        <v>#NAME?</v>
      </c>
    </row>
    <row r="47" spans="1:28">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c r="W47" s="40" t="str">
        <f t="shared" si="0"/>
        <v>P201</v>
      </c>
      <c r="X47" s="29" t="e" cm="1">
        <f t="array" aca="1" ref="X47:AB47" ca="1">_xlfn.XLOOKUP(C47,C:C, _xlfn.HSTACK(L:L,K:K,S:S,Product_master!E:E,Product_master!F:F ))</f>
        <v>#NAME?</v>
      </c>
      <c r="Y47" s="29" t="e">
        <f ca="1"/>
        <v>#NAME?</v>
      </c>
      <c r="Z47" s="29" t="e">
        <f ca="1"/>
        <v>#NAME?</v>
      </c>
      <c r="AA47" s="29" t="e">
        <f ca="1"/>
        <v>#NAME?</v>
      </c>
      <c r="AB47" s="41" t="e">
        <f ca="1"/>
        <v>#NAME?</v>
      </c>
    </row>
    <row r="48" spans="1:28">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c r="W48" s="40" t="str">
        <f t="shared" si="0"/>
        <v>P102</v>
      </c>
      <c r="X48" s="29" t="e" cm="1">
        <f t="array" aca="1" ref="X48:AB48" ca="1">_xlfn.XLOOKUP(C48,C:C, _xlfn.HSTACK(L:L,K:K,S:S,Product_master!E:E,Product_master!F:F ))</f>
        <v>#NAME?</v>
      </c>
      <c r="Y48" s="29" t="e">
        <f ca="1"/>
        <v>#NAME?</v>
      </c>
      <c r="Z48" s="29" t="e">
        <f ca="1"/>
        <v>#NAME?</v>
      </c>
      <c r="AA48" s="29" t="e">
        <f ca="1"/>
        <v>#NAME?</v>
      </c>
      <c r="AB48" s="41" t="e">
        <f ca="1"/>
        <v>#NAME?</v>
      </c>
    </row>
    <row r="49" spans="1:28">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c r="W49" s="40" t="str">
        <f t="shared" si="0"/>
        <v>P102</v>
      </c>
      <c r="X49" s="29" t="e" cm="1">
        <f t="array" aca="1" ref="X49:AB49" ca="1">_xlfn.XLOOKUP(C49,C:C, _xlfn.HSTACK(L:L,K:K,S:S,Product_master!E:E,Product_master!F:F ))</f>
        <v>#NAME?</v>
      </c>
      <c r="Y49" s="29" t="e">
        <f ca="1"/>
        <v>#NAME?</v>
      </c>
      <c r="Z49" s="29" t="e">
        <f ca="1"/>
        <v>#NAME?</v>
      </c>
      <c r="AA49" s="29" t="e">
        <f ca="1"/>
        <v>#NAME?</v>
      </c>
      <c r="AB49" s="41" t="e">
        <f ca="1"/>
        <v>#NAME?</v>
      </c>
    </row>
    <row r="50" spans="1:28">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c r="W50" s="40" t="str">
        <f t="shared" si="0"/>
        <v>P104</v>
      </c>
      <c r="X50" s="29" t="e" cm="1">
        <f t="array" aca="1" ref="X50:AB50" ca="1">_xlfn.XLOOKUP(C50,C:C, _xlfn.HSTACK(L:L,K:K,S:S,Product_master!E:E,Product_master!F:F ))</f>
        <v>#NAME?</v>
      </c>
      <c r="Y50" s="29" t="e">
        <f ca="1"/>
        <v>#NAME?</v>
      </c>
      <c r="Z50" s="29" t="e">
        <f ca="1"/>
        <v>#NAME?</v>
      </c>
      <c r="AA50" s="29" t="e">
        <f ca="1"/>
        <v>#NAME?</v>
      </c>
      <c r="AB50" s="41" t="e">
        <f ca="1"/>
        <v>#NAME?</v>
      </c>
    </row>
    <row r="51" spans="1:28">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c r="W51" s="40" t="str">
        <f t="shared" si="0"/>
        <v>P103</v>
      </c>
      <c r="X51" s="29" t="e" cm="1">
        <f t="array" aca="1" ref="X51:AB51" ca="1">_xlfn.XLOOKUP(C51,C:C, _xlfn.HSTACK(L:L,K:K,S:S,Product_master!E:E,Product_master!F:F ))</f>
        <v>#NAME?</v>
      </c>
      <c r="Y51" s="29" t="e">
        <f ca="1"/>
        <v>#NAME?</v>
      </c>
      <c r="Z51" s="29" t="e">
        <f ca="1"/>
        <v>#NAME?</v>
      </c>
      <c r="AA51" s="29" t="e">
        <f ca="1"/>
        <v>#NAME?</v>
      </c>
      <c r="AB51" s="41" t="e">
        <f ca="1"/>
        <v>#NAME?</v>
      </c>
    </row>
    <row r="52" spans="1:28">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c r="W52" s="40" t="str">
        <f t="shared" si="0"/>
        <v>P202</v>
      </c>
      <c r="X52" s="29" t="e" cm="1">
        <f t="array" aca="1" ref="X52:AB52" ca="1">_xlfn.XLOOKUP(C52,C:C, _xlfn.HSTACK(L:L,K:K,S:S,Product_master!E:E,Product_master!F:F ))</f>
        <v>#NAME?</v>
      </c>
      <c r="Y52" s="29" t="e">
        <f ca="1"/>
        <v>#NAME?</v>
      </c>
      <c r="Z52" s="29" t="e">
        <f ca="1"/>
        <v>#NAME?</v>
      </c>
      <c r="AA52" s="29" t="e">
        <f ca="1"/>
        <v>#NAME?</v>
      </c>
      <c r="AB52" s="41" t="e">
        <f ca="1"/>
        <v>#NAME?</v>
      </c>
    </row>
    <row r="53" spans="1:28">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c r="W53" s="40" t="str">
        <f t="shared" si="0"/>
        <v>P301</v>
      </c>
      <c r="X53" s="29" t="e" cm="1">
        <f t="array" aca="1" ref="X53:AB53" ca="1">_xlfn.XLOOKUP(C53,C:C, _xlfn.HSTACK(L:L,K:K,S:S,Product_master!E:E,Product_master!F:F ))</f>
        <v>#NAME?</v>
      </c>
      <c r="Y53" s="29" t="e">
        <f ca="1"/>
        <v>#NAME?</v>
      </c>
      <c r="Z53" s="29" t="e">
        <f ca="1"/>
        <v>#NAME?</v>
      </c>
      <c r="AA53" s="29" t="e">
        <f ca="1"/>
        <v>#NAME?</v>
      </c>
      <c r="AB53" s="41" t="e">
        <f ca="1"/>
        <v>#NAME?</v>
      </c>
    </row>
    <row r="54" spans="1:28">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c r="W54" s="40" t="str">
        <f t="shared" si="0"/>
        <v>P101</v>
      </c>
      <c r="X54" s="29" t="e" cm="1">
        <f t="array" aca="1" ref="X54:AB54" ca="1">_xlfn.XLOOKUP(C54,C:C, _xlfn.HSTACK(L:L,K:K,S:S,Product_master!E:E,Product_master!F:F ))</f>
        <v>#NAME?</v>
      </c>
      <c r="Y54" s="29" t="e">
        <f ca="1"/>
        <v>#NAME?</v>
      </c>
      <c r="Z54" s="29" t="e">
        <f ca="1"/>
        <v>#NAME?</v>
      </c>
      <c r="AA54" s="29" t="e">
        <f ca="1"/>
        <v>#NAME?</v>
      </c>
      <c r="AB54" s="41" t="e">
        <f ca="1"/>
        <v>#NAME?</v>
      </c>
    </row>
    <row r="55" spans="1:28">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c r="W55" s="40" t="str">
        <f t="shared" si="0"/>
        <v>P102</v>
      </c>
      <c r="X55" s="29" t="e" cm="1">
        <f t="array" aca="1" ref="X55:AB55" ca="1">_xlfn.XLOOKUP(C55,C:C, _xlfn.HSTACK(L:L,K:K,S:S,Product_master!E:E,Product_master!F:F ))</f>
        <v>#NAME?</v>
      </c>
      <c r="Y55" s="29" t="e">
        <f ca="1"/>
        <v>#NAME?</v>
      </c>
      <c r="Z55" s="29" t="e">
        <f ca="1"/>
        <v>#NAME?</v>
      </c>
      <c r="AA55" s="29" t="e">
        <f ca="1"/>
        <v>#NAME?</v>
      </c>
      <c r="AB55" s="41" t="e">
        <f ca="1"/>
        <v>#NAME?</v>
      </c>
    </row>
    <row r="56" spans="1:28">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c r="W56" s="40" t="str">
        <f t="shared" si="0"/>
        <v>P301</v>
      </c>
      <c r="X56" s="29" t="e" cm="1">
        <f t="array" aca="1" ref="X56:AB56" ca="1">_xlfn.XLOOKUP(C56,C:C, _xlfn.HSTACK(L:L,K:K,S:S,Product_master!E:E,Product_master!F:F ))</f>
        <v>#NAME?</v>
      </c>
      <c r="Y56" s="29" t="e">
        <f ca="1"/>
        <v>#NAME?</v>
      </c>
      <c r="Z56" s="29" t="e">
        <f ca="1"/>
        <v>#NAME?</v>
      </c>
      <c r="AA56" s="29" t="e">
        <f ca="1"/>
        <v>#NAME?</v>
      </c>
      <c r="AB56" s="41" t="e">
        <f ca="1"/>
        <v>#NAME?</v>
      </c>
    </row>
    <row r="57" spans="1:28">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c r="W57" s="40" t="str">
        <f t="shared" si="0"/>
        <v>P301</v>
      </c>
      <c r="X57" s="29" t="e" cm="1">
        <f t="array" aca="1" ref="X57:AB57" ca="1">_xlfn.XLOOKUP(C57,C:C, _xlfn.HSTACK(L:L,K:K,S:S,Product_master!E:E,Product_master!F:F ))</f>
        <v>#NAME?</v>
      </c>
      <c r="Y57" s="29" t="e">
        <f ca="1"/>
        <v>#NAME?</v>
      </c>
      <c r="Z57" s="29" t="e">
        <f ca="1"/>
        <v>#NAME?</v>
      </c>
      <c r="AA57" s="29" t="e">
        <f ca="1"/>
        <v>#NAME?</v>
      </c>
      <c r="AB57" s="41" t="e">
        <f ca="1"/>
        <v>#NAME?</v>
      </c>
    </row>
    <row r="58" spans="1:28">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c r="W58" s="40" t="str">
        <f t="shared" si="0"/>
        <v>P102</v>
      </c>
      <c r="X58" s="29" t="e" cm="1">
        <f t="array" aca="1" ref="X58:AB58" ca="1">_xlfn.XLOOKUP(C58,C:C, _xlfn.HSTACK(L:L,K:K,S:S,Product_master!E:E,Product_master!F:F ))</f>
        <v>#NAME?</v>
      </c>
      <c r="Y58" s="29" t="e">
        <f ca="1"/>
        <v>#NAME?</v>
      </c>
      <c r="Z58" s="29" t="e">
        <f ca="1"/>
        <v>#NAME?</v>
      </c>
      <c r="AA58" s="29" t="e">
        <f ca="1"/>
        <v>#NAME?</v>
      </c>
      <c r="AB58" s="41" t="e">
        <f ca="1"/>
        <v>#NAME?</v>
      </c>
    </row>
    <row r="59" spans="1:28">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c r="W59" s="40" t="str">
        <f t="shared" si="0"/>
        <v>P303</v>
      </c>
      <c r="X59" s="29" t="e" cm="1">
        <f t="array" aca="1" ref="X59:AB59" ca="1">_xlfn.XLOOKUP(C59,C:C, _xlfn.HSTACK(L:L,K:K,S:S,Product_master!E:E,Product_master!F:F ))</f>
        <v>#NAME?</v>
      </c>
      <c r="Y59" s="29" t="e">
        <f ca="1"/>
        <v>#NAME?</v>
      </c>
      <c r="Z59" s="29" t="e">
        <f ca="1"/>
        <v>#NAME?</v>
      </c>
      <c r="AA59" s="29" t="e">
        <f ca="1"/>
        <v>#NAME?</v>
      </c>
      <c r="AB59" s="41" t="e">
        <f ca="1"/>
        <v>#NAME?</v>
      </c>
    </row>
    <row r="60" spans="1:28">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c r="W60" s="40" t="str">
        <f t="shared" si="0"/>
        <v>P302</v>
      </c>
      <c r="X60" s="29" t="e" cm="1">
        <f t="array" aca="1" ref="X60:AB60" ca="1">_xlfn.XLOOKUP(C60,C:C, _xlfn.HSTACK(L:L,K:K,S:S,Product_master!E:E,Product_master!F:F ))</f>
        <v>#NAME?</v>
      </c>
      <c r="Y60" s="29" t="e">
        <f ca="1"/>
        <v>#NAME?</v>
      </c>
      <c r="Z60" s="29" t="e">
        <f ca="1"/>
        <v>#NAME?</v>
      </c>
      <c r="AA60" s="29" t="e">
        <f ca="1"/>
        <v>#NAME?</v>
      </c>
      <c r="AB60" s="41" t="e">
        <f ca="1"/>
        <v>#NAME?</v>
      </c>
    </row>
    <row r="61" spans="1:28">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c r="W61" s="40" t="str">
        <f t="shared" si="0"/>
        <v>P102</v>
      </c>
      <c r="X61" s="29" t="e" cm="1">
        <f t="array" aca="1" ref="X61:AB61" ca="1">_xlfn.XLOOKUP(C61,C:C, _xlfn.HSTACK(L:L,K:K,S:S,Product_master!E:E,Product_master!F:F ))</f>
        <v>#NAME?</v>
      </c>
      <c r="Y61" s="29" t="e">
        <f ca="1"/>
        <v>#NAME?</v>
      </c>
      <c r="Z61" s="29" t="e">
        <f ca="1"/>
        <v>#NAME?</v>
      </c>
      <c r="AA61" s="29" t="e">
        <f ca="1"/>
        <v>#NAME?</v>
      </c>
      <c r="AB61" s="41" t="e">
        <f ca="1"/>
        <v>#NAME?</v>
      </c>
    </row>
    <row r="62" spans="1:28">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c r="W62" s="40" t="str">
        <f t="shared" si="0"/>
        <v>P302</v>
      </c>
      <c r="X62" s="29" t="e" cm="1">
        <f t="array" aca="1" ref="X62:AB62" ca="1">_xlfn.XLOOKUP(C62,C:C, _xlfn.HSTACK(L:L,K:K,S:S,Product_master!E:E,Product_master!F:F ))</f>
        <v>#NAME?</v>
      </c>
      <c r="Y62" s="29" t="e">
        <f ca="1"/>
        <v>#NAME?</v>
      </c>
      <c r="Z62" s="29" t="e">
        <f ca="1"/>
        <v>#NAME?</v>
      </c>
      <c r="AA62" s="29" t="e">
        <f ca="1"/>
        <v>#NAME?</v>
      </c>
      <c r="AB62" s="41" t="e">
        <f ca="1"/>
        <v>#NAME?</v>
      </c>
    </row>
    <row r="63" spans="1:28">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c r="W63" s="40" t="str">
        <f t="shared" si="0"/>
        <v>P302</v>
      </c>
      <c r="X63" s="29" t="e" cm="1">
        <f t="array" aca="1" ref="X63:AB63" ca="1">_xlfn.XLOOKUP(C63,C:C, _xlfn.HSTACK(L:L,K:K,S:S,Product_master!E:E,Product_master!F:F ))</f>
        <v>#NAME?</v>
      </c>
      <c r="Y63" s="29" t="e">
        <f ca="1"/>
        <v>#NAME?</v>
      </c>
      <c r="Z63" s="29" t="e">
        <f ca="1"/>
        <v>#NAME?</v>
      </c>
      <c r="AA63" s="29" t="e">
        <f ca="1"/>
        <v>#NAME?</v>
      </c>
      <c r="AB63" s="41" t="e">
        <f ca="1"/>
        <v>#NAME?</v>
      </c>
    </row>
    <row r="64" spans="1:28">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c r="W64" s="40" t="str">
        <f t="shared" si="0"/>
        <v>P303</v>
      </c>
      <c r="X64" s="29" t="e" cm="1">
        <f t="array" aca="1" ref="X64:AB64" ca="1">_xlfn.XLOOKUP(C64,C:C, _xlfn.HSTACK(L:L,K:K,S:S,Product_master!E:E,Product_master!F:F ))</f>
        <v>#NAME?</v>
      </c>
      <c r="Y64" s="29" t="e">
        <f ca="1"/>
        <v>#NAME?</v>
      </c>
      <c r="Z64" s="29" t="e">
        <f ca="1"/>
        <v>#NAME?</v>
      </c>
      <c r="AA64" s="29" t="e">
        <f ca="1"/>
        <v>#NAME?</v>
      </c>
      <c r="AB64" s="41" t="e">
        <f ca="1"/>
        <v>#NAME?</v>
      </c>
    </row>
    <row r="65" spans="1:28">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c r="W65" s="40" t="str">
        <f t="shared" si="0"/>
        <v>P102</v>
      </c>
      <c r="X65" s="29" t="e" cm="1">
        <f t="array" aca="1" ref="X65:AB65" ca="1">_xlfn.XLOOKUP(C65,C:C, _xlfn.HSTACK(L:L,K:K,S:S,Product_master!E:E,Product_master!F:F ))</f>
        <v>#NAME?</v>
      </c>
      <c r="Y65" s="29" t="e">
        <f ca="1"/>
        <v>#NAME?</v>
      </c>
      <c r="Z65" s="29" t="e">
        <f ca="1"/>
        <v>#NAME?</v>
      </c>
      <c r="AA65" s="29" t="e">
        <f ca="1"/>
        <v>#NAME?</v>
      </c>
      <c r="AB65" s="41" t="e">
        <f ca="1"/>
        <v>#NAME?</v>
      </c>
    </row>
    <row r="66" spans="1:28">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c r="W66" s="40" t="str">
        <f t="shared" si="0"/>
        <v>P303</v>
      </c>
      <c r="X66" s="29" t="e" cm="1">
        <f t="array" aca="1" ref="X66:AB66" ca="1">_xlfn.XLOOKUP(C66,C:C, _xlfn.HSTACK(L:L,K:K,S:S,Product_master!E:E,Product_master!F:F ))</f>
        <v>#NAME?</v>
      </c>
      <c r="Y66" s="29" t="e">
        <f ca="1"/>
        <v>#NAME?</v>
      </c>
      <c r="Z66" s="29" t="e">
        <f ca="1"/>
        <v>#NAME?</v>
      </c>
      <c r="AA66" s="29" t="e">
        <f ca="1"/>
        <v>#NAME?</v>
      </c>
      <c r="AB66" s="41" t="e">
        <f ca="1"/>
        <v>#NAME?</v>
      </c>
    </row>
    <row r="67" spans="1:28">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c r="W67" s="40" t="str">
        <f t="shared" ref="W67:W130" si="1">C67</f>
        <v>P202</v>
      </c>
      <c r="X67" s="29" t="e" cm="1">
        <f t="array" aca="1" ref="X67:AB67" ca="1">_xlfn.XLOOKUP(C67,C:C, _xlfn.HSTACK(L:L,K:K,S:S,Product_master!E:E,Product_master!F:F ))</f>
        <v>#NAME?</v>
      </c>
      <c r="Y67" s="29" t="e">
        <f ca="1"/>
        <v>#NAME?</v>
      </c>
      <c r="Z67" s="29" t="e">
        <f ca="1"/>
        <v>#NAME?</v>
      </c>
      <c r="AA67" s="29" t="e">
        <f ca="1"/>
        <v>#NAME?</v>
      </c>
      <c r="AB67" s="41" t="e">
        <f ca="1"/>
        <v>#NAME?</v>
      </c>
    </row>
    <row r="68" spans="1:28">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c r="W68" s="40" t="str">
        <f t="shared" si="1"/>
        <v>P303</v>
      </c>
      <c r="X68" s="29" t="e" cm="1">
        <f t="array" aca="1" ref="X68:AB68" ca="1">_xlfn.XLOOKUP(C68,C:C, _xlfn.HSTACK(L:L,K:K,S:S,Product_master!E:E,Product_master!F:F ))</f>
        <v>#NAME?</v>
      </c>
      <c r="Y68" s="29" t="e">
        <f ca="1"/>
        <v>#NAME?</v>
      </c>
      <c r="Z68" s="29" t="e">
        <f ca="1"/>
        <v>#NAME?</v>
      </c>
      <c r="AA68" s="29" t="e">
        <f ca="1"/>
        <v>#NAME?</v>
      </c>
      <c r="AB68" s="41" t="e">
        <f ca="1"/>
        <v>#NAME?</v>
      </c>
    </row>
    <row r="69" spans="1:28">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c r="W69" s="40" t="str">
        <f t="shared" si="1"/>
        <v>P201</v>
      </c>
      <c r="X69" s="29" t="e" cm="1">
        <f t="array" aca="1" ref="X69:AB69" ca="1">_xlfn.XLOOKUP(C69,C:C, _xlfn.HSTACK(L:L,K:K,S:S,Product_master!E:E,Product_master!F:F ))</f>
        <v>#NAME?</v>
      </c>
      <c r="Y69" s="29" t="e">
        <f ca="1"/>
        <v>#NAME?</v>
      </c>
      <c r="Z69" s="29" t="e">
        <f ca="1"/>
        <v>#NAME?</v>
      </c>
      <c r="AA69" s="29" t="e">
        <f ca="1"/>
        <v>#NAME?</v>
      </c>
      <c r="AB69" s="41" t="e">
        <f ca="1"/>
        <v>#NAME?</v>
      </c>
    </row>
    <row r="70" spans="1:28">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c r="W70" s="40" t="str">
        <f t="shared" si="1"/>
        <v>P203</v>
      </c>
      <c r="X70" s="29" t="e" cm="1">
        <f t="array" aca="1" ref="X70:AB70" ca="1">_xlfn.XLOOKUP(C70,C:C, _xlfn.HSTACK(L:L,K:K,S:S,Product_master!E:E,Product_master!F:F ))</f>
        <v>#NAME?</v>
      </c>
      <c r="Y70" s="29" t="e">
        <f ca="1"/>
        <v>#NAME?</v>
      </c>
      <c r="Z70" s="29" t="e">
        <f ca="1"/>
        <v>#NAME?</v>
      </c>
      <c r="AA70" s="29" t="e">
        <f ca="1"/>
        <v>#NAME?</v>
      </c>
      <c r="AB70" s="41" t="e">
        <f ca="1"/>
        <v>#NAME?</v>
      </c>
    </row>
    <row r="71" spans="1:28">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c r="W71" s="40" t="str">
        <f t="shared" si="1"/>
        <v>P101</v>
      </c>
      <c r="X71" s="29" t="e" cm="1">
        <f t="array" aca="1" ref="X71:AB71" ca="1">_xlfn.XLOOKUP(C71,C:C, _xlfn.HSTACK(L:L,K:K,S:S,Product_master!E:E,Product_master!F:F ))</f>
        <v>#NAME?</v>
      </c>
      <c r="Y71" s="29" t="e">
        <f ca="1"/>
        <v>#NAME?</v>
      </c>
      <c r="Z71" s="29" t="e">
        <f ca="1"/>
        <v>#NAME?</v>
      </c>
      <c r="AA71" s="29" t="e">
        <f ca="1"/>
        <v>#NAME?</v>
      </c>
      <c r="AB71" s="41" t="e">
        <f ca="1"/>
        <v>#NAME?</v>
      </c>
    </row>
    <row r="72" spans="1:28">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c r="W72" s="40" t="str">
        <f t="shared" si="1"/>
        <v>P104</v>
      </c>
      <c r="X72" s="29" t="e" cm="1">
        <f t="array" aca="1" ref="X72:AB72" ca="1">_xlfn.XLOOKUP(C72,C:C, _xlfn.HSTACK(L:L,K:K,S:S,Product_master!E:E,Product_master!F:F ))</f>
        <v>#NAME?</v>
      </c>
      <c r="Y72" s="29" t="e">
        <f ca="1"/>
        <v>#NAME?</v>
      </c>
      <c r="Z72" s="29" t="e">
        <f ca="1"/>
        <v>#NAME?</v>
      </c>
      <c r="AA72" s="29" t="e">
        <f ca="1"/>
        <v>#NAME?</v>
      </c>
      <c r="AB72" s="41" t="e">
        <f ca="1"/>
        <v>#NAME?</v>
      </c>
    </row>
    <row r="73" spans="1:28">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c r="W73" s="40" t="str">
        <f t="shared" si="1"/>
        <v>P303</v>
      </c>
      <c r="X73" s="29" t="e" cm="1">
        <f t="array" aca="1" ref="X73:AB73" ca="1">_xlfn.XLOOKUP(C73,C:C, _xlfn.HSTACK(L:L,K:K,S:S,Product_master!E:E,Product_master!F:F ))</f>
        <v>#NAME?</v>
      </c>
      <c r="Y73" s="29" t="e">
        <f ca="1"/>
        <v>#NAME?</v>
      </c>
      <c r="Z73" s="29" t="e">
        <f ca="1"/>
        <v>#NAME?</v>
      </c>
      <c r="AA73" s="29" t="e">
        <f ca="1"/>
        <v>#NAME?</v>
      </c>
      <c r="AB73" s="41" t="e">
        <f ca="1"/>
        <v>#NAME?</v>
      </c>
    </row>
    <row r="74" spans="1:28">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c r="W74" s="40" t="str">
        <f t="shared" si="1"/>
        <v>P103</v>
      </c>
      <c r="X74" s="29" t="e" cm="1">
        <f t="array" aca="1" ref="X74:AB74" ca="1">_xlfn.XLOOKUP(C74,C:C, _xlfn.HSTACK(L:L,K:K,S:S,Product_master!E:E,Product_master!F:F ))</f>
        <v>#NAME?</v>
      </c>
      <c r="Y74" s="29" t="e">
        <f ca="1"/>
        <v>#NAME?</v>
      </c>
      <c r="Z74" s="29" t="e">
        <f ca="1"/>
        <v>#NAME?</v>
      </c>
      <c r="AA74" s="29" t="e">
        <f ca="1"/>
        <v>#NAME?</v>
      </c>
      <c r="AB74" s="41" t="e">
        <f ca="1"/>
        <v>#NAME?</v>
      </c>
    </row>
    <row r="75" spans="1:28">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c r="W75" s="40" t="str">
        <f t="shared" si="1"/>
        <v>P202</v>
      </c>
      <c r="X75" s="29" t="e" cm="1">
        <f t="array" aca="1" ref="X75:AB75" ca="1">_xlfn.XLOOKUP(C75,C:C, _xlfn.HSTACK(L:L,K:K,S:S,Product_master!E:E,Product_master!F:F ))</f>
        <v>#NAME?</v>
      </c>
      <c r="Y75" s="29" t="e">
        <f ca="1"/>
        <v>#NAME?</v>
      </c>
      <c r="Z75" s="29" t="e">
        <f ca="1"/>
        <v>#NAME?</v>
      </c>
      <c r="AA75" s="29" t="e">
        <f ca="1"/>
        <v>#NAME?</v>
      </c>
      <c r="AB75" s="41" t="e">
        <f ca="1"/>
        <v>#NAME?</v>
      </c>
    </row>
    <row r="76" spans="1:28">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c r="W76" s="40" t="str">
        <f t="shared" si="1"/>
        <v>P103</v>
      </c>
      <c r="X76" s="29" t="e" cm="1">
        <f t="array" aca="1" ref="X76:AB76" ca="1">_xlfn.XLOOKUP(C76,C:C, _xlfn.HSTACK(L:L,K:K,S:S,Product_master!E:E,Product_master!F:F ))</f>
        <v>#NAME?</v>
      </c>
      <c r="Y76" s="29" t="e">
        <f ca="1"/>
        <v>#NAME?</v>
      </c>
      <c r="Z76" s="29" t="e">
        <f ca="1"/>
        <v>#NAME?</v>
      </c>
      <c r="AA76" s="29" t="e">
        <f ca="1"/>
        <v>#NAME?</v>
      </c>
      <c r="AB76" s="41" t="e">
        <f ca="1"/>
        <v>#NAME?</v>
      </c>
    </row>
    <row r="77" spans="1:28">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c r="W77" s="40" t="str">
        <f t="shared" si="1"/>
        <v>P201</v>
      </c>
      <c r="X77" s="29" t="e" cm="1">
        <f t="array" aca="1" ref="X77:AB77" ca="1">_xlfn.XLOOKUP(C77,C:C, _xlfn.HSTACK(L:L,K:K,S:S,Product_master!E:E,Product_master!F:F ))</f>
        <v>#NAME?</v>
      </c>
      <c r="Y77" s="29" t="e">
        <f ca="1"/>
        <v>#NAME?</v>
      </c>
      <c r="Z77" s="29" t="e">
        <f ca="1"/>
        <v>#NAME?</v>
      </c>
      <c r="AA77" s="29" t="e">
        <f ca="1"/>
        <v>#NAME?</v>
      </c>
      <c r="AB77" s="41" t="e">
        <f ca="1"/>
        <v>#NAME?</v>
      </c>
    </row>
    <row r="78" spans="1:28">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c r="W78" s="40" t="str">
        <f t="shared" si="1"/>
        <v>P102</v>
      </c>
      <c r="X78" s="29" t="e" cm="1">
        <f t="array" aca="1" ref="X78:AB78" ca="1">_xlfn.XLOOKUP(C78,C:C, _xlfn.HSTACK(L:L,K:K,S:S,Product_master!E:E,Product_master!F:F ))</f>
        <v>#NAME?</v>
      </c>
      <c r="Y78" s="29" t="e">
        <f ca="1"/>
        <v>#NAME?</v>
      </c>
      <c r="Z78" s="29" t="e">
        <f ca="1"/>
        <v>#NAME?</v>
      </c>
      <c r="AA78" s="29" t="e">
        <f ca="1"/>
        <v>#NAME?</v>
      </c>
      <c r="AB78" s="41" t="e">
        <f ca="1"/>
        <v>#NAME?</v>
      </c>
    </row>
    <row r="79" spans="1:28">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c r="W79" s="40" t="str">
        <f t="shared" si="1"/>
        <v>P102</v>
      </c>
      <c r="X79" s="29" t="e" cm="1">
        <f t="array" aca="1" ref="X79:AB79" ca="1">_xlfn.XLOOKUP(C79,C:C, _xlfn.HSTACK(L:L,K:K,S:S,Product_master!E:E,Product_master!F:F ))</f>
        <v>#NAME?</v>
      </c>
      <c r="Y79" s="29" t="e">
        <f ca="1"/>
        <v>#NAME?</v>
      </c>
      <c r="Z79" s="29" t="e">
        <f ca="1"/>
        <v>#NAME?</v>
      </c>
      <c r="AA79" s="29" t="e">
        <f ca="1"/>
        <v>#NAME?</v>
      </c>
      <c r="AB79" s="41" t="e">
        <f ca="1"/>
        <v>#NAME?</v>
      </c>
    </row>
    <row r="80" spans="1:28">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c r="W80" s="40" t="str">
        <f t="shared" si="1"/>
        <v>P103</v>
      </c>
      <c r="X80" s="29" t="e" cm="1">
        <f t="array" aca="1" ref="X80:AB80" ca="1">_xlfn.XLOOKUP(C80,C:C, _xlfn.HSTACK(L:L,K:K,S:S,Product_master!E:E,Product_master!F:F ))</f>
        <v>#NAME?</v>
      </c>
      <c r="Y80" s="29" t="e">
        <f ca="1"/>
        <v>#NAME?</v>
      </c>
      <c r="Z80" s="29" t="e">
        <f ca="1"/>
        <v>#NAME?</v>
      </c>
      <c r="AA80" s="29" t="e">
        <f ca="1"/>
        <v>#NAME?</v>
      </c>
      <c r="AB80" s="41" t="e">
        <f ca="1"/>
        <v>#NAME?</v>
      </c>
    </row>
    <row r="81" spans="1:28">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c r="W81" s="40" t="str">
        <f t="shared" si="1"/>
        <v>P301</v>
      </c>
      <c r="X81" s="29" t="e" cm="1">
        <f t="array" aca="1" ref="X81:AB81" ca="1">_xlfn.XLOOKUP(C81,C:C, _xlfn.HSTACK(L:L,K:K,S:S,Product_master!E:E,Product_master!F:F ))</f>
        <v>#NAME?</v>
      </c>
      <c r="Y81" s="29" t="e">
        <f ca="1"/>
        <v>#NAME?</v>
      </c>
      <c r="Z81" s="29" t="e">
        <f ca="1"/>
        <v>#NAME?</v>
      </c>
      <c r="AA81" s="29" t="e">
        <f ca="1"/>
        <v>#NAME?</v>
      </c>
      <c r="AB81" s="41" t="e">
        <f ca="1"/>
        <v>#NAME?</v>
      </c>
    </row>
    <row r="82" spans="1:28">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c r="W82" s="40" t="str">
        <f t="shared" si="1"/>
        <v>P303</v>
      </c>
      <c r="X82" s="29" t="e" cm="1">
        <f t="array" aca="1" ref="X82:AB82" ca="1">_xlfn.XLOOKUP(C82,C:C, _xlfn.HSTACK(L:L,K:K,S:S,Product_master!E:E,Product_master!F:F ))</f>
        <v>#NAME?</v>
      </c>
      <c r="Y82" s="29" t="e">
        <f ca="1"/>
        <v>#NAME?</v>
      </c>
      <c r="Z82" s="29" t="e">
        <f ca="1"/>
        <v>#NAME?</v>
      </c>
      <c r="AA82" s="29" t="e">
        <f ca="1"/>
        <v>#NAME?</v>
      </c>
      <c r="AB82" s="41" t="e">
        <f ca="1"/>
        <v>#NAME?</v>
      </c>
    </row>
    <row r="83" spans="1:28">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c r="W83" s="40" t="str">
        <f t="shared" si="1"/>
        <v>P201</v>
      </c>
      <c r="X83" s="29" t="e" cm="1">
        <f t="array" aca="1" ref="X83:AB83" ca="1">_xlfn.XLOOKUP(C83,C:C, _xlfn.HSTACK(L:L,K:K,S:S,Product_master!E:E,Product_master!F:F ))</f>
        <v>#NAME?</v>
      </c>
      <c r="Y83" s="29" t="e">
        <f ca="1"/>
        <v>#NAME?</v>
      </c>
      <c r="Z83" s="29" t="e">
        <f ca="1"/>
        <v>#NAME?</v>
      </c>
      <c r="AA83" s="29" t="e">
        <f ca="1"/>
        <v>#NAME?</v>
      </c>
      <c r="AB83" s="41" t="e">
        <f ca="1"/>
        <v>#NAME?</v>
      </c>
    </row>
    <row r="84" spans="1:28">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c r="W84" s="40" t="str">
        <f t="shared" si="1"/>
        <v>P301</v>
      </c>
      <c r="X84" s="29" t="e" cm="1">
        <f t="array" aca="1" ref="X84:AB84" ca="1">_xlfn.XLOOKUP(C84,C:C, _xlfn.HSTACK(L:L,K:K,S:S,Product_master!E:E,Product_master!F:F ))</f>
        <v>#NAME?</v>
      </c>
      <c r="Y84" s="29" t="e">
        <f ca="1"/>
        <v>#NAME?</v>
      </c>
      <c r="Z84" s="29" t="e">
        <f ca="1"/>
        <v>#NAME?</v>
      </c>
      <c r="AA84" s="29" t="e">
        <f ca="1"/>
        <v>#NAME?</v>
      </c>
      <c r="AB84" s="41" t="e">
        <f ca="1"/>
        <v>#NAME?</v>
      </c>
    </row>
    <row r="85" spans="1:28">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c r="W85" s="40" t="str">
        <f t="shared" si="1"/>
        <v>P103</v>
      </c>
      <c r="X85" s="29" t="e" cm="1">
        <f t="array" aca="1" ref="X85:AB85" ca="1">_xlfn.XLOOKUP(C85,C:C, _xlfn.HSTACK(L:L,K:K,S:S,Product_master!E:E,Product_master!F:F ))</f>
        <v>#NAME?</v>
      </c>
      <c r="Y85" s="29" t="e">
        <f ca="1"/>
        <v>#NAME?</v>
      </c>
      <c r="Z85" s="29" t="e">
        <f ca="1"/>
        <v>#NAME?</v>
      </c>
      <c r="AA85" s="29" t="e">
        <f ca="1"/>
        <v>#NAME?</v>
      </c>
      <c r="AB85" s="41" t="e">
        <f ca="1"/>
        <v>#NAME?</v>
      </c>
    </row>
    <row r="86" spans="1:28">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c r="W86" s="40" t="str">
        <f t="shared" si="1"/>
        <v>P104</v>
      </c>
      <c r="X86" s="29" t="e" cm="1">
        <f t="array" aca="1" ref="X86:AB86" ca="1">_xlfn.XLOOKUP(C86,C:C, _xlfn.HSTACK(L:L,K:K,S:S,Product_master!E:E,Product_master!F:F ))</f>
        <v>#NAME?</v>
      </c>
      <c r="Y86" s="29" t="e">
        <f ca="1"/>
        <v>#NAME?</v>
      </c>
      <c r="Z86" s="29" t="e">
        <f ca="1"/>
        <v>#NAME?</v>
      </c>
      <c r="AA86" s="29" t="e">
        <f ca="1"/>
        <v>#NAME?</v>
      </c>
      <c r="AB86" s="41" t="e">
        <f ca="1"/>
        <v>#NAME?</v>
      </c>
    </row>
    <row r="87" spans="1:28">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c r="W87" s="40" t="str">
        <f t="shared" si="1"/>
        <v>P302</v>
      </c>
      <c r="X87" s="29" t="e" cm="1">
        <f t="array" aca="1" ref="X87:AB87" ca="1">_xlfn.XLOOKUP(C87,C:C, _xlfn.HSTACK(L:L,K:K,S:S,Product_master!E:E,Product_master!F:F ))</f>
        <v>#NAME?</v>
      </c>
      <c r="Y87" s="29" t="e">
        <f ca="1"/>
        <v>#NAME?</v>
      </c>
      <c r="Z87" s="29" t="e">
        <f ca="1"/>
        <v>#NAME?</v>
      </c>
      <c r="AA87" s="29" t="e">
        <f ca="1"/>
        <v>#NAME?</v>
      </c>
      <c r="AB87" s="41" t="e">
        <f ca="1"/>
        <v>#NAME?</v>
      </c>
    </row>
    <row r="88" spans="1:28">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c r="W88" s="40" t="str">
        <f t="shared" si="1"/>
        <v>P201</v>
      </c>
      <c r="X88" s="29" t="e" cm="1">
        <f t="array" aca="1" ref="X88:AB88" ca="1">_xlfn.XLOOKUP(C88,C:C, _xlfn.HSTACK(L:L,K:K,S:S,Product_master!E:E,Product_master!F:F ))</f>
        <v>#NAME?</v>
      </c>
      <c r="Y88" s="29" t="e">
        <f ca="1"/>
        <v>#NAME?</v>
      </c>
      <c r="Z88" s="29" t="e">
        <f ca="1"/>
        <v>#NAME?</v>
      </c>
      <c r="AA88" s="29" t="e">
        <f ca="1"/>
        <v>#NAME?</v>
      </c>
      <c r="AB88" s="41" t="e">
        <f ca="1"/>
        <v>#NAME?</v>
      </c>
    </row>
    <row r="89" spans="1:28">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c r="W89" s="40" t="str">
        <f t="shared" si="1"/>
        <v>P203</v>
      </c>
      <c r="X89" s="29" t="e" cm="1">
        <f t="array" aca="1" ref="X89:AB89" ca="1">_xlfn.XLOOKUP(C89,C:C, _xlfn.HSTACK(L:L,K:K,S:S,Product_master!E:E,Product_master!F:F ))</f>
        <v>#NAME?</v>
      </c>
      <c r="Y89" s="29" t="e">
        <f ca="1"/>
        <v>#NAME?</v>
      </c>
      <c r="Z89" s="29" t="e">
        <f ca="1"/>
        <v>#NAME?</v>
      </c>
      <c r="AA89" s="29" t="e">
        <f ca="1"/>
        <v>#NAME?</v>
      </c>
      <c r="AB89" s="41" t="e">
        <f ca="1"/>
        <v>#NAME?</v>
      </c>
    </row>
    <row r="90" spans="1:28">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c r="W90" s="40" t="str">
        <f t="shared" si="1"/>
        <v>P104</v>
      </c>
      <c r="X90" s="29" t="e" cm="1">
        <f t="array" aca="1" ref="X90:AB90" ca="1">_xlfn.XLOOKUP(C90,C:C, _xlfn.HSTACK(L:L,K:K,S:S,Product_master!E:E,Product_master!F:F ))</f>
        <v>#NAME?</v>
      </c>
      <c r="Y90" s="29" t="e">
        <f ca="1"/>
        <v>#NAME?</v>
      </c>
      <c r="Z90" s="29" t="e">
        <f ca="1"/>
        <v>#NAME?</v>
      </c>
      <c r="AA90" s="29" t="e">
        <f ca="1"/>
        <v>#NAME?</v>
      </c>
      <c r="AB90" s="41" t="e">
        <f ca="1"/>
        <v>#NAME?</v>
      </c>
    </row>
    <row r="91" spans="1:28">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c r="W91" s="40" t="str">
        <f t="shared" si="1"/>
        <v>P203</v>
      </c>
      <c r="X91" s="29" t="e" cm="1">
        <f t="array" aca="1" ref="X91:AB91" ca="1">_xlfn.XLOOKUP(C91,C:C, _xlfn.HSTACK(L:L,K:K,S:S,Product_master!E:E,Product_master!F:F ))</f>
        <v>#NAME?</v>
      </c>
      <c r="Y91" s="29" t="e">
        <f ca="1"/>
        <v>#NAME?</v>
      </c>
      <c r="Z91" s="29" t="e">
        <f ca="1"/>
        <v>#NAME?</v>
      </c>
      <c r="AA91" s="29" t="e">
        <f ca="1"/>
        <v>#NAME?</v>
      </c>
      <c r="AB91" s="41" t="e">
        <f ca="1"/>
        <v>#NAME?</v>
      </c>
    </row>
    <row r="92" spans="1:28">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c r="W92" s="40" t="str">
        <f t="shared" si="1"/>
        <v>P103</v>
      </c>
      <c r="X92" s="29" t="e" cm="1">
        <f t="array" aca="1" ref="X92:AB92" ca="1">_xlfn.XLOOKUP(C92,C:C, _xlfn.HSTACK(L:L,K:K,S:S,Product_master!E:E,Product_master!F:F ))</f>
        <v>#NAME?</v>
      </c>
      <c r="Y92" s="29" t="e">
        <f ca="1"/>
        <v>#NAME?</v>
      </c>
      <c r="Z92" s="29" t="e">
        <f ca="1"/>
        <v>#NAME?</v>
      </c>
      <c r="AA92" s="29" t="e">
        <f ca="1"/>
        <v>#NAME?</v>
      </c>
      <c r="AB92" s="41" t="e">
        <f ca="1"/>
        <v>#NAME?</v>
      </c>
    </row>
    <row r="93" spans="1:28">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c r="W93" s="40" t="str">
        <f t="shared" si="1"/>
        <v>P302</v>
      </c>
      <c r="X93" s="29" t="e" cm="1">
        <f t="array" aca="1" ref="X93:AB93" ca="1">_xlfn.XLOOKUP(C93,C:C, _xlfn.HSTACK(L:L,K:K,S:S,Product_master!E:E,Product_master!F:F ))</f>
        <v>#NAME?</v>
      </c>
      <c r="Y93" s="29" t="e">
        <f ca="1"/>
        <v>#NAME?</v>
      </c>
      <c r="Z93" s="29" t="e">
        <f ca="1"/>
        <v>#NAME?</v>
      </c>
      <c r="AA93" s="29" t="e">
        <f ca="1"/>
        <v>#NAME?</v>
      </c>
      <c r="AB93" s="41" t="e">
        <f ca="1"/>
        <v>#NAME?</v>
      </c>
    </row>
    <row r="94" spans="1:28">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c r="W94" s="40" t="str">
        <f t="shared" si="1"/>
        <v>P302</v>
      </c>
      <c r="X94" s="29" t="e" cm="1">
        <f t="array" aca="1" ref="X94:AB94" ca="1">_xlfn.XLOOKUP(C94,C:C, _xlfn.HSTACK(L:L,K:K,S:S,Product_master!E:E,Product_master!F:F ))</f>
        <v>#NAME?</v>
      </c>
      <c r="Y94" s="29" t="e">
        <f ca="1"/>
        <v>#NAME?</v>
      </c>
      <c r="Z94" s="29" t="e">
        <f ca="1"/>
        <v>#NAME?</v>
      </c>
      <c r="AA94" s="29" t="e">
        <f ca="1"/>
        <v>#NAME?</v>
      </c>
      <c r="AB94" s="41" t="e">
        <f ca="1"/>
        <v>#NAME?</v>
      </c>
    </row>
    <row r="95" spans="1:28">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c r="W95" s="40" t="str">
        <f t="shared" si="1"/>
        <v>P202</v>
      </c>
      <c r="X95" s="29" t="e" cm="1">
        <f t="array" aca="1" ref="X95:AB95" ca="1">_xlfn.XLOOKUP(C95,C:C, _xlfn.HSTACK(L:L,K:K,S:S,Product_master!E:E,Product_master!F:F ))</f>
        <v>#NAME?</v>
      </c>
      <c r="Y95" s="29" t="e">
        <f ca="1"/>
        <v>#NAME?</v>
      </c>
      <c r="Z95" s="29" t="e">
        <f ca="1"/>
        <v>#NAME?</v>
      </c>
      <c r="AA95" s="29" t="e">
        <f ca="1"/>
        <v>#NAME?</v>
      </c>
      <c r="AB95" s="41" t="e">
        <f ca="1"/>
        <v>#NAME?</v>
      </c>
    </row>
    <row r="96" spans="1:28">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c r="W96" s="40" t="str">
        <f t="shared" si="1"/>
        <v>P201</v>
      </c>
      <c r="X96" s="29" t="e" cm="1">
        <f t="array" aca="1" ref="X96:AB96" ca="1">_xlfn.XLOOKUP(C96,C:C, _xlfn.HSTACK(L:L,K:K,S:S,Product_master!E:E,Product_master!F:F ))</f>
        <v>#NAME?</v>
      </c>
      <c r="Y96" s="29" t="e">
        <f ca="1"/>
        <v>#NAME?</v>
      </c>
      <c r="Z96" s="29" t="e">
        <f ca="1"/>
        <v>#NAME?</v>
      </c>
      <c r="AA96" s="29" t="e">
        <f ca="1"/>
        <v>#NAME?</v>
      </c>
      <c r="AB96" s="41" t="e">
        <f ca="1"/>
        <v>#NAME?</v>
      </c>
    </row>
    <row r="97" spans="1:28">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c r="W97" s="40" t="str">
        <f t="shared" si="1"/>
        <v>P203</v>
      </c>
      <c r="X97" s="29" t="e" cm="1">
        <f t="array" aca="1" ref="X97:AB97" ca="1">_xlfn.XLOOKUP(C97,C:C, _xlfn.HSTACK(L:L,K:K,S:S,Product_master!E:E,Product_master!F:F ))</f>
        <v>#NAME?</v>
      </c>
      <c r="Y97" s="29" t="e">
        <f ca="1"/>
        <v>#NAME?</v>
      </c>
      <c r="Z97" s="29" t="e">
        <f ca="1"/>
        <v>#NAME?</v>
      </c>
      <c r="AA97" s="29" t="e">
        <f ca="1"/>
        <v>#NAME?</v>
      </c>
      <c r="AB97" s="41" t="e">
        <f ca="1"/>
        <v>#NAME?</v>
      </c>
    </row>
    <row r="98" spans="1:28">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c r="W98" s="40" t="str">
        <f t="shared" si="1"/>
        <v>P104</v>
      </c>
      <c r="X98" s="29" t="e" cm="1">
        <f t="array" aca="1" ref="X98:AB98" ca="1">_xlfn.XLOOKUP(C98,C:C, _xlfn.HSTACK(L:L,K:K,S:S,Product_master!E:E,Product_master!F:F ))</f>
        <v>#NAME?</v>
      </c>
      <c r="Y98" s="29" t="e">
        <f ca="1"/>
        <v>#NAME?</v>
      </c>
      <c r="Z98" s="29" t="e">
        <f ca="1"/>
        <v>#NAME?</v>
      </c>
      <c r="AA98" s="29" t="e">
        <f ca="1"/>
        <v>#NAME?</v>
      </c>
      <c r="AB98" s="41" t="e">
        <f ca="1"/>
        <v>#NAME?</v>
      </c>
    </row>
    <row r="99" spans="1:28">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c r="W99" s="40" t="str">
        <f t="shared" si="1"/>
        <v>P302</v>
      </c>
      <c r="X99" s="29" t="e" cm="1">
        <f t="array" aca="1" ref="X99:AB99" ca="1">_xlfn.XLOOKUP(C99,C:C, _xlfn.HSTACK(L:L,K:K,S:S,Product_master!E:E,Product_master!F:F ))</f>
        <v>#NAME?</v>
      </c>
      <c r="Y99" s="29" t="e">
        <f ca="1"/>
        <v>#NAME?</v>
      </c>
      <c r="Z99" s="29" t="e">
        <f ca="1"/>
        <v>#NAME?</v>
      </c>
      <c r="AA99" s="29" t="e">
        <f ca="1"/>
        <v>#NAME?</v>
      </c>
      <c r="AB99" s="41" t="e">
        <f ca="1"/>
        <v>#NAME?</v>
      </c>
    </row>
    <row r="100" spans="1:28">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c r="W100" s="40" t="str">
        <f t="shared" si="1"/>
        <v>P102</v>
      </c>
      <c r="X100" s="29" t="e" cm="1">
        <f t="array" aca="1" ref="X100:AB100" ca="1">_xlfn.XLOOKUP(C100,C:C, _xlfn.HSTACK(L:L,K:K,S:S,Product_master!E:E,Product_master!F:F ))</f>
        <v>#NAME?</v>
      </c>
      <c r="Y100" s="29" t="e">
        <f ca="1"/>
        <v>#NAME?</v>
      </c>
      <c r="Z100" s="29" t="e">
        <f ca="1"/>
        <v>#NAME?</v>
      </c>
      <c r="AA100" s="29" t="e">
        <f ca="1"/>
        <v>#NAME?</v>
      </c>
      <c r="AB100" s="41" t="e">
        <f ca="1"/>
        <v>#NAME?</v>
      </c>
    </row>
    <row r="101" spans="1:28">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c r="W101" s="40" t="str">
        <f t="shared" si="1"/>
        <v>P303</v>
      </c>
      <c r="X101" s="29" t="e" cm="1">
        <f t="array" aca="1" ref="X101:AB101" ca="1">_xlfn.XLOOKUP(C101,C:C, _xlfn.HSTACK(L:L,K:K,S:S,Product_master!E:E,Product_master!F:F ))</f>
        <v>#NAME?</v>
      </c>
      <c r="Y101" s="29" t="e">
        <f ca="1"/>
        <v>#NAME?</v>
      </c>
      <c r="Z101" s="29" t="e">
        <f ca="1"/>
        <v>#NAME?</v>
      </c>
      <c r="AA101" s="29" t="e">
        <f ca="1"/>
        <v>#NAME?</v>
      </c>
      <c r="AB101" s="41" t="e">
        <f ca="1"/>
        <v>#NAME?</v>
      </c>
    </row>
    <row r="102" spans="1:28">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c r="W102" s="40" t="str">
        <f t="shared" si="1"/>
        <v>P301</v>
      </c>
      <c r="X102" s="29" t="e" cm="1">
        <f t="array" aca="1" ref="X102:AB102" ca="1">_xlfn.XLOOKUP(C102,C:C, _xlfn.HSTACK(L:L,K:K,S:S,Product_master!E:E,Product_master!F:F ))</f>
        <v>#NAME?</v>
      </c>
      <c r="Y102" s="29" t="e">
        <f ca="1"/>
        <v>#NAME?</v>
      </c>
      <c r="Z102" s="29" t="e">
        <f ca="1"/>
        <v>#NAME?</v>
      </c>
      <c r="AA102" s="29" t="e">
        <f ca="1"/>
        <v>#NAME?</v>
      </c>
      <c r="AB102" s="41" t="e">
        <f ca="1"/>
        <v>#NAME?</v>
      </c>
    </row>
    <row r="103" spans="1:28">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c r="W103" s="40" t="str">
        <f t="shared" si="1"/>
        <v>P102</v>
      </c>
      <c r="X103" s="29" t="e" cm="1">
        <f t="array" aca="1" ref="X103:AB103" ca="1">_xlfn.XLOOKUP(C103,C:C, _xlfn.HSTACK(L:L,K:K,S:S,Product_master!E:E,Product_master!F:F ))</f>
        <v>#NAME?</v>
      </c>
      <c r="Y103" s="29" t="e">
        <f ca="1"/>
        <v>#NAME?</v>
      </c>
      <c r="Z103" s="29" t="e">
        <f ca="1"/>
        <v>#NAME?</v>
      </c>
      <c r="AA103" s="29" t="e">
        <f ca="1"/>
        <v>#NAME?</v>
      </c>
      <c r="AB103" s="41" t="e">
        <f ca="1"/>
        <v>#NAME?</v>
      </c>
    </row>
    <row r="104" spans="1:28">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c r="W104" s="40" t="str">
        <f t="shared" si="1"/>
        <v>P201</v>
      </c>
      <c r="X104" s="29" t="e" cm="1">
        <f t="array" aca="1" ref="X104:AB104" ca="1">_xlfn.XLOOKUP(C104,C:C, _xlfn.HSTACK(L:L,K:K,S:S,Product_master!E:E,Product_master!F:F ))</f>
        <v>#NAME?</v>
      </c>
      <c r="Y104" s="29" t="e">
        <f ca="1"/>
        <v>#NAME?</v>
      </c>
      <c r="Z104" s="29" t="e">
        <f ca="1"/>
        <v>#NAME?</v>
      </c>
      <c r="AA104" s="29" t="e">
        <f ca="1"/>
        <v>#NAME?</v>
      </c>
      <c r="AB104" s="41" t="e">
        <f ca="1"/>
        <v>#NAME?</v>
      </c>
    </row>
    <row r="105" spans="1:28">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c r="W105" s="40" t="str">
        <f t="shared" si="1"/>
        <v>P303</v>
      </c>
      <c r="X105" s="29" t="e" cm="1">
        <f t="array" aca="1" ref="X105:AB105" ca="1">_xlfn.XLOOKUP(C105,C:C, _xlfn.HSTACK(L:L,K:K,S:S,Product_master!E:E,Product_master!F:F ))</f>
        <v>#NAME?</v>
      </c>
      <c r="Y105" s="29" t="e">
        <f ca="1"/>
        <v>#NAME?</v>
      </c>
      <c r="Z105" s="29" t="e">
        <f ca="1"/>
        <v>#NAME?</v>
      </c>
      <c r="AA105" s="29" t="e">
        <f ca="1"/>
        <v>#NAME?</v>
      </c>
      <c r="AB105" s="41" t="e">
        <f ca="1"/>
        <v>#NAME?</v>
      </c>
    </row>
    <row r="106" spans="1:28">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c r="W106" s="40" t="str">
        <f t="shared" si="1"/>
        <v>P302</v>
      </c>
      <c r="X106" s="29" t="e" cm="1">
        <f t="array" aca="1" ref="X106:AB106" ca="1">_xlfn.XLOOKUP(C106,C:C, _xlfn.HSTACK(L:L,K:K,S:S,Product_master!E:E,Product_master!F:F ))</f>
        <v>#NAME?</v>
      </c>
      <c r="Y106" s="29" t="e">
        <f ca="1"/>
        <v>#NAME?</v>
      </c>
      <c r="Z106" s="29" t="e">
        <f ca="1"/>
        <v>#NAME?</v>
      </c>
      <c r="AA106" s="29" t="e">
        <f ca="1"/>
        <v>#NAME?</v>
      </c>
      <c r="AB106" s="41" t="e">
        <f ca="1"/>
        <v>#NAME?</v>
      </c>
    </row>
    <row r="107" spans="1:28">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c r="W107" s="40" t="str">
        <f t="shared" si="1"/>
        <v>P103</v>
      </c>
      <c r="X107" s="29" t="e" cm="1">
        <f t="array" aca="1" ref="X107:AB107" ca="1">_xlfn.XLOOKUP(C107,C:C, _xlfn.HSTACK(L:L,K:K,S:S,Product_master!E:E,Product_master!F:F ))</f>
        <v>#NAME?</v>
      </c>
      <c r="Y107" s="29" t="e">
        <f ca="1"/>
        <v>#NAME?</v>
      </c>
      <c r="Z107" s="29" t="e">
        <f ca="1"/>
        <v>#NAME?</v>
      </c>
      <c r="AA107" s="29" t="e">
        <f ca="1"/>
        <v>#NAME?</v>
      </c>
      <c r="AB107" s="41" t="e">
        <f ca="1"/>
        <v>#NAME?</v>
      </c>
    </row>
    <row r="108" spans="1:28">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c r="W108" s="40" t="str">
        <f t="shared" si="1"/>
        <v>P201</v>
      </c>
      <c r="X108" s="29" t="e" cm="1">
        <f t="array" aca="1" ref="X108:AB108" ca="1">_xlfn.XLOOKUP(C108,C:C, _xlfn.HSTACK(L:L,K:K,S:S,Product_master!E:E,Product_master!F:F ))</f>
        <v>#NAME?</v>
      </c>
      <c r="Y108" s="29" t="e">
        <f ca="1"/>
        <v>#NAME?</v>
      </c>
      <c r="Z108" s="29" t="e">
        <f ca="1"/>
        <v>#NAME?</v>
      </c>
      <c r="AA108" s="29" t="e">
        <f ca="1"/>
        <v>#NAME?</v>
      </c>
      <c r="AB108" s="41" t="e">
        <f ca="1"/>
        <v>#NAME?</v>
      </c>
    </row>
    <row r="109" spans="1:28">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c r="W109" s="40" t="str">
        <f t="shared" si="1"/>
        <v>P103</v>
      </c>
      <c r="X109" s="29" t="e" cm="1">
        <f t="array" aca="1" ref="X109:AB109" ca="1">_xlfn.XLOOKUP(C109,C:C, _xlfn.HSTACK(L:L,K:K,S:S,Product_master!E:E,Product_master!F:F ))</f>
        <v>#NAME?</v>
      </c>
      <c r="Y109" s="29" t="e">
        <f ca="1"/>
        <v>#NAME?</v>
      </c>
      <c r="Z109" s="29" t="e">
        <f ca="1"/>
        <v>#NAME?</v>
      </c>
      <c r="AA109" s="29" t="e">
        <f ca="1"/>
        <v>#NAME?</v>
      </c>
      <c r="AB109" s="41" t="e">
        <f ca="1"/>
        <v>#NAME?</v>
      </c>
    </row>
    <row r="110" spans="1:28">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c r="W110" s="40" t="str">
        <f t="shared" si="1"/>
        <v>P103</v>
      </c>
      <c r="X110" s="29" t="e" cm="1">
        <f t="array" aca="1" ref="X110:AB110" ca="1">_xlfn.XLOOKUP(C110,C:C, _xlfn.HSTACK(L:L,K:K,S:S,Product_master!E:E,Product_master!F:F ))</f>
        <v>#NAME?</v>
      </c>
      <c r="Y110" s="29" t="e">
        <f ca="1"/>
        <v>#NAME?</v>
      </c>
      <c r="Z110" s="29" t="e">
        <f ca="1"/>
        <v>#NAME?</v>
      </c>
      <c r="AA110" s="29" t="e">
        <f ca="1"/>
        <v>#NAME?</v>
      </c>
      <c r="AB110" s="41" t="e">
        <f ca="1"/>
        <v>#NAME?</v>
      </c>
    </row>
    <row r="111" spans="1:28">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c r="W111" s="40" t="str">
        <f t="shared" si="1"/>
        <v>P203</v>
      </c>
      <c r="X111" s="29" t="e" cm="1">
        <f t="array" aca="1" ref="X111:AB111" ca="1">_xlfn.XLOOKUP(C111,C:C, _xlfn.HSTACK(L:L,K:K,S:S,Product_master!E:E,Product_master!F:F ))</f>
        <v>#NAME?</v>
      </c>
      <c r="Y111" s="29" t="e">
        <f ca="1"/>
        <v>#NAME?</v>
      </c>
      <c r="Z111" s="29" t="e">
        <f ca="1"/>
        <v>#NAME?</v>
      </c>
      <c r="AA111" s="29" t="e">
        <f ca="1"/>
        <v>#NAME?</v>
      </c>
      <c r="AB111" s="41" t="e">
        <f ca="1"/>
        <v>#NAME?</v>
      </c>
    </row>
    <row r="112" spans="1:28">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c r="W112" s="40" t="str">
        <f t="shared" si="1"/>
        <v>P103</v>
      </c>
      <c r="X112" s="29" t="e" cm="1">
        <f t="array" aca="1" ref="X112:AB112" ca="1">_xlfn.XLOOKUP(C112,C:C, _xlfn.HSTACK(L:L,K:K,S:S,Product_master!E:E,Product_master!F:F ))</f>
        <v>#NAME?</v>
      </c>
      <c r="Y112" s="29" t="e">
        <f ca="1"/>
        <v>#NAME?</v>
      </c>
      <c r="Z112" s="29" t="e">
        <f ca="1"/>
        <v>#NAME?</v>
      </c>
      <c r="AA112" s="29" t="e">
        <f ca="1"/>
        <v>#NAME?</v>
      </c>
      <c r="AB112" s="41" t="e">
        <f ca="1"/>
        <v>#NAME?</v>
      </c>
    </row>
    <row r="113" spans="1:28">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c r="W113" s="40" t="str">
        <f t="shared" si="1"/>
        <v>P203</v>
      </c>
      <c r="X113" s="29" t="e" cm="1">
        <f t="array" aca="1" ref="X113:AB113" ca="1">_xlfn.XLOOKUP(C113,C:C, _xlfn.HSTACK(L:L,K:K,S:S,Product_master!E:E,Product_master!F:F ))</f>
        <v>#NAME?</v>
      </c>
      <c r="Y113" s="29" t="e">
        <f ca="1"/>
        <v>#NAME?</v>
      </c>
      <c r="Z113" s="29" t="e">
        <f ca="1"/>
        <v>#NAME?</v>
      </c>
      <c r="AA113" s="29" t="e">
        <f ca="1"/>
        <v>#NAME?</v>
      </c>
      <c r="AB113" s="41" t="e">
        <f ca="1"/>
        <v>#NAME?</v>
      </c>
    </row>
    <row r="114" spans="1:28">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c r="W114" s="40" t="str">
        <f t="shared" si="1"/>
        <v>P303</v>
      </c>
      <c r="X114" s="29" t="e" cm="1">
        <f t="array" aca="1" ref="X114:AB114" ca="1">_xlfn.XLOOKUP(C114,C:C, _xlfn.HSTACK(L:L,K:K,S:S,Product_master!E:E,Product_master!F:F ))</f>
        <v>#NAME?</v>
      </c>
      <c r="Y114" s="29" t="e">
        <f ca="1"/>
        <v>#NAME?</v>
      </c>
      <c r="Z114" s="29" t="e">
        <f ca="1"/>
        <v>#NAME?</v>
      </c>
      <c r="AA114" s="29" t="e">
        <f ca="1"/>
        <v>#NAME?</v>
      </c>
      <c r="AB114" s="41" t="e">
        <f ca="1"/>
        <v>#NAME?</v>
      </c>
    </row>
    <row r="115" spans="1:28">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c r="W115" s="40" t="str">
        <f t="shared" si="1"/>
        <v>P301</v>
      </c>
      <c r="X115" s="29" t="e" cm="1">
        <f t="array" aca="1" ref="X115:AB115" ca="1">_xlfn.XLOOKUP(C115,C:C, _xlfn.HSTACK(L:L,K:K,S:S,Product_master!E:E,Product_master!F:F ))</f>
        <v>#NAME?</v>
      </c>
      <c r="Y115" s="29" t="e">
        <f ca="1"/>
        <v>#NAME?</v>
      </c>
      <c r="Z115" s="29" t="e">
        <f ca="1"/>
        <v>#NAME?</v>
      </c>
      <c r="AA115" s="29" t="e">
        <f ca="1"/>
        <v>#NAME?</v>
      </c>
      <c r="AB115" s="41" t="e">
        <f ca="1"/>
        <v>#NAME?</v>
      </c>
    </row>
    <row r="116" spans="1:28">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c r="W116" s="40" t="str">
        <f t="shared" si="1"/>
        <v>P102</v>
      </c>
      <c r="X116" s="29" t="e" cm="1">
        <f t="array" aca="1" ref="X116:AB116" ca="1">_xlfn.XLOOKUP(C116,C:C, _xlfn.HSTACK(L:L,K:K,S:S,Product_master!E:E,Product_master!F:F ))</f>
        <v>#NAME?</v>
      </c>
      <c r="Y116" s="29" t="e">
        <f ca="1"/>
        <v>#NAME?</v>
      </c>
      <c r="Z116" s="29" t="e">
        <f ca="1"/>
        <v>#NAME?</v>
      </c>
      <c r="AA116" s="29" t="e">
        <f ca="1"/>
        <v>#NAME?</v>
      </c>
      <c r="AB116" s="41" t="e">
        <f ca="1"/>
        <v>#NAME?</v>
      </c>
    </row>
    <row r="117" spans="1:28">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c r="W117" s="40" t="str">
        <f t="shared" si="1"/>
        <v>P302</v>
      </c>
      <c r="X117" s="29" t="e" cm="1">
        <f t="array" aca="1" ref="X117:AB117" ca="1">_xlfn.XLOOKUP(C117,C:C, _xlfn.HSTACK(L:L,K:K,S:S,Product_master!E:E,Product_master!F:F ))</f>
        <v>#NAME?</v>
      </c>
      <c r="Y117" s="29" t="e">
        <f ca="1"/>
        <v>#NAME?</v>
      </c>
      <c r="Z117" s="29" t="e">
        <f ca="1"/>
        <v>#NAME?</v>
      </c>
      <c r="AA117" s="29" t="e">
        <f ca="1"/>
        <v>#NAME?</v>
      </c>
      <c r="AB117" s="41" t="e">
        <f ca="1"/>
        <v>#NAME?</v>
      </c>
    </row>
    <row r="118" spans="1:28">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c r="W118" s="40" t="str">
        <f t="shared" si="1"/>
        <v>P102</v>
      </c>
      <c r="X118" s="29" t="e" cm="1">
        <f t="array" aca="1" ref="X118:AB118" ca="1">_xlfn.XLOOKUP(C118,C:C, _xlfn.HSTACK(L:L,K:K,S:S,Product_master!E:E,Product_master!F:F ))</f>
        <v>#NAME?</v>
      </c>
      <c r="Y118" s="29" t="e">
        <f ca="1"/>
        <v>#NAME?</v>
      </c>
      <c r="Z118" s="29" t="e">
        <f ca="1"/>
        <v>#NAME?</v>
      </c>
      <c r="AA118" s="29" t="e">
        <f ca="1"/>
        <v>#NAME?</v>
      </c>
      <c r="AB118" s="41" t="e">
        <f ca="1"/>
        <v>#NAME?</v>
      </c>
    </row>
    <row r="119" spans="1:28">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c r="W119" s="40" t="str">
        <f t="shared" si="1"/>
        <v>P303</v>
      </c>
      <c r="X119" s="29" t="e" cm="1">
        <f t="array" aca="1" ref="X119:AB119" ca="1">_xlfn.XLOOKUP(C119,C:C, _xlfn.HSTACK(L:L,K:K,S:S,Product_master!E:E,Product_master!F:F ))</f>
        <v>#NAME?</v>
      </c>
      <c r="Y119" s="29" t="e">
        <f ca="1"/>
        <v>#NAME?</v>
      </c>
      <c r="Z119" s="29" t="e">
        <f ca="1"/>
        <v>#NAME?</v>
      </c>
      <c r="AA119" s="29" t="e">
        <f ca="1"/>
        <v>#NAME?</v>
      </c>
      <c r="AB119" s="41" t="e">
        <f ca="1"/>
        <v>#NAME?</v>
      </c>
    </row>
    <row r="120" spans="1:28">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c r="W120" s="40" t="str">
        <f t="shared" si="1"/>
        <v>P103</v>
      </c>
      <c r="X120" s="29" t="e" cm="1">
        <f t="array" aca="1" ref="X120:AB120" ca="1">_xlfn.XLOOKUP(C120,C:C, _xlfn.HSTACK(L:L,K:K,S:S,Product_master!E:E,Product_master!F:F ))</f>
        <v>#NAME?</v>
      </c>
      <c r="Y120" s="29" t="e">
        <f ca="1"/>
        <v>#NAME?</v>
      </c>
      <c r="Z120" s="29" t="e">
        <f ca="1"/>
        <v>#NAME?</v>
      </c>
      <c r="AA120" s="29" t="e">
        <f ca="1"/>
        <v>#NAME?</v>
      </c>
      <c r="AB120" s="41" t="e">
        <f ca="1"/>
        <v>#NAME?</v>
      </c>
    </row>
    <row r="121" spans="1:28">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c r="W121" s="40" t="str">
        <f t="shared" si="1"/>
        <v>P104</v>
      </c>
      <c r="X121" s="29" t="e" cm="1">
        <f t="array" aca="1" ref="X121:AB121" ca="1">_xlfn.XLOOKUP(C121,C:C, _xlfn.HSTACK(L:L,K:K,S:S,Product_master!E:E,Product_master!F:F ))</f>
        <v>#NAME?</v>
      </c>
      <c r="Y121" s="29" t="e">
        <f ca="1"/>
        <v>#NAME?</v>
      </c>
      <c r="Z121" s="29" t="e">
        <f ca="1"/>
        <v>#NAME?</v>
      </c>
      <c r="AA121" s="29" t="e">
        <f ca="1"/>
        <v>#NAME?</v>
      </c>
      <c r="AB121" s="41" t="e">
        <f ca="1"/>
        <v>#NAME?</v>
      </c>
    </row>
    <row r="122" spans="1:28">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c r="W122" s="40" t="str">
        <f t="shared" si="1"/>
        <v>P203</v>
      </c>
      <c r="X122" s="29" t="e" cm="1">
        <f t="array" aca="1" ref="X122:AB122" ca="1">_xlfn.XLOOKUP(C122,C:C, _xlfn.HSTACK(L:L,K:K,S:S,Product_master!E:E,Product_master!F:F ))</f>
        <v>#NAME?</v>
      </c>
      <c r="Y122" s="29" t="e">
        <f ca="1"/>
        <v>#NAME?</v>
      </c>
      <c r="Z122" s="29" t="e">
        <f ca="1"/>
        <v>#NAME?</v>
      </c>
      <c r="AA122" s="29" t="e">
        <f ca="1"/>
        <v>#NAME?</v>
      </c>
      <c r="AB122" s="41" t="e">
        <f ca="1"/>
        <v>#NAME?</v>
      </c>
    </row>
    <row r="123" spans="1:28">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c r="W123" s="40" t="str">
        <f t="shared" si="1"/>
        <v>P303</v>
      </c>
      <c r="X123" s="29" t="e" cm="1">
        <f t="array" aca="1" ref="X123:AB123" ca="1">_xlfn.XLOOKUP(C123,C:C, _xlfn.HSTACK(L:L,K:K,S:S,Product_master!E:E,Product_master!F:F ))</f>
        <v>#NAME?</v>
      </c>
      <c r="Y123" s="29" t="e">
        <f ca="1"/>
        <v>#NAME?</v>
      </c>
      <c r="Z123" s="29" t="e">
        <f ca="1"/>
        <v>#NAME?</v>
      </c>
      <c r="AA123" s="29" t="e">
        <f ca="1"/>
        <v>#NAME?</v>
      </c>
      <c r="AB123" s="41" t="e">
        <f ca="1"/>
        <v>#NAME?</v>
      </c>
    </row>
    <row r="124" spans="1:28">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c r="W124" s="40" t="str">
        <f t="shared" si="1"/>
        <v>P102</v>
      </c>
      <c r="X124" s="29" t="e" cm="1">
        <f t="array" aca="1" ref="X124:AB124" ca="1">_xlfn.XLOOKUP(C124,C:C, _xlfn.HSTACK(L:L,K:K,S:S,Product_master!E:E,Product_master!F:F ))</f>
        <v>#NAME?</v>
      </c>
      <c r="Y124" s="29" t="e">
        <f ca="1"/>
        <v>#NAME?</v>
      </c>
      <c r="Z124" s="29" t="e">
        <f ca="1"/>
        <v>#NAME?</v>
      </c>
      <c r="AA124" s="29" t="e">
        <f ca="1"/>
        <v>#NAME?</v>
      </c>
      <c r="AB124" s="41" t="e">
        <f ca="1"/>
        <v>#NAME?</v>
      </c>
    </row>
    <row r="125" spans="1:28">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c r="W125" s="40" t="str">
        <f t="shared" si="1"/>
        <v>P103</v>
      </c>
      <c r="X125" s="29" t="e" cm="1">
        <f t="array" aca="1" ref="X125:AB125" ca="1">_xlfn.XLOOKUP(C125,C:C, _xlfn.HSTACK(L:L,K:K,S:S,Product_master!E:E,Product_master!F:F ))</f>
        <v>#NAME?</v>
      </c>
      <c r="Y125" s="29" t="e">
        <f ca="1"/>
        <v>#NAME?</v>
      </c>
      <c r="Z125" s="29" t="e">
        <f ca="1"/>
        <v>#NAME?</v>
      </c>
      <c r="AA125" s="29" t="e">
        <f ca="1"/>
        <v>#NAME?</v>
      </c>
      <c r="AB125" s="41" t="e">
        <f ca="1"/>
        <v>#NAME?</v>
      </c>
    </row>
    <row r="126" spans="1:28">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c r="W126" s="40" t="str">
        <f t="shared" si="1"/>
        <v>P303</v>
      </c>
      <c r="X126" s="29" t="e" cm="1">
        <f t="array" aca="1" ref="X126:AB126" ca="1">_xlfn.XLOOKUP(C126,C:C, _xlfn.HSTACK(L:L,K:K,S:S,Product_master!E:E,Product_master!F:F ))</f>
        <v>#NAME?</v>
      </c>
      <c r="Y126" s="29" t="e">
        <f ca="1"/>
        <v>#NAME?</v>
      </c>
      <c r="Z126" s="29" t="e">
        <f ca="1"/>
        <v>#NAME?</v>
      </c>
      <c r="AA126" s="29" t="e">
        <f ca="1"/>
        <v>#NAME?</v>
      </c>
      <c r="AB126" s="41" t="e">
        <f ca="1"/>
        <v>#NAME?</v>
      </c>
    </row>
    <row r="127" spans="1:28">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c r="W127" s="40" t="str">
        <f t="shared" si="1"/>
        <v>P103</v>
      </c>
      <c r="X127" s="29" t="e" cm="1">
        <f t="array" aca="1" ref="X127:AB127" ca="1">_xlfn.XLOOKUP(C127,C:C, _xlfn.HSTACK(L:L,K:K,S:S,Product_master!E:E,Product_master!F:F ))</f>
        <v>#NAME?</v>
      </c>
      <c r="Y127" s="29" t="e">
        <f ca="1"/>
        <v>#NAME?</v>
      </c>
      <c r="Z127" s="29" t="e">
        <f ca="1"/>
        <v>#NAME?</v>
      </c>
      <c r="AA127" s="29" t="e">
        <f ca="1"/>
        <v>#NAME?</v>
      </c>
      <c r="AB127" s="41" t="e">
        <f ca="1"/>
        <v>#NAME?</v>
      </c>
    </row>
    <row r="128" spans="1:28">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c r="W128" s="40" t="str">
        <f t="shared" si="1"/>
        <v>P101</v>
      </c>
      <c r="X128" s="29" t="e" cm="1">
        <f t="array" aca="1" ref="X128:AB128" ca="1">_xlfn.XLOOKUP(C128,C:C, _xlfn.HSTACK(L:L,K:K,S:S,Product_master!E:E,Product_master!F:F ))</f>
        <v>#NAME?</v>
      </c>
      <c r="Y128" s="29" t="e">
        <f ca="1"/>
        <v>#NAME?</v>
      </c>
      <c r="Z128" s="29" t="e">
        <f ca="1"/>
        <v>#NAME?</v>
      </c>
      <c r="AA128" s="29" t="e">
        <f ca="1"/>
        <v>#NAME?</v>
      </c>
      <c r="AB128" s="41" t="e">
        <f ca="1"/>
        <v>#NAME?</v>
      </c>
    </row>
    <row r="129" spans="1:28">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c r="W129" s="40" t="str">
        <f t="shared" si="1"/>
        <v>P201</v>
      </c>
      <c r="X129" s="29" t="e" cm="1">
        <f t="array" aca="1" ref="X129:AB129" ca="1">_xlfn.XLOOKUP(C129,C:C, _xlfn.HSTACK(L:L,K:K,S:S,Product_master!E:E,Product_master!F:F ))</f>
        <v>#NAME?</v>
      </c>
      <c r="Y129" s="29" t="e">
        <f ca="1"/>
        <v>#NAME?</v>
      </c>
      <c r="Z129" s="29" t="e">
        <f ca="1"/>
        <v>#NAME?</v>
      </c>
      <c r="AA129" s="29" t="e">
        <f ca="1"/>
        <v>#NAME?</v>
      </c>
      <c r="AB129" s="41" t="e">
        <f ca="1"/>
        <v>#NAME?</v>
      </c>
    </row>
    <row r="130" spans="1:28">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c r="W130" s="40" t="str">
        <f t="shared" si="1"/>
        <v>P202</v>
      </c>
      <c r="X130" s="29" t="e" cm="1">
        <f t="array" aca="1" ref="X130:AB130" ca="1">_xlfn.XLOOKUP(C130,C:C, _xlfn.HSTACK(L:L,K:K,S:S,Product_master!E:E,Product_master!F:F ))</f>
        <v>#NAME?</v>
      </c>
      <c r="Y130" s="29" t="e">
        <f ca="1"/>
        <v>#NAME?</v>
      </c>
      <c r="Z130" s="29" t="e">
        <f ca="1"/>
        <v>#NAME?</v>
      </c>
      <c r="AA130" s="29" t="e">
        <f ca="1"/>
        <v>#NAME?</v>
      </c>
      <c r="AB130" s="41" t="e">
        <f ca="1"/>
        <v>#NAME?</v>
      </c>
    </row>
    <row r="131" spans="1:28">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c r="W131" s="40" t="str">
        <f t="shared" ref="W131:W194" si="2">C131</f>
        <v>P201</v>
      </c>
      <c r="X131" s="29" t="e" cm="1">
        <f t="array" aca="1" ref="X131:AB131" ca="1">_xlfn.XLOOKUP(C131,C:C, _xlfn.HSTACK(L:L,K:K,S:S,Product_master!E:E,Product_master!F:F ))</f>
        <v>#NAME?</v>
      </c>
      <c r="Y131" s="29" t="e">
        <f ca="1"/>
        <v>#NAME?</v>
      </c>
      <c r="Z131" s="29" t="e">
        <f ca="1"/>
        <v>#NAME?</v>
      </c>
      <c r="AA131" s="29" t="e">
        <f ca="1"/>
        <v>#NAME?</v>
      </c>
      <c r="AB131" s="41" t="e">
        <f ca="1"/>
        <v>#NAME?</v>
      </c>
    </row>
    <row r="132" spans="1:28">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c r="W132" s="40" t="str">
        <f t="shared" si="2"/>
        <v>P103</v>
      </c>
      <c r="X132" s="29" t="e" cm="1">
        <f t="array" aca="1" ref="X132:AB132" ca="1">_xlfn.XLOOKUP(C132,C:C, _xlfn.HSTACK(L:L,K:K,S:S,Product_master!E:E,Product_master!F:F ))</f>
        <v>#NAME?</v>
      </c>
      <c r="Y132" s="29" t="e">
        <f ca="1"/>
        <v>#NAME?</v>
      </c>
      <c r="Z132" s="29" t="e">
        <f ca="1"/>
        <v>#NAME?</v>
      </c>
      <c r="AA132" s="29" t="e">
        <f ca="1"/>
        <v>#NAME?</v>
      </c>
      <c r="AB132" s="41" t="e">
        <f ca="1"/>
        <v>#NAME?</v>
      </c>
    </row>
    <row r="133" spans="1:28">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c r="W133" s="40" t="str">
        <f t="shared" si="2"/>
        <v>P302</v>
      </c>
      <c r="X133" s="29" t="e" cm="1">
        <f t="array" aca="1" ref="X133:AB133" ca="1">_xlfn.XLOOKUP(C133,C:C, _xlfn.HSTACK(L:L,K:K,S:S,Product_master!E:E,Product_master!F:F ))</f>
        <v>#NAME?</v>
      </c>
      <c r="Y133" s="29" t="e">
        <f ca="1"/>
        <v>#NAME?</v>
      </c>
      <c r="Z133" s="29" t="e">
        <f ca="1"/>
        <v>#NAME?</v>
      </c>
      <c r="AA133" s="29" t="e">
        <f ca="1"/>
        <v>#NAME?</v>
      </c>
      <c r="AB133" s="41" t="e">
        <f ca="1"/>
        <v>#NAME?</v>
      </c>
    </row>
    <row r="134" spans="1:28">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c r="W134" s="40" t="str">
        <f t="shared" si="2"/>
        <v>P104</v>
      </c>
      <c r="X134" s="29" t="e" cm="1">
        <f t="array" aca="1" ref="X134:AB134" ca="1">_xlfn.XLOOKUP(C134,C:C, _xlfn.HSTACK(L:L,K:K,S:S,Product_master!E:E,Product_master!F:F ))</f>
        <v>#NAME?</v>
      </c>
      <c r="Y134" s="29" t="e">
        <f ca="1"/>
        <v>#NAME?</v>
      </c>
      <c r="Z134" s="29" t="e">
        <f ca="1"/>
        <v>#NAME?</v>
      </c>
      <c r="AA134" s="29" t="e">
        <f ca="1"/>
        <v>#NAME?</v>
      </c>
      <c r="AB134" s="41" t="e">
        <f ca="1"/>
        <v>#NAME?</v>
      </c>
    </row>
    <row r="135" spans="1:28">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c r="W135" s="40" t="str">
        <f t="shared" si="2"/>
        <v>P202</v>
      </c>
      <c r="X135" s="29" t="e" cm="1">
        <f t="array" aca="1" ref="X135:AB135" ca="1">_xlfn.XLOOKUP(C135,C:C, _xlfn.HSTACK(L:L,K:K,S:S,Product_master!E:E,Product_master!F:F ))</f>
        <v>#NAME?</v>
      </c>
      <c r="Y135" s="29" t="e">
        <f ca="1"/>
        <v>#NAME?</v>
      </c>
      <c r="Z135" s="29" t="e">
        <f ca="1"/>
        <v>#NAME?</v>
      </c>
      <c r="AA135" s="29" t="e">
        <f ca="1"/>
        <v>#NAME?</v>
      </c>
      <c r="AB135" s="41" t="e">
        <f ca="1"/>
        <v>#NAME?</v>
      </c>
    </row>
    <row r="136" spans="1:28">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c r="W136" s="40" t="str">
        <f t="shared" si="2"/>
        <v>P201</v>
      </c>
      <c r="X136" s="29" t="e" cm="1">
        <f t="array" aca="1" ref="X136:AB136" ca="1">_xlfn.XLOOKUP(C136,C:C, _xlfn.HSTACK(L:L,K:K,S:S,Product_master!E:E,Product_master!F:F ))</f>
        <v>#NAME?</v>
      </c>
      <c r="Y136" s="29" t="e">
        <f ca="1"/>
        <v>#NAME?</v>
      </c>
      <c r="Z136" s="29" t="e">
        <f ca="1"/>
        <v>#NAME?</v>
      </c>
      <c r="AA136" s="29" t="e">
        <f ca="1"/>
        <v>#NAME?</v>
      </c>
      <c r="AB136" s="41" t="e">
        <f ca="1"/>
        <v>#NAME?</v>
      </c>
    </row>
    <row r="137" spans="1:28">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c r="W137" s="40" t="str">
        <f t="shared" si="2"/>
        <v>P203</v>
      </c>
      <c r="X137" s="29" t="e" cm="1">
        <f t="array" aca="1" ref="X137:AB137" ca="1">_xlfn.XLOOKUP(C137,C:C, _xlfn.HSTACK(L:L,K:K,S:S,Product_master!E:E,Product_master!F:F ))</f>
        <v>#NAME?</v>
      </c>
      <c r="Y137" s="29" t="e">
        <f ca="1"/>
        <v>#NAME?</v>
      </c>
      <c r="Z137" s="29" t="e">
        <f ca="1"/>
        <v>#NAME?</v>
      </c>
      <c r="AA137" s="29" t="e">
        <f ca="1"/>
        <v>#NAME?</v>
      </c>
      <c r="AB137" s="41" t="e">
        <f ca="1"/>
        <v>#NAME?</v>
      </c>
    </row>
    <row r="138" spans="1:28">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c r="W138" s="40" t="str">
        <f t="shared" si="2"/>
        <v>P201</v>
      </c>
      <c r="X138" s="29" t="e" cm="1">
        <f t="array" aca="1" ref="X138:AB138" ca="1">_xlfn.XLOOKUP(C138,C:C, _xlfn.HSTACK(L:L,K:K,S:S,Product_master!E:E,Product_master!F:F ))</f>
        <v>#NAME?</v>
      </c>
      <c r="Y138" s="29" t="e">
        <f ca="1"/>
        <v>#NAME?</v>
      </c>
      <c r="Z138" s="29" t="e">
        <f ca="1"/>
        <v>#NAME?</v>
      </c>
      <c r="AA138" s="29" t="e">
        <f ca="1"/>
        <v>#NAME?</v>
      </c>
      <c r="AB138" s="41" t="e">
        <f ca="1"/>
        <v>#NAME?</v>
      </c>
    </row>
    <row r="139" spans="1:28">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c r="W139" s="40" t="str">
        <f t="shared" si="2"/>
        <v>P303</v>
      </c>
      <c r="X139" s="29" t="e" cm="1">
        <f t="array" aca="1" ref="X139:AB139" ca="1">_xlfn.XLOOKUP(C139,C:C, _xlfn.HSTACK(L:L,K:K,S:S,Product_master!E:E,Product_master!F:F ))</f>
        <v>#NAME?</v>
      </c>
      <c r="Y139" s="29" t="e">
        <f ca="1"/>
        <v>#NAME?</v>
      </c>
      <c r="Z139" s="29" t="e">
        <f ca="1"/>
        <v>#NAME?</v>
      </c>
      <c r="AA139" s="29" t="e">
        <f ca="1"/>
        <v>#NAME?</v>
      </c>
      <c r="AB139" s="41" t="e">
        <f ca="1"/>
        <v>#NAME?</v>
      </c>
    </row>
    <row r="140" spans="1:28">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c r="W140" s="40" t="str">
        <f t="shared" si="2"/>
        <v>P303</v>
      </c>
      <c r="X140" s="29" t="e" cm="1">
        <f t="array" aca="1" ref="X140:AB140" ca="1">_xlfn.XLOOKUP(C140,C:C, _xlfn.HSTACK(L:L,K:K,S:S,Product_master!E:E,Product_master!F:F ))</f>
        <v>#NAME?</v>
      </c>
      <c r="Y140" s="29" t="e">
        <f ca="1"/>
        <v>#NAME?</v>
      </c>
      <c r="Z140" s="29" t="e">
        <f ca="1"/>
        <v>#NAME?</v>
      </c>
      <c r="AA140" s="29" t="e">
        <f ca="1"/>
        <v>#NAME?</v>
      </c>
      <c r="AB140" s="41" t="e">
        <f ca="1"/>
        <v>#NAME?</v>
      </c>
    </row>
    <row r="141" spans="1:28">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c r="W141" s="40" t="str">
        <f t="shared" si="2"/>
        <v>P101</v>
      </c>
      <c r="X141" s="29" t="e" cm="1">
        <f t="array" aca="1" ref="X141:AB141" ca="1">_xlfn.XLOOKUP(C141,C:C, _xlfn.HSTACK(L:L,K:K,S:S,Product_master!E:E,Product_master!F:F ))</f>
        <v>#NAME?</v>
      </c>
      <c r="Y141" s="29" t="e">
        <f ca="1"/>
        <v>#NAME?</v>
      </c>
      <c r="Z141" s="29" t="e">
        <f ca="1"/>
        <v>#NAME?</v>
      </c>
      <c r="AA141" s="29" t="e">
        <f ca="1"/>
        <v>#NAME?</v>
      </c>
      <c r="AB141" s="41" t="e">
        <f ca="1"/>
        <v>#NAME?</v>
      </c>
    </row>
    <row r="142" spans="1:28">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c r="W142" s="40" t="str">
        <f t="shared" si="2"/>
        <v>P201</v>
      </c>
      <c r="X142" s="29" t="e" cm="1">
        <f t="array" aca="1" ref="X142:AB142" ca="1">_xlfn.XLOOKUP(C142,C:C, _xlfn.HSTACK(L:L,K:K,S:S,Product_master!E:E,Product_master!F:F ))</f>
        <v>#NAME?</v>
      </c>
      <c r="Y142" s="29" t="e">
        <f ca="1"/>
        <v>#NAME?</v>
      </c>
      <c r="Z142" s="29" t="e">
        <f ca="1"/>
        <v>#NAME?</v>
      </c>
      <c r="AA142" s="29" t="e">
        <f ca="1"/>
        <v>#NAME?</v>
      </c>
      <c r="AB142" s="41" t="e">
        <f ca="1"/>
        <v>#NAME?</v>
      </c>
    </row>
    <row r="143" spans="1:28">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c r="W143" s="40" t="str">
        <f t="shared" si="2"/>
        <v>P202</v>
      </c>
      <c r="X143" s="29" t="e" cm="1">
        <f t="array" aca="1" ref="X143:AB143" ca="1">_xlfn.XLOOKUP(C143,C:C, _xlfn.HSTACK(L:L,K:K,S:S,Product_master!E:E,Product_master!F:F ))</f>
        <v>#NAME?</v>
      </c>
      <c r="Y143" s="29" t="e">
        <f ca="1"/>
        <v>#NAME?</v>
      </c>
      <c r="Z143" s="29" t="e">
        <f ca="1"/>
        <v>#NAME?</v>
      </c>
      <c r="AA143" s="29" t="e">
        <f ca="1"/>
        <v>#NAME?</v>
      </c>
      <c r="AB143" s="41" t="e">
        <f ca="1"/>
        <v>#NAME?</v>
      </c>
    </row>
    <row r="144" spans="1:28">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c r="W144" s="40" t="str">
        <f t="shared" si="2"/>
        <v>P103</v>
      </c>
      <c r="X144" s="29" t="e" cm="1">
        <f t="array" aca="1" ref="X144:AB144" ca="1">_xlfn.XLOOKUP(C144,C:C, _xlfn.HSTACK(L:L,K:K,S:S,Product_master!E:E,Product_master!F:F ))</f>
        <v>#NAME?</v>
      </c>
      <c r="Y144" s="29" t="e">
        <f ca="1"/>
        <v>#NAME?</v>
      </c>
      <c r="Z144" s="29" t="e">
        <f ca="1"/>
        <v>#NAME?</v>
      </c>
      <c r="AA144" s="29" t="e">
        <f ca="1"/>
        <v>#NAME?</v>
      </c>
      <c r="AB144" s="41" t="e">
        <f ca="1"/>
        <v>#NAME?</v>
      </c>
    </row>
    <row r="145" spans="1:28">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c r="W145" s="40" t="str">
        <f t="shared" si="2"/>
        <v>P301</v>
      </c>
      <c r="X145" s="29" t="e" cm="1">
        <f t="array" aca="1" ref="X145:AB145" ca="1">_xlfn.XLOOKUP(C145,C:C, _xlfn.HSTACK(L:L,K:K,S:S,Product_master!E:E,Product_master!F:F ))</f>
        <v>#NAME?</v>
      </c>
      <c r="Y145" s="29" t="e">
        <f ca="1"/>
        <v>#NAME?</v>
      </c>
      <c r="Z145" s="29" t="e">
        <f ca="1"/>
        <v>#NAME?</v>
      </c>
      <c r="AA145" s="29" t="e">
        <f ca="1"/>
        <v>#NAME?</v>
      </c>
      <c r="AB145" s="41" t="e">
        <f ca="1"/>
        <v>#NAME?</v>
      </c>
    </row>
    <row r="146" spans="1:28">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c r="W146" s="40" t="str">
        <f t="shared" si="2"/>
        <v>P202</v>
      </c>
      <c r="X146" s="29" t="e" cm="1">
        <f t="array" aca="1" ref="X146:AB146" ca="1">_xlfn.XLOOKUP(C146,C:C, _xlfn.HSTACK(L:L,K:K,S:S,Product_master!E:E,Product_master!F:F ))</f>
        <v>#NAME?</v>
      </c>
      <c r="Y146" s="29" t="e">
        <f ca="1"/>
        <v>#NAME?</v>
      </c>
      <c r="Z146" s="29" t="e">
        <f ca="1"/>
        <v>#NAME?</v>
      </c>
      <c r="AA146" s="29" t="e">
        <f ca="1"/>
        <v>#NAME?</v>
      </c>
      <c r="AB146" s="41" t="e">
        <f ca="1"/>
        <v>#NAME?</v>
      </c>
    </row>
    <row r="147" spans="1:28">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c r="W147" s="40" t="str">
        <f t="shared" si="2"/>
        <v>P301</v>
      </c>
      <c r="X147" s="29" t="e" cm="1">
        <f t="array" aca="1" ref="X147:AB147" ca="1">_xlfn.XLOOKUP(C147,C:C, _xlfn.HSTACK(L:L,K:K,S:S,Product_master!E:E,Product_master!F:F ))</f>
        <v>#NAME?</v>
      </c>
      <c r="Y147" s="29" t="e">
        <f ca="1"/>
        <v>#NAME?</v>
      </c>
      <c r="Z147" s="29" t="e">
        <f ca="1"/>
        <v>#NAME?</v>
      </c>
      <c r="AA147" s="29" t="e">
        <f ca="1"/>
        <v>#NAME?</v>
      </c>
      <c r="AB147" s="41" t="e">
        <f ca="1"/>
        <v>#NAME?</v>
      </c>
    </row>
    <row r="148" spans="1:28">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c r="W148" s="40" t="str">
        <f t="shared" si="2"/>
        <v>P101</v>
      </c>
      <c r="X148" s="29" t="e" cm="1">
        <f t="array" aca="1" ref="X148:AB148" ca="1">_xlfn.XLOOKUP(C148,C:C, _xlfn.HSTACK(L:L,K:K,S:S,Product_master!E:E,Product_master!F:F ))</f>
        <v>#NAME?</v>
      </c>
      <c r="Y148" s="29" t="e">
        <f ca="1"/>
        <v>#NAME?</v>
      </c>
      <c r="Z148" s="29" t="e">
        <f ca="1"/>
        <v>#NAME?</v>
      </c>
      <c r="AA148" s="29" t="e">
        <f ca="1"/>
        <v>#NAME?</v>
      </c>
      <c r="AB148" s="41" t="e">
        <f ca="1"/>
        <v>#NAME?</v>
      </c>
    </row>
    <row r="149" spans="1:28">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c r="W149" s="40" t="str">
        <f t="shared" si="2"/>
        <v>P203</v>
      </c>
      <c r="X149" s="29" t="e" cm="1">
        <f t="array" aca="1" ref="X149:AB149" ca="1">_xlfn.XLOOKUP(C149,C:C, _xlfn.HSTACK(L:L,K:K,S:S,Product_master!E:E,Product_master!F:F ))</f>
        <v>#NAME?</v>
      </c>
      <c r="Y149" s="29" t="e">
        <f ca="1"/>
        <v>#NAME?</v>
      </c>
      <c r="Z149" s="29" t="e">
        <f ca="1"/>
        <v>#NAME?</v>
      </c>
      <c r="AA149" s="29" t="e">
        <f ca="1"/>
        <v>#NAME?</v>
      </c>
      <c r="AB149" s="41" t="e">
        <f ca="1"/>
        <v>#NAME?</v>
      </c>
    </row>
    <row r="150" spans="1:28">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c r="W150" s="40" t="str">
        <f t="shared" si="2"/>
        <v>P102</v>
      </c>
      <c r="X150" s="29" t="e" cm="1">
        <f t="array" aca="1" ref="X150:AB150" ca="1">_xlfn.XLOOKUP(C150,C:C, _xlfn.HSTACK(L:L,K:K,S:S,Product_master!E:E,Product_master!F:F ))</f>
        <v>#NAME?</v>
      </c>
      <c r="Y150" s="29" t="e">
        <f ca="1"/>
        <v>#NAME?</v>
      </c>
      <c r="Z150" s="29" t="e">
        <f ca="1"/>
        <v>#NAME?</v>
      </c>
      <c r="AA150" s="29" t="e">
        <f ca="1"/>
        <v>#NAME?</v>
      </c>
      <c r="AB150" s="41" t="e">
        <f ca="1"/>
        <v>#NAME?</v>
      </c>
    </row>
    <row r="151" spans="1:28">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c r="W151" s="40" t="str">
        <f t="shared" si="2"/>
        <v>P102</v>
      </c>
      <c r="X151" s="29" t="e" cm="1">
        <f t="array" aca="1" ref="X151:AB151" ca="1">_xlfn.XLOOKUP(C151,C:C, _xlfn.HSTACK(L:L,K:K,S:S,Product_master!E:E,Product_master!F:F ))</f>
        <v>#NAME?</v>
      </c>
      <c r="Y151" s="29" t="e">
        <f ca="1"/>
        <v>#NAME?</v>
      </c>
      <c r="Z151" s="29" t="e">
        <f ca="1"/>
        <v>#NAME?</v>
      </c>
      <c r="AA151" s="29" t="e">
        <f ca="1"/>
        <v>#NAME?</v>
      </c>
      <c r="AB151" s="41" t="e">
        <f ca="1"/>
        <v>#NAME?</v>
      </c>
    </row>
    <row r="152" spans="1:28">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c r="W152" s="40" t="str">
        <f t="shared" si="2"/>
        <v>P201</v>
      </c>
      <c r="X152" s="29" t="e" cm="1">
        <f t="array" aca="1" ref="X152:AB152" ca="1">_xlfn.XLOOKUP(C152,C:C, _xlfn.HSTACK(L:L,K:K,S:S,Product_master!E:E,Product_master!F:F ))</f>
        <v>#NAME?</v>
      </c>
      <c r="Y152" s="29" t="e">
        <f ca="1"/>
        <v>#NAME?</v>
      </c>
      <c r="Z152" s="29" t="e">
        <f ca="1"/>
        <v>#NAME?</v>
      </c>
      <c r="AA152" s="29" t="e">
        <f ca="1"/>
        <v>#NAME?</v>
      </c>
      <c r="AB152" s="41" t="e">
        <f ca="1"/>
        <v>#NAME?</v>
      </c>
    </row>
    <row r="153" spans="1:28">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c r="W153" s="40" t="str">
        <f t="shared" si="2"/>
        <v>P302</v>
      </c>
      <c r="X153" s="29" t="e" cm="1">
        <f t="array" aca="1" ref="X153:AB153" ca="1">_xlfn.XLOOKUP(C153,C:C, _xlfn.HSTACK(L:L,K:K,S:S,Product_master!E:E,Product_master!F:F ))</f>
        <v>#NAME?</v>
      </c>
      <c r="Y153" s="29" t="e">
        <f ca="1"/>
        <v>#NAME?</v>
      </c>
      <c r="Z153" s="29" t="e">
        <f ca="1"/>
        <v>#NAME?</v>
      </c>
      <c r="AA153" s="29" t="e">
        <f ca="1"/>
        <v>#NAME?</v>
      </c>
      <c r="AB153" s="41" t="e">
        <f ca="1"/>
        <v>#NAME?</v>
      </c>
    </row>
    <row r="154" spans="1:28">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c r="W154" s="40" t="str">
        <f t="shared" si="2"/>
        <v>P202</v>
      </c>
      <c r="X154" s="29" t="e" cm="1">
        <f t="array" aca="1" ref="X154:AB154" ca="1">_xlfn.XLOOKUP(C154,C:C, _xlfn.HSTACK(L:L,K:K,S:S,Product_master!E:E,Product_master!F:F ))</f>
        <v>#NAME?</v>
      </c>
      <c r="Y154" s="29" t="e">
        <f ca="1"/>
        <v>#NAME?</v>
      </c>
      <c r="Z154" s="29" t="e">
        <f ca="1"/>
        <v>#NAME?</v>
      </c>
      <c r="AA154" s="29" t="e">
        <f ca="1"/>
        <v>#NAME?</v>
      </c>
      <c r="AB154" s="41" t="e">
        <f ca="1"/>
        <v>#NAME?</v>
      </c>
    </row>
    <row r="155" spans="1:28">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c r="W155" s="40" t="str">
        <f t="shared" si="2"/>
        <v>P104</v>
      </c>
      <c r="X155" s="29" t="e" cm="1">
        <f t="array" aca="1" ref="X155:AB155" ca="1">_xlfn.XLOOKUP(C155,C:C, _xlfn.HSTACK(L:L,K:K,S:S,Product_master!E:E,Product_master!F:F ))</f>
        <v>#NAME?</v>
      </c>
      <c r="Y155" s="29" t="e">
        <f ca="1"/>
        <v>#NAME?</v>
      </c>
      <c r="Z155" s="29" t="e">
        <f ca="1"/>
        <v>#NAME?</v>
      </c>
      <c r="AA155" s="29" t="e">
        <f ca="1"/>
        <v>#NAME?</v>
      </c>
      <c r="AB155" s="41" t="e">
        <f ca="1"/>
        <v>#NAME?</v>
      </c>
    </row>
    <row r="156" spans="1:28">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c r="W156" s="40" t="str">
        <f t="shared" si="2"/>
        <v>P301</v>
      </c>
      <c r="X156" s="29" t="e" cm="1">
        <f t="array" aca="1" ref="X156:AB156" ca="1">_xlfn.XLOOKUP(C156,C:C, _xlfn.HSTACK(L:L,K:K,S:S,Product_master!E:E,Product_master!F:F ))</f>
        <v>#NAME?</v>
      </c>
      <c r="Y156" s="29" t="e">
        <f ca="1"/>
        <v>#NAME?</v>
      </c>
      <c r="Z156" s="29" t="e">
        <f ca="1"/>
        <v>#NAME?</v>
      </c>
      <c r="AA156" s="29" t="e">
        <f ca="1"/>
        <v>#NAME?</v>
      </c>
      <c r="AB156" s="41" t="e">
        <f ca="1"/>
        <v>#NAME?</v>
      </c>
    </row>
    <row r="157" spans="1:28">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c r="W157" s="40" t="str">
        <f t="shared" si="2"/>
        <v>P103</v>
      </c>
      <c r="X157" s="29" t="e" cm="1">
        <f t="array" aca="1" ref="X157:AB157" ca="1">_xlfn.XLOOKUP(C157,C:C, _xlfn.HSTACK(L:L,K:K,S:S,Product_master!E:E,Product_master!F:F ))</f>
        <v>#NAME?</v>
      </c>
      <c r="Y157" s="29" t="e">
        <f ca="1"/>
        <v>#NAME?</v>
      </c>
      <c r="Z157" s="29" t="e">
        <f ca="1"/>
        <v>#NAME?</v>
      </c>
      <c r="AA157" s="29" t="e">
        <f ca="1"/>
        <v>#NAME?</v>
      </c>
      <c r="AB157" s="41" t="e">
        <f ca="1"/>
        <v>#NAME?</v>
      </c>
    </row>
    <row r="158" spans="1:28">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c r="W158" s="40" t="str">
        <f t="shared" si="2"/>
        <v>P103</v>
      </c>
      <c r="X158" s="29" t="e" cm="1">
        <f t="array" aca="1" ref="X158:AB158" ca="1">_xlfn.XLOOKUP(C158,C:C, _xlfn.HSTACK(L:L,K:K,S:S,Product_master!E:E,Product_master!F:F ))</f>
        <v>#NAME?</v>
      </c>
      <c r="Y158" s="29" t="e">
        <f ca="1"/>
        <v>#NAME?</v>
      </c>
      <c r="Z158" s="29" t="e">
        <f ca="1"/>
        <v>#NAME?</v>
      </c>
      <c r="AA158" s="29" t="e">
        <f ca="1"/>
        <v>#NAME?</v>
      </c>
      <c r="AB158" s="41" t="e">
        <f ca="1"/>
        <v>#NAME?</v>
      </c>
    </row>
    <row r="159" spans="1:28">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c r="W159" s="40" t="str">
        <f t="shared" si="2"/>
        <v>P301</v>
      </c>
      <c r="X159" s="29" t="e" cm="1">
        <f t="array" aca="1" ref="X159:AB159" ca="1">_xlfn.XLOOKUP(C159,C:C, _xlfn.HSTACK(L:L,K:K,S:S,Product_master!E:E,Product_master!F:F ))</f>
        <v>#NAME?</v>
      </c>
      <c r="Y159" s="29" t="e">
        <f ca="1"/>
        <v>#NAME?</v>
      </c>
      <c r="Z159" s="29" t="e">
        <f ca="1"/>
        <v>#NAME?</v>
      </c>
      <c r="AA159" s="29" t="e">
        <f ca="1"/>
        <v>#NAME?</v>
      </c>
      <c r="AB159" s="41" t="e">
        <f ca="1"/>
        <v>#NAME?</v>
      </c>
    </row>
    <row r="160" spans="1:28">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c r="W160" s="40" t="str">
        <f t="shared" si="2"/>
        <v>P201</v>
      </c>
      <c r="X160" s="29" t="e" cm="1">
        <f t="array" aca="1" ref="X160:AB160" ca="1">_xlfn.XLOOKUP(C160,C:C, _xlfn.HSTACK(L:L,K:K,S:S,Product_master!E:E,Product_master!F:F ))</f>
        <v>#NAME?</v>
      </c>
      <c r="Y160" s="29" t="e">
        <f ca="1"/>
        <v>#NAME?</v>
      </c>
      <c r="Z160" s="29" t="e">
        <f ca="1"/>
        <v>#NAME?</v>
      </c>
      <c r="AA160" s="29" t="e">
        <f ca="1"/>
        <v>#NAME?</v>
      </c>
      <c r="AB160" s="41" t="e">
        <f ca="1"/>
        <v>#NAME?</v>
      </c>
    </row>
    <row r="161" spans="1:28">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c r="W161" s="40" t="str">
        <f t="shared" si="2"/>
        <v>P101</v>
      </c>
      <c r="X161" s="29" t="e" cm="1">
        <f t="array" aca="1" ref="X161:AB161" ca="1">_xlfn.XLOOKUP(C161,C:C, _xlfn.HSTACK(L:L,K:K,S:S,Product_master!E:E,Product_master!F:F ))</f>
        <v>#NAME?</v>
      </c>
      <c r="Y161" s="29" t="e">
        <f ca="1"/>
        <v>#NAME?</v>
      </c>
      <c r="Z161" s="29" t="e">
        <f ca="1"/>
        <v>#NAME?</v>
      </c>
      <c r="AA161" s="29" t="e">
        <f ca="1"/>
        <v>#NAME?</v>
      </c>
      <c r="AB161" s="41" t="e">
        <f ca="1"/>
        <v>#NAME?</v>
      </c>
    </row>
    <row r="162" spans="1:28">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c r="W162" s="40" t="str">
        <f t="shared" si="2"/>
        <v>P102</v>
      </c>
      <c r="X162" s="29" t="e" cm="1">
        <f t="array" aca="1" ref="X162:AB162" ca="1">_xlfn.XLOOKUP(C162,C:C, _xlfn.HSTACK(L:L,K:K,S:S,Product_master!E:E,Product_master!F:F ))</f>
        <v>#NAME?</v>
      </c>
      <c r="Y162" s="29" t="e">
        <f ca="1"/>
        <v>#NAME?</v>
      </c>
      <c r="Z162" s="29" t="e">
        <f ca="1"/>
        <v>#NAME?</v>
      </c>
      <c r="AA162" s="29" t="e">
        <f ca="1"/>
        <v>#NAME?</v>
      </c>
      <c r="AB162" s="41" t="e">
        <f ca="1"/>
        <v>#NAME?</v>
      </c>
    </row>
    <row r="163" spans="1:28">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c r="W163" s="40" t="str">
        <f t="shared" si="2"/>
        <v>P103</v>
      </c>
      <c r="X163" s="29" t="e" cm="1">
        <f t="array" aca="1" ref="X163:AB163" ca="1">_xlfn.XLOOKUP(C163,C:C, _xlfn.HSTACK(L:L,K:K,S:S,Product_master!E:E,Product_master!F:F ))</f>
        <v>#NAME?</v>
      </c>
      <c r="Y163" s="29" t="e">
        <f ca="1"/>
        <v>#NAME?</v>
      </c>
      <c r="Z163" s="29" t="e">
        <f ca="1"/>
        <v>#NAME?</v>
      </c>
      <c r="AA163" s="29" t="e">
        <f ca="1"/>
        <v>#NAME?</v>
      </c>
      <c r="AB163" s="41" t="e">
        <f ca="1"/>
        <v>#NAME?</v>
      </c>
    </row>
    <row r="164" spans="1:28">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c r="W164" s="40" t="str">
        <f t="shared" si="2"/>
        <v>P103</v>
      </c>
      <c r="X164" s="29" t="e" cm="1">
        <f t="array" aca="1" ref="X164:AB164" ca="1">_xlfn.XLOOKUP(C164,C:C, _xlfn.HSTACK(L:L,K:K,S:S,Product_master!E:E,Product_master!F:F ))</f>
        <v>#NAME?</v>
      </c>
      <c r="Y164" s="29" t="e">
        <f ca="1"/>
        <v>#NAME?</v>
      </c>
      <c r="Z164" s="29" t="e">
        <f ca="1"/>
        <v>#NAME?</v>
      </c>
      <c r="AA164" s="29" t="e">
        <f ca="1"/>
        <v>#NAME?</v>
      </c>
      <c r="AB164" s="41" t="e">
        <f ca="1"/>
        <v>#NAME?</v>
      </c>
    </row>
    <row r="165" spans="1:28">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c r="W165" s="40" t="str">
        <f t="shared" si="2"/>
        <v>P301</v>
      </c>
      <c r="X165" s="29" t="e" cm="1">
        <f t="array" aca="1" ref="X165:AB165" ca="1">_xlfn.XLOOKUP(C165,C:C, _xlfn.HSTACK(L:L,K:K,S:S,Product_master!E:E,Product_master!F:F ))</f>
        <v>#NAME?</v>
      </c>
      <c r="Y165" s="29" t="e">
        <f ca="1"/>
        <v>#NAME?</v>
      </c>
      <c r="Z165" s="29" t="e">
        <f ca="1"/>
        <v>#NAME?</v>
      </c>
      <c r="AA165" s="29" t="e">
        <f ca="1"/>
        <v>#NAME?</v>
      </c>
      <c r="AB165" s="41" t="e">
        <f ca="1"/>
        <v>#NAME?</v>
      </c>
    </row>
    <row r="166" spans="1:28">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c r="W166" s="40" t="str">
        <f t="shared" si="2"/>
        <v>P202</v>
      </c>
      <c r="X166" s="29" t="e" cm="1">
        <f t="array" aca="1" ref="X166:AB166" ca="1">_xlfn.XLOOKUP(C166,C:C, _xlfn.HSTACK(L:L,K:K,S:S,Product_master!E:E,Product_master!F:F ))</f>
        <v>#NAME?</v>
      </c>
      <c r="Y166" s="29" t="e">
        <f ca="1"/>
        <v>#NAME?</v>
      </c>
      <c r="Z166" s="29" t="e">
        <f ca="1"/>
        <v>#NAME?</v>
      </c>
      <c r="AA166" s="29" t="e">
        <f ca="1"/>
        <v>#NAME?</v>
      </c>
      <c r="AB166" s="41" t="e">
        <f ca="1"/>
        <v>#NAME?</v>
      </c>
    </row>
    <row r="167" spans="1:28">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c r="W167" s="40" t="str">
        <f t="shared" si="2"/>
        <v>P201</v>
      </c>
      <c r="X167" s="29" t="e" cm="1">
        <f t="array" aca="1" ref="X167:AB167" ca="1">_xlfn.XLOOKUP(C167,C:C, _xlfn.HSTACK(L:L,K:K,S:S,Product_master!E:E,Product_master!F:F ))</f>
        <v>#NAME?</v>
      </c>
      <c r="Y167" s="29" t="e">
        <f ca="1"/>
        <v>#NAME?</v>
      </c>
      <c r="Z167" s="29" t="e">
        <f ca="1"/>
        <v>#NAME?</v>
      </c>
      <c r="AA167" s="29" t="e">
        <f ca="1"/>
        <v>#NAME?</v>
      </c>
      <c r="AB167" s="41" t="e">
        <f ca="1"/>
        <v>#NAME?</v>
      </c>
    </row>
    <row r="168" spans="1:28">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c r="W168" s="40" t="str">
        <f t="shared" si="2"/>
        <v>P201</v>
      </c>
      <c r="X168" s="29" t="e" cm="1">
        <f t="array" aca="1" ref="X168:AB168" ca="1">_xlfn.XLOOKUP(C168,C:C, _xlfn.HSTACK(L:L,K:K,S:S,Product_master!E:E,Product_master!F:F ))</f>
        <v>#NAME?</v>
      </c>
      <c r="Y168" s="29" t="e">
        <f ca="1"/>
        <v>#NAME?</v>
      </c>
      <c r="Z168" s="29" t="e">
        <f ca="1"/>
        <v>#NAME?</v>
      </c>
      <c r="AA168" s="29" t="e">
        <f ca="1"/>
        <v>#NAME?</v>
      </c>
      <c r="AB168" s="41" t="e">
        <f ca="1"/>
        <v>#NAME?</v>
      </c>
    </row>
    <row r="169" spans="1:28">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c r="W169" s="40" t="str">
        <f t="shared" si="2"/>
        <v>P101</v>
      </c>
      <c r="X169" s="29" t="e" cm="1">
        <f t="array" aca="1" ref="X169:AB169" ca="1">_xlfn.XLOOKUP(C169,C:C, _xlfn.HSTACK(L:L,K:K,S:S,Product_master!E:E,Product_master!F:F ))</f>
        <v>#NAME?</v>
      </c>
      <c r="Y169" s="29" t="e">
        <f ca="1"/>
        <v>#NAME?</v>
      </c>
      <c r="Z169" s="29" t="e">
        <f ca="1"/>
        <v>#NAME?</v>
      </c>
      <c r="AA169" s="29" t="e">
        <f ca="1"/>
        <v>#NAME?</v>
      </c>
      <c r="AB169" s="41" t="e">
        <f ca="1"/>
        <v>#NAME?</v>
      </c>
    </row>
    <row r="170" spans="1:28">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c r="W170" s="40" t="str">
        <f t="shared" si="2"/>
        <v>P103</v>
      </c>
      <c r="X170" s="29" t="e" cm="1">
        <f t="array" aca="1" ref="X170:AB170" ca="1">_xlfn.XLOOKUP(C170,C:C, _xlfn.HSTACK(L:L,K:K,S:S,Product_master!E:E,Product_master!F:F ))</f>
        <v>#NAME?</v>
      </c>
      <c r="Y170" s="29" t="e">
        <f ca="1"/>
        <v>#NAME?</v>
      </c>
      <c r="Z170" s="29" t="e">
        <f ca="1"/>
        <v>#NAME?</v>
      </c>
      <c r="AA170" s="29" t="e">
        <f ca="1"/>
        <v>#NAME?</v>
      </c>
      <c r="AB170" s="41" t="e">
        <f ca="1"/>
        <v>#NAME?</v>
      </c>
    </row>
    <row r="171" spans="1:28">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c r="W171" s="40" t="str">
        <f t="shared" si="2"/>
        <v>P203</v>
      </c>
      <c r="X171" s="29" t="e" cm="1">
        <f t="array" aca="1" ref="X171:AB171" ca="1">_xlfn.XLOOKUP(C171,C:C, _xlfn.HSTACK(L:L,K:K,S:S,Product_master!E:E,Product_master!F:F ))</f>
        <v>#NAME?</v>
      </c>
      <c r="Y171" s="29" t="e">
        <f ca="1"/>
        <v>#NAME?</v>
      </c>
      <c r="Z171" s="29" t="e">
        <f ca="1"/>
        <v>#NAME?</v>
      </c>
      <c r="AA171" s="29" t="e">
        <f ca="1"/>
        <v>#NAME?</v>
      </c>
      <c r="AB171" s="41" t="e">
        <f ca="1"/>
        <v>#NAME?</v>
      </c>
    </row>
    <row r="172" spans="1:28">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c r="W172" s="40" t="str">
        <f t="shared" si="2"/>
        <v>P101</v>
      </c>
      <c r="X172" s="29" t="e" cm="1">
        <f t="array" aca="1" ref="X172:AB172" ca="1">_xlfn.XLOOKUP(C172,C:C, _xlfn.HSTACK(L:L,K:K,S:S,Product_master!E:E,Product_master!F:F ))</f>
        <v>#NAME?</v>
      </c>
      <c r="Y172" s="29" t="e">
        <f ca="1"/>
        <v>#NAME?</v>
      </c>
      <c r="Z172" s="29" t="e">
        <f ca="1"/>
        <v>#NAME?</v>
      </c>
      <c r="AA172" s="29" t="e">
        <f ca="1"/>
        <v>#NAME?</v>
      </c>
      <c r="AB172" s="41" t="e">
        <f ca="1"/>
        <v>#NAME?</v>
      </c>
    </row>
    <row r="173" spans="1:28">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c r="W173" s="40" t="str">
        <f t="shared" si="2"/>
        <v>P103</v>
      </c>
      <c r="X173" s="29" t="e" cm="1">
        <f t="array" aca="1" ref="X173:AB173" ca="1">_xlfn.XLOOKUP(C173,C:C, _xlfn.HSTACK(L:L,K:K,S:S,Product_master!E:E,Product_master!F:F ))</f>
        <v>#NAME?</v>
      </c>
      <c r="Y173" s="29" t="e">
        <f ca="1"/>
        <v>#NAME?</v>
      </c>
      <c r="Z173" s="29" t="e">
        <f ca="1"/>
        <v>#NAME?</v>
      </c>
      <c r="AA173" s="29" t="e">
        <f ca="1"/>
        <v>#NAME?</v>
      </c>
      <c r="AB173" s="41" t="e">
        <f ca="1"/>
        <v>#NAME?</v>
      </c>
    </row>
    <row r="174" spans="1:28">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c r="W174" s="40" t="str">
        <f t="shared" si="2"/>
        <v>P201</v>
      </c>
      <c r="X174" s="29" t="e" cm="1">
        <f t="array" aca="1" ref="X174:AB174" ca="1">_xlfn.XLOOKUP(C174,C:C, _xlfn.HSTACK(L:L,K:K,S:S,Product_master!E:E,Product_master!F:F ))</f>
        <v>#NAME?</v>
      </c>
      <c r="Y174" s="29" t="e">
        <f ca="1"/>
        <v>#NAME?</v>
      </c>
      <c r="Z174" s="29" t="e">
        <f ca="1"/>
        <v>#NAME?</v>
      </c>
      <c r="AA174" s="29" t="e">
        <f ca="1"/>
        <v>#NAME?</v>
      </c>
      <c r="AB174" s="41" t="e">
        <f ca="1"/>
        <v>#NAME?</v>
      </c>
    </row>
    <row r="175" spans="1:28">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c r="W175" s="40" t="str">
        <f t="shared" si="2"/>
        <v>P303</v>
      </c>
      <c r="X175" s="29" t="e" cm="1">
        <f t="array" aca="1" ref="X175:AB175" ca="1">_xlfn.XLOOKUP(C175,C:C, _xlfn.HSTACK(L:L,K:K,S:S,Product_master!E:E,Product_master!F:F ))</f>
        <v>#NAME?</v>
      </c>
      <c r="Y175" s="29" t="e">
        <f ca="1"/>
        <v>#NAME?</v>
      </c>
      <c r="Z175" s="29" t="e">
        <f ca="1"/>
        <v>#NAME?</v>
      </c>
      <c r="AA175" s="29" t="e">
        <f ca="1"/>
        <v>#NAME?</v>
      </c>
      <c r="AB175" s="41" t="e">
        <f ca="1"/>
        <v>#NAME?</v>
      </c>
    </row>
    <row r="176" spans="1:28">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c r="W176" s="40" t="str">
        <f t="shared" si="2"/>
        <v>P303</v>
      </c>
      <c r="X176" s="29" t="e" cm="1">
        <f t="array" aca="1" ref="X176:AB176" ca="1">_xlfn.XLOOKUP(C176,C:C, _xlfn.HSTACK(L:L,K:K,S:S,Product_master!E:E,Product_master!F:F ))</f>
        <v>#NAME?</v>
      </c>
      <c r="Y176" s="29" t="e">
        <f ca="1"/>
        <v>#NAME?</v>
      </c>
      <c r="Z176" s="29" t="e">
        <f ca="1"/>
        <v>#NAME?</v>
      </c>
      <c r="AA176" s="29" t="e">
        <f ca="1"/>
        <v>#NAME?</v>
      </c>
      <c r="AB176" s="41" t="e">
        <f ca="1"/>
        <v>#NAME?</v>
      </c>
    </row>
    <row r="177" spans="1:28">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c r="W177" s="40" t="str">
        <f t="shared" si="2"/>
        <v>P302</v>
      </c>
      <c r="X177" s="29" t="e" cm="1">
        <f t="array" aca="1" ref="X177:AB177" ca="1">_xlfn.XLOOKUP(C177,C:C, _xlfn.HSTACK(L:L,K:K,S:S,Product_master!E:E,Product_master!F:F ))</f>
        <v>#NAME?</v>
      </c>
      <c r="Y177" s="29" t="e">
        <f ca="1"/>
        <v>#NAME?</v>
      </c>
      <c r="Z177" s="29" t="e">
        <f ca="1"/>
        <v>#NAME?</v>
      </c>
      <c r="AA177" s="29" t="e">
        <f ca="1"/>
        <v>#NAME?</v>
      </c>
      <c r="AB177" s="41" t="e">
        <f ca="1"/>
        <v>#NAME?</v>
      </c>
    </row>
    <row r="178" spans="1:28">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c r="W178" s="40" t="str">
        <f t="shared" si="2"/>
        <v>P302</v>
      </c>
      <c r="X178" s="29" t="e" cm="1">
        <f t="array" aca="1" ref="X178:AB178" ca="1">_xlfn.XLOOKUP(C178,C:C, _xlfn.HSTACK(L:L,K:K,S:S,Product_master!E:E,Product_master!F:F ))</f>
        <v>#NAME?</v>
      </c>
      <c r="Y178" s="29" t="e">
        <f ca="1"/>
        <v>#NAME?</v>
      </c>
      <c r="Z178" s="29" t="e">
        <f ca="1"/>
        <v>#NAME?</v>
      </c>
      <c r="AA178" s="29" t="e">
        <f ca="1"/>
        <v>#NAME?</v>
      </c>
      <c r="AB178" s="41" t="e">
        <f ca="1"/>
        <v>#NAME?</v>
      </c>
    </row>
    <row r="179" spans="1:28">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c r="W179" s="40" t="str">
        <f t="shared" si="2"/>
        <v>P301</v>
      </c>
      <c r="X179" s="29" t="e" cm="1">
        <f t="array" aca="1" ref="X179:AB179" ca="1">_xlfn.XLOOKUP(C179,C:C, _xlfn.HSTACK(L:L,K:K,S:S,Product_master!E:E,Product_master!F:F ))</f>
        <v>#NAME?</v>
      </c>
      <c r="Y179" s="29" t="e">
        <f ca="1"/>
        <v>#NAME?</v>
      </c>
      <c r="Z179" s="29" t="e">
        <f ca="1"/>
        <v>#NAME?</v>
      </c>
      <c r="AA179" s="29" t="e">
        <f ca="1"/>
        <v>#NAME?</v>
      </c>
      <c r="AB179" s="41" t="e">
        <f ca="1"/>
        <v>#NAME?</v>
      </c>
    </row>
    <row r="180" spans="1:28">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c r="W180" s="40" t="str">
        <f t="shared" si="2"/>
        <v>P303</v>
      </c>
      <c r="X180" s="29" t="e" cm="1">
        <f t="array" aca="1" ref="X180:AB180" ca="1">_xlfn.XLOOKUP(C180,C:C, _xlfn.HSTACK(L:L,K:K,S:S,Product_master!E:E,Product_master!F:F ))</f>
        <v>#NAME?</v>
      </c>
      <c r="Y180" s="29" t="e">
        <f ca="1"/>
        <v>#NAME?</v>
      </c>
      <c r="Z180" s="29" t="e">
        <f ca="1"/>
        <v>#NAME?</v>
      </c>
      <c r="AA180" s="29" t="e">
        <f ca="1"/>
        <v>#NAME?</v>
      </c>
      <c r="AB180" s="41" t="e">
        <f ca="1"/>
        <v>#NAME?</v>
      </c>
    </row>
    <row r="181" spans="1:28">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c r="W181" s="40" t="str">
        <f t="shared" si="2"/>
        <v>P102</v>
      </c>
      <c r="X181" s="29" t="e" cm="1">
        <f t="array" aca="1" ref="X181:AB181" ca="1">_xlfn.XLOOKUP(C181,C:C, _xlfn.HSTACK(L:L,K:K,S:S,Product_master!E:E,Product_master!F:F ))</f>
        <v>#NAME?</v>
      </c>
      <c r="Y181" s="29" t="e">
        <f ca="1"/>
        <v>#NAME?</v>
      </c>
      <c r="Z181" s="29" t="e">
        <f ca="1"/>
        <v>#NAME?</v>
      </c>
      <c r="AA181" s="29" t="e">
        <f ca="1"/>
        <v>#NAME?</v>
      </c>
      <c r="AB181" s="41" t="e">
        <f ca="1"/>
        <v>#NAME?</v>
      </c>
    </row>
    <row r="182" spans="1:28">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c r="W182" s="40" t="str">
        <f t="shared" si="2"/>
        <v>P203</v>
      </c>
      <c r="X182" s="29" t="e" cm="1">
        <f t="array" aca="1" ref="X182:AB182" ca="1">_xlfn.XLOOKUP(C182,C:C, _xlfn.HSTACK(L:L,K:K,S:S,Product_master!E:E,Product_master!F:F ))</f>
        <v>#NAME?</v>
      </c>
      <c r="Y182" s="29" t="e">
        <f ca="1"/>
        <v>#NAME?</v>
      </c>
      <c r="Z182" s="29" t="e">
        <f ca="1"/>
        <v>#NAME?</v>
      </c>
      <c r="AA182" s="29" t="e">
        <f ca="1"/>
        <v>#NAME?</v>
      </c>
      <c r="AB182" s="41" t="e">
        <f ca="1"/>
        <v>#NAME?</v>
      </c>
    </row>
    <row r="183" spans="1:28">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c r="W183" s="40" t="str">
        <f t="shared" si="2"/>
        <v>P301</v>
      </c>
      <c r="X183" s="29" t="e" cm="1">
        <f t="array" aca="1" ref="X183:AB183" ca="1">_xlfn.XLOOKUP(C183,C:C, _xlfn.HSTACK(L:L,K:K,S:S,Product_master!E:E,Product_master!F:F ))</f>
        <v>#NAME?</v>
      </c>
      <c r="Y183" s="29" t="e">
        <f ca="1"/>
        <v>#NAME?</v>
      </c>
      <c r="Z183" s="29" t="e">
        <f ca="1"/>
        <v>#NAME?</v>
      </c>
      <c r="AA183" s="29" t="e">
        <f ca="1"/>
        <v>#NAME?</v>
      </c>
      <c r="AB183" s="41" t="e">
        <f ca="1"/>
        <v>#NAME?</v>
      </c>
    </row>
    <row r="184" spans="1:28">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c r="W184" s="40" t="str">
        <f t="shared" si="2"/>
        <v>P303</v>
      </c>
      <c r="X184" s="29" t="e" cm="1">
        <f t="array" aca="1" ref="X184:AB184" ca="1">_xlfn.XLOOKUP(C184,C:C, _xlfn.HSTACK(L:L,K:K,S:S,Product_master!E:E,Product_master!F:F ))</f>
        <v>#NAME?</v>
      </c>
      <c r="Y184" s="29" t="e">
        <f ca="1"/>
        <v>#NAME?</v>
      </c>
      <c r="Z184" s="29" t="e">
        <f ca="1"/>
        <v>#NAME?</v>
      </c>
      <c r="AA184" s="29" t="e">
        <f ca="1"/>
        <v>#NAME?</v>
      </c>
      <c r="AB184" s="41" t="e">
        <f ca="1"/>
        <v>#NAME?</v>
      </c>
    </row>
    <row r="185" spans="1:28">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c r="W185" s="40" t="str">
        <f t="shared" si="2"/>
        <v>P202</v>
      </c>
      <c r="X185" s="29" t="e" cm="1">
        <f t="array" aca="1" ref="X185:AB185" ca="1">_xlfn.XLOOKUP(C185,C:C, _xlfn.HSTACK(L:L,K:K,S:S,Product_master!E:E,Product_master!F:F ))</f>
        <v>#NAME?</v>
      </c>
      <c r="Y185" s="29" t="e">
        <f ca="1"/>
        <v>#NAME?</v>
      </c>
      <c r="Z185" s="29" t="e">
        <f ca="1"/>
        <v>#NAME?</v>
      </c>
      <c r="AA185" s="29" t="e">
        <f ca="1"/>
        <v>#NAME?</v>
      </c>
      <c r="AB185" s="41" t="e">
        <f ca="1"/>
        <v>#NAME?</v>
      </c>
    </row>
    <row r="186" spans="1:28">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c r="W186" s="40" t="str">
        <f t="shared" si="2"/>
        <v>P203</v>
      </c>
      <c r="X186" s="29" t="e" cm="1">
        <f t="array" aca="1" ref="X186:AB186" ca="1">_xlfn.XLOOKUP(C186,C:C, _xlfn.HSTACK(L:L,K:K,S:S,Product_master!E:E,Product_master!F:F ))</f>
        <v>#NAME?</v>
      </c>
      <c r="Y186" s="29" t="e">
        <f ca="1"/>
        <v>#NAME?</v>
      </c>
      <c r="Z186" s="29" t="e">
        <f ca="1"/>
        <v>#NAME?</v>
      </c>
      <c r="AA186" s="29" t="e">
        <f ca="1"/>
        <v>#NAME?</v>
      </c>
      <c r="AB186" s="41" t="e">
        <f ca="1"/>
        <v>#NAME?</v>
      </c>
    </row>
    <row r="187" spans="1:28">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c r="W187" s="40" t="str">
        <f t="shared" si="2"/>
        <v>P202</v>
      </c>
      <c r="X187" s="29" t="e" cm="1">
        <f t="array" aca="1" ref="X187:AB187" ca="1">_xlfn.XLOOKUP(C187,C:C, _xlfn.HSTACK(L:L,K:K,S:S,Product_master!E:E,Product_master!F:F ))</f>
        <v>#NAME?</v>
      </c>
      <c r="Y187" s="29" t="e">
        <f ca="1"/>
        <v>#NAME?</v>
      </c>
      <c r="Z187" s="29" t="e">
        <f ca="1"/>
        <v>#NAME?</v>
      </c>
      <c r="AA187" s="29" t="e">
        <f ca="1"/>
        <v>#NAME?</v>
      </c>
      <c r="AB187" s="41" t="e">
        <f ca="1"/>
        <v>#NAME?</v>
      </c>
    </row>
    <row r="188" spans="1:28">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c r="W188" s="40" t="str">
        <f t="shared" si="2"/>
        <v>P301</v>
      </c>
      <c r="X188" s="29" t="e" cm="1">
        <f t="array" aca="1" ref="X188:AB188" ca="1">_xlfn.XLOOKUP(C188,C:C, _xlfn.HSTACK(L:L,K:K,S:S,Product_master!E:E,Product_master!F:F ))</f>
        <v>#NAME?</v>
      </c>
      <c r="Y188" s="29" t="e">
        <f ca="1"/>
        <v>#NAME?</v>
      </c>
      <c r="Z188" s="29" t="e">
        <f ca="1"/>
        <v>#NAME?</v>
      </c>
      <c r="AA188" s="29" t="e">
        <f ca="1"/>
        <v>#NAME?</v>
      </c>
      <c r="AB188" s="41" t="e">
        <f ca="1"/>
        <v>#NAME?</v>
      </c>
    </row>
    <row r="189" spans="1:28">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c r="W189" s="40" t="str">
        <f t="shared" si="2"/>
        <v>P201</v>
      </c>
      <c r="X189" s="29" t="e" cm="1">
        <f t="array" aca="1" ref="X189:AB189" ca="1">_xlfn.XLOOKUP(C189,C:C, _xlfn.HSTACK(L:L,K:K,S:S,Product_master!E:E,Product_master!F:F ))</f>
        <v>#NAME?</v>
      </c>
      <c r="Y189" s="29" t="e">
        <f ca="1"/>
        <v>#NAME?</v>
      </c>
      <c r="Z189" s="29" t="e">
        <f ca="1"/>
        <v>#NAME?</v>
      </c>
      <c r="AA189" s="29" t="e">
        <f ca="1"/>
        <v>#NAME?</v>
      </c>
      <c r="AB189" s="41" t="e">
        <f ca="1"/>
        <v>#NAME?</v>
      </c>
    </row>
    <row r="190" spans="1:28">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c r="W190" s="40" t="str">
        <f t="shared" si="2"/>
        <v>P104</v>
      </c>
      <c r="X190" s="29" t="e" cm="1">
        <f t="array" aca="1" ref="X190:AB190" ca="1">_xlfn.XLOOKUP(C190,C:C, _xlfn.HSTACK(L:L,K:K,S:S,Product_master!E:E,Product_master!F:F ))</f>
        <v>#NAME?</v>
      </c>
      <c r="Y190" s="29" t="e">
        <f ca="1"/>
        <v>#NAME?</v>
      </c>
      <c r="Z190" s="29" t="e">
        <f ca="1"/>
        <v>#NAME?</v>
      </c>
      <c r="AA190" s="29" t="e">
        <f ca="1"/>
        <v>#NAME?</v>
      </c>
      <c r="AB190" s="41" t="e">
        <f ca="1"/>
        <v>#NAME?</v>
      </c>
    </row>
    <row r="191" spans="1:28">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c r="W191" s="40" t="str">
        <f t="shared" si="2"/>
        <v>P302</v>
      </c>
      <c r="X191" s="29" t="e" cm="1">
        <f t="array" aca="1" ref="X191:AB191" ca="1">_xlfn.XLOOKUP(C191,C:C, _xlfn.HSTACK(L:L,K:K,S:S,Product_master!E:E,Product_master!F:F ))</f>
        <v>#NAME?</v>
      </c>
      <c r="Y191" s="29" t="e">
        <f ca="1"/>
        <v>#NAME?</v>
      </c>
      <c r="Z191" s="29" t="e">
        <f ca="1"/>
        <v>#NAME?</v>
      </c>
      <c r="AA191" s="29" t="e">
        <f ca="1"/>
        <v>#NAME?</v>
      </c>
      <c r="AB191" s="41" t="e">
        <f ca="1"/>
        <v>#NAME?</v>
      </c>
    </row>
    <row r="192" spans="1:28">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c r="W192" s="40" t="str">
        <f t="shared" si="2"/>
        <v>P202</v>
      </c>
      <c r="X192" s="29" t="e" cm="1">
        <f t="array" aca="1" ref="X192:AB192" ca="1">_xlfn.XLOOKUP(C192,C:C, _xlfn.HSTACK(L:L,K:K,S:S,Product_master!E:E,Product_master!F:F ))</f>
        <v>#NAME?</v>
      </c>
      <c r="Y192" s="29" t="e">
        <f ca="1"/>
        <v>#NAME?</v>
      </c>
      <c r="Z192" s="29" t="e">
        <f ca="1"/>
        <v>#NAME?</v>
      </c>
      <c r="AA192" s="29" t="e">
        <f ca="1"/>
        <v>#NAME?</v>
      </c>
      <c r="AB192" s="41" t="e">
        <f ca="1"/>
        <v>#NAME?</v>
      </c>
    </row>
    <row r="193" spans="1:28">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c r="W193" s="40" t="str">
        <f t="shared" si="2"/>
        <v>P104</v>
      </c>
      <c r="X193" s="29" t="e" cm="1">
        <f t="array" aca="1" ref="X193:AB193" ca="1">_xlfn.XLOOKUP(C193,C:C, _xlfn.HSTACK(L:L,K:K,S:S,Product_master!E:E,Product_master!F:F ))</f>
        <v>#NAME?</v>
      </c>
      <c r="Y193" s="29" t="e">
        <f ca="1"/>
        <v>#NAME?</v>
      </c>
      <c r="Z193" s="29" t="e">
        <f ca="1"/>
        <v>#NAME?</v>
      </c>
      <c r="AA193" s="29" t="e">
        <f ca="1"/>
        <v>#NAME?</v>
      </c>
      <c r="AB193" s="41" t="e">
        <f ca="1"/>
        <v>#NAME?</v>
      </c>
    </row>
    <row r="194" spans="1:28">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c r="W194" s="40" t="str">
        <f t="shared" si="2"/>
        <v>P202</v>
      </c>
      <c r="X194" s="29" t="e" cm="1">
        <f t="array" aca="1" ref="X194:AB194" ca="1">_xlfn.XLOOKUP(C194,C:C, _xlfn.HSTACK(L:L,K:K,S:S,Product_master!E:E,Product_master!F:F ))</f>
        <v>#NAME?</v>
      </c>
      <c r="Y194" s="29" t="e">
        <f ca="1"/>
        <v>#NAME?</v>
      </c>
      <c r="Z194" s="29" t="e">
        <f ca="1"/>
        <v>#NAME?</v>
      </c>
      <c r="AA194" s="29" t="e">
        <f ca="1"/>
        <v>#NAME?</v>
      </c>
      <c r="AB194" s="41" t="e">
        <f ca="1"/>
        <v>#NAME?</v>
      </c>
    </row>
    <row r="195" spans="1:28">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c r="W195" s="40" t="str">
        <f t="shared" ref="W195:W258" si="3">C195</f>
        <v>P202</v>
      </c>
      <c r="X195" s="29" t="e" cm="1">
        <f t="array" aca="1" ref="X195:AB195" ca="1">_xlfn.XLOOKUP(C195,C:C, _xlfn.HSTACK(L:L,K:K,S:S,Product_master!E:E,Product_master!F:F ))</f>
        <v>#NAME?</v>
      </c>
      <c r="Y195" s="29" t="e">
        <f ca="1"/>
        <v>#NAME?</v>
      </c>
      <c r="Z195" s="29" t="e">
        <f ca="1"/>
        <v>#NAME?</v>
      </c>
      <c r="AA195" s="29" t="e">
        <f ca="1"/>
        <v>#NAME?</v>
      </c>
      <c r="AB195" s="41" t="e">
        <f ca="1"/>
        <v>#NAME?</v>
      </c>
    </row>
    <row r="196" spans="1:28">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c r="W196" s="40" t="str">
        <f t="shared" si="3"/>
        <v>P202</v>
      </c>
      <c r="X196" s="29" t="e" cm="1">
        <f t="array" aca="1" ref="X196:AB196" ca="1">_xlfn.XLOOKUP(C196,C:C, _xlfn.HSTACK(L:L,K:K,S:S,Product_master!E:E,Product_master!F:F ))</f>
        <v>#NAME?</v>
      </c>
      <c r="Y196" s="29" t="e">
        <f ca="1"/>
        <v>#NAME?</v>
      </c>
      <c r="Z196" s="29" t="e">
        <f ca="1"/>
        <v>#NAME?</v>
      </c>
      <c r="AA196" s="29" t="e">
        <f ca="1"/>
        <v>#NAME?</v>
      </c>
      <c r="AB196" s="41" t="e">
        <f ca="1"/>
        <v>#NAME?</v>
      </c>
    </row>
    <row r="197" spans="1:28">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c r="W197" s="40" t="str">
        <f t="shared" si="3"/>
        <v>P302</v>
      </c>
      <c r="X197" s="29" t="e" cm="1">
        <f t="array" aca="1" ref="X197:AB197" ca="1">_xlfn.XLOOKUP(C197,C:C, _xlfn.HSTACK(L:L,K:K,S:S,Product_master!E:E,Product_master!F:F ))</f>
        <v>#NAME?</v>
      </c>
      <c r="Y197" s="29" t="e">
        <f ca="1"/>
        <v>#NAME?</v>
      </c>
      <c r="Z197" s="29" t="e">
        <f ca="1"/>
        <v>#NAME?</v>
      </c>
      <c r="AA197" s="29" t="e">
        <f ca="1"/>
        <v>#NAME?</v>
      </c>
      <c r="AB197" s="41" t="e">
        <f ca="1"/>
        <v>#NAME?</v>
      </c>
    </row>
    <row r="198" spans="1:28">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c r="W198" s="40" t="str">
        <f t="shared" si="3"/>
        <v>P203</v>
      </c>
      <c r="X198" s="29" t="e" cm="1">
        <f t="array" aca="1" ref="X198:AB198" ca="1">_xlfn.XLOOKUP(C198,C:C, _xlfn.HSTACK(L:L,K:K,S:S,Product_master!E:E,Product_master!F:F ))</f>
        <v>#NAME?</v>
      </c>
      <c r="Y198" s="29" t="e">
        <f ca="1"/>
        <v>#NAME?</v>
      </c>
      <c r="Z198" s="29" t="e">
        <f ca="1"/>
        <v>#NAME?</v>
      </c>
      <c r="AA198" s="29" t="e">
        <f ca="1"/>
        <v>#NAME?</v>
      </c>
      <c r="AB198" s="41" t="e">
        <f ca="1"/>
        <v>#NAME?</v>
      </c>
    </row>
    <row r="199" spans="1:28">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c r="W199" s="40" t="str">
        <f t="shared" si="3"/>
        <v>P301</v>
      </c>
      <c r="X199" s="29" t="e" cm="1">
        <f t="array" aca="1" ref="X199:AB199" ca="1">_xlfn.XLOOKUP(C199,C:C, _xlfn.HSTACK(L:L,K:K,S:S,Product_master!E:E,Product_master!F:F ))</f>
        <v>#NAME?</v>
      </c>
      <c r="Y199" s="29" t="e">
        <f ca="1"/>
        <v>#NAME?</v>
      </c>
      <c r="Z199" s="29" t="e">
        <f ca="1"/>
        <v>#NAME?</v>
      </c>
      <c r="AA199" s="29" t="e">
        <f ca="1"/>
        <v>#NAME?</v>
      </c>
      <c r="AB199" s="41" t="e">
        <f ca="1"/>
        <v>#NAME?</v>
      </c>
    </row>
    <row r="200" spans="1:28">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c r="W200" s="40" t="str">
        <f t="shared" si="3"/>
        <v>P201</v>
      </c>
      <c r="X200" s="29" t="e" cm="1">
        <f t="array" aca="1" ref="X200:AB200" ca="1">_xlfn.XLOOKUP(C200,C:C, _xlfn.HSTACK(L:L,K:K,S:S,Product_master!E:E,Product_master!F:F ))</f>
        <v>#NAME?</v>
      </c>
      <c r="Y200" s="29" t="e">
        <f ca="1"/>
        <v>#NAME?</v>
      </c>
      <c r="Z200" s="29" t="e">
        <f ca="1"/>
        <v>#NAME?</v>
      </c>
      <c r="AA200" s="29" t="e">
        <f ca="1"/>
        <v>#NAME?</v>
      </c>
      <c r="AB200" s="41" t="e">
        <f ca="1"/>
        <v>#NAME?</v>
      </c>
    </row>
    <row r="201" spans="1:28">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c r="W201" s="40" t="str">
        <f t="shared" si="3"/>
        <v>P101</v>
      </c>
      <c r="X201" s="29" t="e" cm="1">
        <f t="array" aca="1" ref="X201:AB201" ca="1">_xlfn.XLOOKUP(C201,C:C, _xlfn.HSTACK(L:L,K:K,S:S,Product_master!E:E,Product_master!F:F ))</f>
        <v>#NAME?</v>
      </c>
      <c r="Y201" s="29" t="e">
        <f ca="1"/>
        <v>#NAME?</v>
      </c>
      <c r="Z201" s="29" t="e">
        <f ca="1"/>
        <v>#NAME?</v>
      </c>
      <c r="AA201" s="29" t="e">
        <f ca="1"/>
        <v>#NAME?</v>
      </c>
      <c r="AB201" s="41" t="e">
        <f ca="1"/>
        <v>#NAME?</v>
      </c>
    </row>
    <row r="202" spans="1:28">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c r="W202" s="40" t="str">
        <f t="shared" si="3"/>
        <v>P103</v>
      </c>
      <c r="X202" s="29" t="e" cm="1">
        <f t="array" aca="1" ref="X202:AB202" ca="1">_xlfn.XLOOKUP(C202,C:C, _xlfn.HSTACK(L:L,K:K,S:S,Product_master!E:E,Product_master!F:F ))</f>
        <v>#NAME?</v>
      </c>
      <c r="Y202" s="29" t="e">
        <f ca="1"/>
        <v>#NAME?</v>
      </c>
      <c r="Z202" s="29" t="e">
        <f ca="1"/>
        <v>#NAME?</v>
      </c>
      <c r="AA202" s="29" t="e">
        <f ca="1"/>
        <v>#NAME?</v>
      </c>
      <c r="AB202" s="41" t="e">
        <f ca="1"/>
        <v>#NAME?</v>
      </c>
    </row>
    <row r="203" spans="1:28">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c r="W203" s="40" t="str">
        <f t="shared" si="3"/>
        <v>P303</v>
      </c>
      <c r="X203" s="29" t="e" cm="1">
        <f t="array" aca="1" ref="X203:AB203" ca="1">_xlfn.XLOOKUP(C203,C:C, _xlfn.HSTACK(L:L,K:K,S:S,Product_master!E:E,Product_master!F:F ))</f>
        <v>#NAME?</v>
      </c>
      <c r="Y203" s="29" t="e">
        <f ca="1"/>
        <v>#NAME?</v>
      </c>
      <c r="Z203" s="29" t="e">
        <f ca="1"/>
        <v>#NAME?</v>
      </c>
      <c r="AA203" s="29" t="e">
        <f ca="1"/>
        <v>#NAME?</v>
      </c>
      <c r="AB203" s="41" t="e">
        <f ca="1"/>
        <v>#NAME?</v>
      </c>
    </row>
    <row r="204" spans="1:28">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c r="W204" s="40" t="str">
        <f t="shared" si="3"/>
        <v>P203</v>
      </c>
      <c r="X204" s="29" t="e" cm="1">
        <f t="array" aca="1" ref="X204:AB204" ca="1">_xlfn.XLOOKUP(C204,C:C, _xlfn.HSTACK(L:L,K:K,S:S,Product_master!E:E,Product_master!F:F ))</f>
        <v>#NAME?</v>
      </c>
      <c r="Y204" s="29" t="e">
        <f ca="1"/>
        <v>#NAME?</v>
      </c>
      <c r="Z204" s="29" t="e">
        <f ca="1"/>
        <v>#NAME?</v>
      </c>
      <c r="AA204" s="29" t="e">
        <f ca="1"/>
        <v>#NAME?</v>
      </c>
      <c r="AB204" s="41" t="e">
        <f ca="1"/>
        <v>#NAME?</v>
      </c>
    </row>
    <row r="205" spans="1:28">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c r="W205" s="40" t="str">
        <f t="shared" si="3"/>
        <v>P201</v>
      </c>
      <c r="X205" s="29" t="e" cm="1">
        <f t="array" aca="1" ref="X205:AB205" ca="1">_xlfn.XLOOKUP(C205,C:C, _xlfn.HSTACK(L:L,K:K,S:S,Product_master!E:E,Product_master!F:F ))</f>
        <v>#NAME?</v>
      </c>
      <c r="Y205" s="29" t="e">
        <f ca="1"/>
        <v>#NAME?</v>
      </c>
      <c r="Z205" s="29" t="e">
        <f ca="1"/>
        <v>#NAME?</v>
      </c>
      <c r="AA205" s="29" t="e">
        <f ca="1"/>
        <v>#NAME?</v>
      </c>
      <c r="AB205" s="41" t="e">
        <f ca="1"/>
        <v>#NAME?</v>
      </c>
    </row>
    <row r="206" spans="1:28">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c r="W206" s="40" t="str">
        <f t="shared" si="3"/>
        <v>P303</v>
      </c>
      <c r="X206" s="29" t="e" cm="1">
        <f t="array" aca="1" ref="X206:AB206" ca="1">_xlfn.XLOOKUP(C206,C:C, _xlfn.HSTACK(L:L,K:K,S:S,Product_master!E:E,Product_master!F:F ))</f>
        <v>#NAME?</v>
      </c>
      <c r="Y206" s="29" t="e">
        <f ca="1"/>
        <v>#NAME?</v>
      </c>
      <c r="Z206" s="29" t="e">
        <f ca="1"/>
        <v>#NAME?</v>
      </c>
      <c r="AA206" s="29" t="e">
        <f ca="1"/>
        <v>#NAME?</v>
      </c>
      <c r="AB206" s="41" t="e">
        <f ca="1"/>
        <v>#NAME?</v>
      </c>
    </row>
    <row r="207" spans="1:28">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c r="W207" s="40" t="str">
        <f t="shared" si="3"/>
        <v>P202</v>
      </c>
      <c r="X207" s="29" t="e" cm="1">
        <f t="array" aca="1" ref="X207:AB207" ca="1">_xlfn.XLOOKUP(C207,C:C, _xlfn.HSTACK(L:L,K:K,S:S,Product_master!E:E,Product_master!F:F ))</f>
        <v>#NAME?</v>
      </c>
      <c r="Y207" s="29" t="e">
        <f ca="1"/>
        <v>#NAME?</v>
      </c>
      <c r="Z207" s="29" t="e">
        <f ca="1"/>
        <v>#NAME?</v>
      </c>
      <c r="AA207" s="29" t="e">
        <f ca="1"/>
        <v>#NAME?</v>
      </c>
      <c r="AB207" s="41" t="e">
        <f ca="1"/>
        <v>#NAME?</v>
      </c>
    </row>
    <row r="208" spans="1:28">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c r="W208" s="40" t="str">
        <f t="shared" si="3"/>
        <v>P102</v>
      </c>
      <c r="X208" s="29" t="e" cm="1">
        <f t="array" aca="1" ref="X208:AB208" ca="1">_xlfn.XLOOKUP(C208,C:C, _xlfn.HSTACK(L:L,K:K,S:S,Product_master!E:E,Product_master!F:F ))</f>
        <v>#NAME?</v>
      </c>
      <c r="Y208" s="29" t="e">
        <f ca="1"/>
        <v>#NAME?</v>
      </c>
      <c r="Z208" s="29" t="e">
        <f ca="1"/>
        <v>#NAME?</v>
      </c>
      <c r="AA208" s="29" t="e">
        <f ca="1"/>
        <v>#NAME?</v>
      </c>
      <c r="AB208" s="41" t="e">
        <f ca="1"/>
        <v>#NAME?</v>
      </c>
    </row>
    <row r="209" spans="1:28">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c r="W209" s="40" t="str">
        <f t="shared" si="3"/>
        <v>P101</v>
      </c>
      <c r="X209" s="29" t="e" cm="1">
        <f t="array" aca="1" ref="X209:AB209" ca="1">_xlfn.XLOOKUP(C209,C:C, _xlfn.HSTACK(L:L,K:K,S:S,Product_master!E:E,Product_master!F:F ))</f>
        <v>#NAME?</v>
      </c>
      <c r="Y209" s="29" t="e">
        <f ca="1"/>
        <v>#NAME?</v>
      </c>
      <c r="Z209" s="29" t="e">
        <f ca="1"/>
        <v>#NAME?</v>
      </c>
      <c r="AA209" s="29" t="e">
        <f ca="1"/>
        <v>#NAME?</v>
      </c>
      <c r="AB209" s="41" t="e">
        <f ca="1"/>
        <v>#NAME?</v>
      </c>
    </row>
    <row r="210" spans="1:28">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c r="W210" s="40" t="str">
        <f t="shared" si="3"/>
        <v>P104</v>
      </c>
      <c r="X210" s="29" t="e" cm="1">
        <f t="array" aca="1" ref="X210:AB210" ca="1">_xlfn.XLOOKUP(C210,C:C, _xlfn.HSTACK(L:L,K:K,S:S,Product_master!E:E,Product_master!F:F ))</f>
        <v>#NAME?</v>
      </c>
      <c r="Y210" s="29" t="e">
        <f ca="1"/>
        <v>#NAME?</v>
      </c>
      <c r="Z210" s="29" t="e">
        <f ca="1"/>
        <v>#NAME?</v>
      </c>
      <c r="AA210" s="29" t="e">
        <f ca="1"/>
        <v>#NAME?</v>
      </c>
      <c r="AB210" s="41" t="e">
        <f ca="1"/>
        <v>#NAME?</v>
      </c>
    </row>
    <row r="211" spans="1:28">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c r="W211" s="40" t="str">
        <f t="shared" si="3"/>
        <v>P104</v>
      </c>
      <c r="X211" s="29" t="e" cm="1">
        <f t="array" aca="1" ref="X211:AB211" ca="1">_xlfn.XLOOKUP(C211,C:C, _xlfn.HSTACK(L:L,K:K,S:S,Product_master!E:E,Product_master!F:F ))</f>
        <v>#NAME?</v>
      </c>
      <c r="Y211" s="29" t="e">
        <f ca="1"/>
        <v>#NAME?</v>
      </c>
      <c r="Z211" s="29" t="e">
        <f ca="1"/>
        <v>#NAME?</v>
      </c>
      <c r="AA211" s="29" t="e">
        <f ca="1"/>
        <v>#NAME?</v>
      </c>
      <c r="AB211" s="41" t="e">
        <f ca="1"/>
        <v>#NAME?</v>
      </c>
    </row>
    <row r="212" spans="1:28">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c r="W212" s="40" t="str">
        <f t="shared" si="3"/>
        <v>P201</v>
      </c>
      <c r="X212" s="29" t="e" cm="1">
        <f t="array" aca="1" ref="X212:AB212" ca="1">_xlfn.XLOOKUP(C212,C:C, _xlfn.HSTACK(L:L,K:K,S:S,Product_master!E:E,Product_master!F:F ))</f>
        <v>#NAME?</v>
      </c>
      <c r="Y212" s="29" t="e">
        <f ca="1"/>
        <v>#NAME?</v>
      </c>
      <c r="Z212" s="29" t="e">
        <f ca="1"/>
        <v>#NAME?</v>
      </c>
      <c r="AA212" s="29" t="e">
        <f ca="1"/>
        <v>#NAME?</v>
      </c>
      <c r="AB212" s="41" t="e">
        <f ca="1"/>
        <v>#NAME?</v>
      </c>
    </row>
    <row r="213" spans="1:28">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c r="W213" s="40" t="str">
        <f t="shared" si="3"/>
        <v>P303</v>
      </c>
      <c r="X213" s="29" t="e" cm="1">
        <f t="array" aca="1" ref="X213:AB213" ca="1">_xlfn.XLOOKUP(C213,C:C, _xlfn.HSTACK(L:L,K:K,S:S,Product_master!E:E,Product_master!F:F ))</f>
        <v>#NAME?</v>
      </c>
      <c r="Y213" s="29" t="e">
        <f ca="1"/>
        <v>#NAME?</v>
      </c>
      <c r="Z213" s="29" t="e">
        <f ca="1"/>
        <v>#NAME?</v>
      </c>
      <c r="AA213" s="29" t="e">
        <f ca="1"/>
        <v>#NAME?</v>
      </c>
      <c r="AB213" s="41" t="e">
        <f ca="1"/>
        <v>#NAME?</v>
      </c>
    </row>
    <row r="214" spans="1:28">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c r="W214" s="40" t="str">
        <f t="shared" si="3"/>
        <v>P301</v>
      </c>
      <c r="X214" s="29" t="e" cm="1">
        <f t="array" aca="1" ref="X214:AB214" ca="1">_xlfn.XLOOKUP(C214,C:C, _xlfn.HSTACK(L:L,K:K,S:S,Product_master!E:E,Product_master!F:F ))</f>
        <v>#NAME?</v>
      </c>
      <c r="Y214" s="29" t="e">
        <f ca="1"/>
        <v>#NAME?</v>
      </c>
      <c r="Z214" s="29" t="e">
        <f ca="1"/>
        <v>#NAME?</v>
      </c>
      <c r="AA214" s="29" t="e">
        <f ca="1"/>
        <v>#NAME?</v>
      </c>
      <c r="AB214" s="41" t="e">
        <f ca="1"/>
        <v>#NAME?</v>
      </c>
    </row>
    <row r="215" spans="1:28">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c r="W215" s="40" t="str">
        <f t="shared" si="3"/>
        <v>P303</v>
      </c>
      <c r="X215" s="29" t="e" cm="1">
        <f t="array" aca="1" ref="X215:AB215" ca="1">_xlfn.XLOOKUP(C215,C:C, _xlfn.HSTACK(L:L,K:K,S:S,Product_master!E:E,Product_master!F:F ))</f>
        <v>#NAME?</v>
      </c>
      <c r="Y215" s="29" t="e">
        <f ca="1"/>
        <v>#NAME?</v>
      </c>
      <c r="Z215" s="29" t="e">
        <f ca="1"/>
        <v>#NAME?</v>
      </c>
      <c r="AA215" s="29" t="e">
        <f ca="1"/>
        <v>#NAME?</v>
      </c>
      <c r="AB215" s="41" t="e">
        <f ca="1"/>
        <v>#NAME?</v>
      </c>
    </row>
    <row r="216" spans="1:28">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c r="W216" s="40" t="str">
        <f t="shared" si="3"/>
        <v>P104</v>
      </c>
      <c r="X216" s="29" t="e" cm="1">
        <f t="array" aca="1" ref="X216:AB216" ca="1">_xlfn.XLOOKUP(C216,C:C, _xlfn.HSTACK(L:L,K:K,S:S,Product_master!E:E,Product_master!F:F ))</f>
        <v>#NAME?</v>
      </c>
      <c r="Y216" s="29" t="e">
        <f ca="1"/>
        <v>#NAME?</v>
      </c>
      <c r="Z216" s="29" t="e">
        <f ca="1"/>
        <v>#NAME?</v>
      </c>
      <c r="AA216" s="29" t="e">
        <f ca="1"/>
        <v>#NAME?</v>
      </c>
      <c r="AB216" s="41" t="e">
        <f ca="1"/>
        <v>#NAME?</v>
      </c>
    </row>
    <row r="217" spans="1:28">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c r="W217" s="40" t="str">
        <f t="shared" si="3"/>
        <v>P103</v>
      </c>
      <c r="X217" s="29" t="e" cm="1">
        <f t="array" aca="1" ref="X217:AB217" ca="1">_xlfn.XLOOKUP(C217,C:C, _xlfn.HSTACK(L:L,K:K,S:S,Product_master!E:E,Product_master!F:F ))</f>
        <v>#NAME?</v>
      </c>
      <c r="Y217" s="29" t="e">
        <f ca="1"/>
        <v>#NAME?</v>
      </c>
      <c r="Z217" s="29" t="e">
        <f ca="1"/>
        <v>#NAME?</v>
      </c>
      <c r="AA217" s="29" t="e">
        <f ca="1"/>
        <v>#NAME?</v>
      </c>
      <c r="AB217" s="41" t="e">
        <f ca="1"/>
        <v>#NAME?</v>
      </c>
    </row>
    <row r="218" spans="1:28">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c r="W218" s="40" t="str">
        <f t="shared" si="3"/>
        <v>P203</v>
      </c>
      <c r="X218" s="29" t="e" cm="1">
        <f t="array" aca="1" ref="X218:AB218" ca="1">_xlfn.XLOOKUP(C218,C:C, _xlfn.HSTACK(L:L,K:K,S:S,Product_master!E:E,Product_master!F:F ))</f>
        <v>#NAME?</v>
      </c>
      <c r="Y218" s="29" t="e">
        <f ca="1"/>
        <v>#NAME?</v>
      </c>
      <c r="Z218" s="29" t="e">
        <f ca="1"/>
        <v>#NAME?</v>
      </c>
      <c r="AA218" s="29" t="e">
        <f ca="1"/>
        <v>#NAME?</v>
      </c>
      <c r="AB218" s="41" t="e">
        <f ca="1"/>
        <v>#NAME?</v>
      </c>
    </row>
    <row r="219" spans="1:28">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c r="W219" s="40" t="str">
        <f t="shared" si="3"/>
        <v>P102</v>
      </c>
      <c r="X219" s="29" t="e" cm="1">
        <f t="array" aca="1" ref="X219:AB219" ca="1">_xlfn.XLOOKUP(C219,C:C, _xlfn.HSTACK(L:L,K:K,S:S,Product_master!E:E,Product_master!F:F ))</f>
        <v>#NAME?</v>
      </c>
      <c r="Y219" s="29" t="e">
        <f ca="1"/>
        <v>#NAME?</v>
      </c>
      <c r="Z219" s="29" t="e">
        <f ca="1"/>
        <v>#NAME?</v>
      </c>
      <c r="AA219" s="29" t="e">
        <f ca="1"/>
        <v>#NAME?</v>
      </c>
      <c r="AB219" s="41" t="e">
        <f ca="1"/>
        <v>#NAME?</v>
      </c>
    </row>
    <row r="220" spans="1:28">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c r="W220" s="40" t="str">
        <f t="shared" si="3"/>
        <v>P302</v>
      </c>
      <c r="X220" s="29" t="e" cm="1">
        <f t="array" aca="1" ref="X220:AB220" ca="1">_xlfn.XLOOKUP(C220,C:C, _xlfn.HSTACK(L:L,K:K,S:S,Product_master!E:E,Product_master!F:F ))</f>
        <v>#NAME?</v>
      </c>
      <c r="Y220" s="29" t="e">
        <f ca="1"/>
        <v>#NAME?</v>
      </c>
      <c r="Z220" s="29" t="e">
        <f ca="1"/>
        <v>#NAME?</v>
      </c>
      <c r="AA220" s="29" t="e">
        <f ca="1"/>
        <v>#NAME?</v>
      </c>
      <c r="AB220" s="41" t="e">
        <f ca="1"/>
        <v>#NAME?</v>
      </c>
    </row>
    <row r="221" spans="1:28">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c r="W221" s="40" t="str">
        <f t="shared" si="3"/>
        <v>P203</v>
      </c>
      <c r="X221" s="29" t="e" cm="1">
        <f t="array" aca="1" ref="X221:AB221" ca="1">_xlfn.XLOOKUP(C221,C:C, _xlfn.HSTACK(L:L,K:K,S:S,Product_master!E:E,Product_master!F:F ))</f>
        <v>#NAME?</v>
      </c>
      <c r="Y221" s="29" t="e">
        <f ca="1"/>
        <v>#NAME?</v>
      </c>
      <c r="Z221" s="29" t="e">
        <f ca="1"/>
        <v>#NAME?</v>
      </c>
      <c r="AA221" s="29" t="e">
        <f ca="1"/>
        <v>#NAME?</v>
      </c>
      <c r="AB221" s="41" t="e">
        <f ca="1"/>
        <v>#NAME?</v>
      </c>
    </row>
    <row r="222" spans="1:28">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c r="W222" s="40" t="str">
        <f t="shared" si="3"/>
        <v>P201</v>
      </c>
      <c r="X222" s="29" t="e" cm="1">
        <f t="array" aca="1" ref="X222:AB222" ca="1">_xlfn.XLOOKUP(C222,C:C, _xlfn.HSTACK(L:L,K:K,S:S,Product_master!E:E,Product_master!F:F ))</f>
        <v>#NAME?</v>
      </c>
      <c r="Y222" s="29" t="e">
        <f ca="1"/>
        <v>#NAME?</v>
      </c>
      <c r="Z222" s="29" t="e">
        <f ca="1"/>
        <v>#NAME?</v>
      </c>
      <c r="AA222" s="29" t="e">
        <f ca="1"/>
        <v>#NAME?</v>
      </c>
      <c r="AB222" s="41" t="e">
        <f ca="1"/>
        <v>#NAME?</v>
      </c>
    </row>
    <row r="223" spans="1:28">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c r="W223" s="40" t="str">
        <f t="shared" si="3"/>
        <v>P104</v>
      </c>
      <c r="X223" s="29" t="e" cm="1">
        <f t="array" aca="1" ref="X223:AB223" ca="1">_xlfn.XLOOKUP(C223,C:C, _xlfn.HSTACK(L:L,K:K,S:S,Product_master!E:E,Product_master!F:F ))</f>
        <v>#NAME?</v>
      </c>
      <c r="Y223" s="29" t="e">
        <f ca="1"/>
        <v>#NAME?</v>
      </c>
      <c r="Z223" s="29" t="e">
        <f ca="1"/>
        <v>#NAME?</v>
      </c>
      <c r="AA223" s="29" t="e">
        <f ca="1"/>
        <v>#NAME?</v>
      </c>
      <c r="AB223" s="41" t="e">
        <f ca="1"/>
        <v>#NAME?</v>
      </c>
    </row>
    <row r="224" spans="1:28">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c r="W224" s="40" t="str">
        <f t="shared" si="3"/>
        <v>P303</v>
      </c>
      <c r="X224" s="29" t="e" cm="1">
        <f t="array" aca="1" ref="X224:AB224" ca="1">_xlfn.XLOOKUP(C224,C:C, _xlfn.HSTACK(L:L,K:K,S:S,Product_master!E:E,Product_master!F:F ))</f>
        <v>#NAME?</v>
      </c>
      <c r="Y224" s="29" t="e">
        <f ca="1"/>
        <v>#NAME?</v>
      </c>
      <c r="Z224" s="29" t="e">
        <f ca="1"/>
        <v>#NAME?</v>
      </c>
      <c r="AA224" s="29" t="e">
        <f ca="1"/>
        <v>#NAME?</v>
      </c>
      <c r="AB224" s="41" t="e">
        <f ca="1"/>
        <v>#NAME?</v>
      </c>
    </row>
    <row r="225" spans="1:28">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c r="W225" s="40" t="str">
        <f t="shared" si="3"/>
        <v>P101</v>
      </c>
      <c r="X225" s="29" t="e" cm="1">
        <f t="array" aca="1" ref="X225:AB225" ca="1">_xlfn.XLOOKUP(C225,C:C, _xlfn.HSTACK(L:L,K:K,S:S,Product_master!E:E,Product_master!F:F ))</f>
        <v>#NAME?</v>
      </c>
      <c r="Y225" s="29" t="e">
        <f ca="1"/>
        <v>#NAME?</v>
      </c>
      <c r="Z225" s="29" t="e">
        <f ca="1"/>
        <v>#NAME?</v>
      </c>
      <c r="AA225" s="29" t="e">
        <f ca="1"/>
        <v>#NAME?</v>
      </c>
      <c r="AB225" s="41" t="e">
        <f ca="1"/>
        <v>#NAME?</v>
      </c>
    </row>
    <row r="226" spans="1:28">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c r="W226" s="40" t="str">
        <f t="shared" si="3"/>
        <v>P303</v>
      </c>
      <c r="X226" s="29" t="e" cm="1">
        <f t="array" aca="1" ref="X226:AB226" ca="1">_xlfn.XLOOKUP(C226,C:C, _xlfn.HSTACK(L:L,K:K,S:S,Product_master!E:E,Product_master!F:F ))</f>
        <v>#NAME?</v>
      </c>
      <c r="Y226" s="29" t="e">
        <f ca="1"/>
        <v>#NAME?</v>
      </c>
      <c r="Z226" s="29" t="e">
        <f ca="1"/>
        <v>#NAME?</v>
      </c>
      <c r="AA226" s="29" t="e">
        <f ca="1"/>
        <v>#NAME?</v>
      </c>
      <c r="AB226" s="41" t="e">
        <f ca="1"/>
        <v>#NAME?</v>
      </c>
    </row>
    <row r="227" spans="1:28">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c r="W227" s="40" t="str">
        <f t="shared" si="3"/>
        <v>P302</v>
      </c>
      <c r="X227" s="29" t="e" cm="1">
        <f t="array" aca="1" ref="X227:AB227" ca="1">_xlfn.XLOOKUP(C227,C:C, _xlfn.HSTACK(L:L,K:K,S:S,Product_master!E:E,Product_master!F:F ))</f>
        <v>#NAME?</v>
      </c>
      <c r="Y227" s="29" t="e">
        <f ca="1"/>
        <v>#NAME?</v>
      </c>
      <c r="Z227" s="29" t="e">
        <f ca="1"/>
        <v>#NAME?</v>
      </c>
      <c r="AA227" s="29" t="e">
        <f ca="1"/>
        <v>#NAME?</v>
      </c>
      <c r="AB227" s="41" t="e">
        <f ca="1"/>
        <v>#NAME?</v>
      </c>
    </row>
    <row r="228" spans="1:28">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c r="W228" s="40" t="str">
        <f t="shared" si="3"/>
        <v>P104</v>
      </c>
      <c r="X228" s="29" t="e" cm="1">
        <f t="array" aca="1" ref="X228:AB228" ca="1">_xlfn.XLOOKUP(C228,C:C, _xlfn.HSTACK(L:L,K:K,S:S,Product_master!E:E,Product_master!F:F ))</f>
        <v>#NAME?</v>
      </c>
      <c r="Y228" s="29" t="e">
        <f ca="1"/>
        <v>#NAME?</v>
      </c>
      <c r="Z228" s="29" t="e">
        <f ca="1"/>
        <v>#NAME?</v>
      </c>
      <c r="AA228" s="29" t="e">
        <f ca="1"/>
        <v>#NAME?</v>
      </c>
      <c r="AB228" s="41" t="e">
        <f ca="1"/>
        <v>#NAME?</v>
      </c>
    </row>
    <row r="229" spans="1:28">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c r="W229" s="40" t="str">
        <f t="shared" si="3"/>
        <v>P201</v>
      </c>
      <c r="X229" s="29" t="e" cm="1">
        <f t="array" aca="1" ref="X229:AB229" ca="1">_xlfn.XLOOKUP(C229,C:C, _xlfn.HSTACK(L:L,K:K,S:S,Product_master!E:E,Product_master!F:F ))</f>
        <v>#NAME?</v>
      </c>
      <c r="Y229" s="29" t="e">
        <f ca="1"/>
        <v>#NAME?</v>
      </c>
      <c r="Z229" s="29" t="e">
        <f ca="1"/>
        <v>#NAME?</v>
      </c>
      <c r="AA229" s="29" t="e">
        <f ca="1"/>
        <v>#NAME?</v>
      </c>
      <c r="AB229" s="41" t="e">
        <f ca="1"/>
        <v>#NAME?</v>
      </c>
    </row>
    <row r="230" spans="1:28">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c r="W230" s="40" t="str">
        <f t="shared" si="3"/>
        <v>P102</v>
      </c>
      <c r="X230" s="29" t="e" cm="1">
        <f t="array" aca="1" ref="X230:AB230" ca="1">_xlfn.XLOOKUP(C230,C:C, _xlfn.HSTACK(L:L,K:K,S:S,Product_master!E:E,Product_master!F:F ))</f>
        <v>#NAME?</v>
      </c>
      <c r="Y230" s="29" t="e">
        <f ca="1"/>
        <v>#NAME?</v>
      </c>
      <c r="Z230" s="29" t="e">
        <f ca="1"/>
        <v>#NAME?</v>
      </c>
      <c r="AA230" s="29" t="e">
        <f ca="1"/>
        <v>#NAME?</v>
      </c>
      <c r="AB230" s="41" t="e">
        <f ca="1"/>
        <v>#NAME?</v>
      </c>
    </row>
    <row r="231" spans="1:28">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c r="W231" s="40" t="str">
        <f t="shared" si="3"/>
        <v>P201</v>
      </c>
      <c r="X231" s="29" t="e" cm="1">
        <f t="array" aca="1" ref="X231:AB231" ca="1">_xlfn.XLOOKUP(C231,C:C, _xlfn.HSTACK(L:L,K:K,S:S,Product_master!E:E,Product_master!F:F ))</f>
        <v>#NAME?</v>
      </c>
      <c r="Y231" s="29" t="e">
        <f ca="1"/>
        <v>#NAME?</v>
      </c>
      <c r="Z231" s="29" t="e">
        <f ca="1"/>
        <v>#NAME?</v>
      </c>
      <c r="AA231" s="29" t="e">
        <f ca="1"/>
        <v>#NAME?</v>
      </c>
      <c r="AB231" s="41" t="e">
        <f ca="1"/>
        <v>#NAME?</v>
      </c>
    </row>
    <row r="232" spans="1:28">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c r="W232" s="40" t="str">
        <f t="shared" si="3"/>
        <v>P102</v>
      </c>
      <c r="X232" s="29" t="e" cm="1">
        <f t="array" aca="1" ref="X232:AB232" ca="1">_xlfn.XLOOKUP(C232,C:C, _xlfn.HSTACK(L:L,K:K,S:S,Product_master!E:E,Product_master!F:F ))</f>
        <v>#NAME?</v>
      </c>
      <c r="Y232" s="29" t="e">
        <f ca="1"/>
        <v>#NAME?</v>
      </c>
      <c r="Z232" s="29" t="e">
        <f ca="1"/>
        <v>#NAME?</v>
      </c>
      <c r="AA232" s="29" t="e">
        <f ca="1"/>
        <v>#NAME?</v>
      </c>
      <c r="AB232" s="41" t="e">
        <f ca="1"/>
        <v>#NAME?</v>
      </c>
    </row>
    <row r="233" spans="1:28">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c r="W233" s="40" t="str">
        <f t="shared" si="3"/>
        <v>P201</v>
      </c>
      <c r="X233" s="29" t="e" cm="1">
        <f t="array" aca="1" ref="X233:AB233" ca="1">_xlfn.XLOOKUP(C233,C:C, _xlfn.HSTACK(L:L,K:K,S:S,Product_master!E:E,Product_master!F:F ))</f>
        <v>#NAME?</v>
      </c>
      <c r="Y233" s="29" t="e">
        <f ca="1"/>
        <v>#NAME?</v>
      </c>
      <c r="Z233" s="29" t="e">
        <f ca="1"/>
        <v>#NAME?</v>
      </c>
      <c r="AA233" s="29" t="e">
        <f ca="1"/>
        <v>#NAME?</v>
      </c>
      <c r="AB233" s="41" t="e">
        <f ca="1"/>
        <v>#NAME?</v>
      </c>
    </row>
    <row r="234" spans="1:28">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c r="W234" s="40" t="str">
        <f t="shared" si="3"/>
        <v>P302</v>
      </c>
      <c r="X234" s="29" t="e" cm="1">
        <f t="array" aca="1" ref="X234:AB234" ca="1">_xlfn.XLOOKUP(C234,C:C, _xlfn.HSTACK(L:L,K:K,S:S,Product_master!E:E,Product_master!F:F ))</f>
        <v>#NAME?</v>
      </c>
      <c r="Y234" s="29" t="e">
        <f ca="1"/>
        <v>#NAME?</v>
      </c>
      <c r="Z234" s="29" t="e">
        <f ca="1"/>
        <v>#NAME?</v>
      </c>
      <c r="AA234" s="29" t="e">
        <f ca="1"/>
        <v>#NAME?</v>
      </c>
      <c r="AB234" s="41" t="e">
        <f ca="1"/>
        <v>#NAME?</v>
      </c>
    </row>
    <row r="235" spans="1:28">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c r="W235" s="40" t="str">
        <f t="shared" si="3"/>
        <v>P202</v>
      </c>
      <c r="X235" s="29" t="e" cm="1">
        <f t="array" aca="1" ref="X235:AB235" ca="1">_xlfn.XLOOKUP(C235,C:C, _xlfn.HSTACK(L:L,K:K,S:S,Product_master!E:E,Product_master!F:F ))</f>
        <v>#NAME?</v>
      </c>
      <c r="Y235" s="29" t="e">
        <f ca="1"/>
        <v>#NAME?</v>
      </c>
      <c r="Z235" s="29" t="e">
        <f ca="1"/>
        <v>#NAME?</v>
      </c>
      <c r="AA235" s="29" t="e">
        <f ca="1"/>
        <v>#NAME?</v>
      </c>
      <c r="AB235" s="41" t="e">
        <f ca="1"/>
        <v>#NAME?</v>
      </c>
    </row>
    <row r="236" spans="1:28">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c r="W236" s="40" t="str">
        <f t="shared" si="3"/>
        <v>P302</v>
      </c>
      <c r="X236" s="29" t="e" cm="1">
        <f t="array" aca="1" ref="X236:AB236" ca="1">_xlfn.XLOOKUP(C236,C:C, _xlfn.HSTACK(L:L,K:K,S:S,Product_master!E:E,Product_master!F:F ))</f>
        <v>#NAME?</v>
      </c>
      <c r="Y236" s="29" t="e">
        <f ca="1"/>
        <v>#NAME?</v>
      </c>
      <c r="Z236" s="29" t="e">
        <f ca="1"/>
        <v>#NAME?</v>
      </c>
      <c r="AA236" s="29" t="e">
        <f ca="1"/>
        <v>#NAME?</v>
      </c>
      <c r="AB236" s="41" t="e">
        <f ca="1"/>
        <v>#NAME?</v>
      </c>
    </row>
    <row r="237" spans="1:28">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c r="W237" s="40" t="str">
        <f t="shared" si="3"/>
        <v>P104</v>
      </c>
      <c r="X237" s="29" t="e" cm="1">
        <f t="array" aca="1" ref="X237:AB237" ca="1">_xlfn.XLOOKUP(C237,C:C, _xlfn.HSTACK(L:L,K:K,S:S,Product_master!E:E,Product_master!F:F ))</f>
        <v>#NAME?</v>
      </c>
      <c r="Y237" s="29" t="e">
        <f ca="1"/>
        <v>#NAME?</v>
      </c>
      <c r="Z237" s="29" t="e">
        <f ca="1"/>
        <v>#NAME?</v>
      </c>
      <c r="AA237" s="29" t="e">
        <f ca="1"/>
        <v>#NAME?</v>
      </c>
      <c r="AB237" s="41" t="e">
        <f ca="1"/>
        <v>#NAME?</v>
      </c>
    </row>
    <row r="238" spans="1:28">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c r="W238" s="40" t="str">
        <f t="shared" si="3"/>
        <v>P201</v>
      </c>
      <c r="X238" s="29" t="e" cm="1">
        <f t="array" aca="1" ref="X238:AB238" ca="1">_xlfn.XLOOKUP(C238,C:C, _xlfn.HSTACK(L:L,K:K,S:S,Product_master!E:E,Product_master!F:F ))</f>
        <v>#NAME?</v>
      </c>
      <c r="Y238" s="29" t="e">
        <f ca="1"/>
        <v>#NAME?</v>
      </c>
      <c r="Z238" s="29" t="e">
        <f ca="1"/>
        <v>#NAME?</v>
      </c>
      <c r="AA238" s="29" t="e">
        <f ca="1"/>
        <v>#NAME?</v>
      </c>
      <c r="AB238" s="41" t="e">
        <f ca="1"/>
        <v>#NAME?</v>
      </c>
    </row>
    <row r="239" spans="1:28">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c r="W239" s="40" t="str">
        <f t="shared" si="3"/>
        <v>P303</v>
      </c>
      <c r="X239" s="29" t="e" cm="1">
        <f t="array" aca="1" ref="X239:AB239" ca="1">_xlfn.XLOOKUP(C239,C:C, _xlfn.HSTACK(L:L,K:K,S:S,Product_master!E:E,Product_master!F:F ))</f>
        <v>#NAME?</v>
      </c>
      <c r="Y239" s="29" t="e">
        <f ca="1"/>
        <v>#NAME?</v>
      </c>
      <c r="Z239" s="29" t="e">
        <f ca="1"/>
        <v>#NAME?</v>
      </c>
      <c r="AA239" s="29" t="e">
        <f ca="1"/>
        <v>#NAME?</v>
      </c>
      <c r="AB239" s="41" t="e">
        <f ca="1"/>
        <v>#NAME?</v>
      </c>
    </row>
    <row r="240" spans="1:28">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c r="W240" s="40" t="str">
        <f t="shared" si="3"/>
        <v>P303</v>
      </c>
      <c r="X240" s="29" t="e" cm="1">
        <f t="array" aca="1" ref="X240:AB240" ca="1">_xlfn.XLOOKUP(C240,C:C, _xlfn.HSTACK(L:L,K:K,S:S,Product_master!E:E,Product_master!F:F ))</f>
        <v>#NAME?</v>
      </c>
      <c r="Y240" s="29" t="e">
        <f ca="1"/>
        <v>#NAME?</v>
      </c>
      <c r="Z240" s="29" t="e">
        <f ca="1"/>
        <v>#NAME?</v>
      </c>
      <c r="AA240" s="29" t="e">
        <f ca="1"/>
        <v>#NAME?</v>
      </c>
      <c r="AB240" s="41" t="e">
        <f ca="1"/>
        <v>#NAME?</v>
      </c>
    </row>
    <row r="241" spans="1:28">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c r="W241" s="40" t="str">
        <f t="shared" si="3"/>
        <v>P303</v>
      </c>
      <c r="X241" s="29" t="e" cm="1">
        <f t="array" aca="1" ref="X241:AB241" ca="1">_xlfn.XLOOKUP(C241,C:C, _xlfn.HSTACK(L:L,K:K,S:S,Product_master!E:E,Product_master!F:F ))</f>
        <v>#NAME?</v>
      </c>
      <c r="Y241" s="29" t="e">
        <f ca="1"/>
        <v>#NAME?</v>
      </c>
      <c r="Z241" s="29" t="e">
        <f ca="1"/>
        <v>#NAME?</v>
      </c>
      <c r="AA241" s="29" t="e">
        <f ca="1"/>
        <v>#NAME?</v>
      </c>
      <c r="AB241" s="41" t="e">
        <f ca="1"/>
        <v>#NAME?</v>
      </c>
    </row>
    <row r="242" spans="1:28">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c r="W242" s="40" t="str">
        <f t="shared" si="3"/>
        <v>P203</v>
      </c>
      <c r="X242" s="29" t="e" cm="1">
        <f t="array" aca="1" ref="X242:AB242" ca="1">_xlfn.XLOOKUP(C242,C:C, _xlfn.HSTACK(L:L,K:K,S:S,Product_master!E:E,Product_master!F:F ))</f>
        <v>#NAME?</v>
      </c>
      <c r="Y242" s="29" t="e">
        <f ca="1"/>
        <v>#NAME?</v>
      </c>
      <c r="Z242" s="29" t="e">
        <f ca="1"/>
        <v>#NAME?</v>
      </c>
      <c r="AA242" s="29" t="e">
        <f ca="1"/>
        <v>#NAME?</v>
      </c>
      <c r="AB242" s="41" t="e">
        <f ca="1"/>
        <v>#NAME?</v>
      </c>
    </row>
    <row r="243" spans="1:28">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c r="W243" s="40" t="str">
        <f t="shared" si="3"/>
        <v>P302</v>
      </c>
      <c r="X243" s="29" t="e" cm="1">
        <f t="array" aca="1" ref="X243:AB243" ca="1">_xlfn.XLOOKUP(C243,C:C, _xlfn.HSTACK(L:L,K:K,S:S,Product_master!E:E,Product_master!F:F ))</f>
        <v>#NAME?</v>
      </c>
      <c r="Y243" s="29" t="e">
        <f ca="1"/>
        <v>#NAME?</v>
      </c>
      <c r="Z243" s="29" t="e">
        <f ca="1"/>
        <v>#NAME?</v>
      </c>
      <c r="AA243" s="29" t="e">
        <f ca="1"/>
        <v>#NAME?</v>
      </c>
      <c r="AB243" s="41" t="e">
        <f ca="1"/>
        <v>#NAME?</v>
      </c>
    </row>
    <row r="244" spans="1:28">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c r="W244" s="40" t="str">
        <f t="shared" si="3"/>
        <v>P301</v>
      </c>
      <c r="X244" s="29" t="e" cm="1">
        <f t="array" aca="1" ref="X244:AB244" ca="1">_xlfn.XLOOKUP(C244,C:C, _xlfn.HSTACK(L:L,K:K,S:S,Product_master!E:E,Product_master!F:F ))</f>
        <v>#NAME?</v>
      </c>
      <c r="Y244" s="29" t="e">
        <f ca="1"/>
        <v>#NAME?</v>
      </c>
      <c r="Z244" s="29" t="e">
        <f ca="1"/>
        <v>#NAME?</v>
      </c>
      <c r="AA244" s="29" t="e">
        <f ca="1"/>
        <v>#NAME?</v>
      </c>
      <c r="AB244" s="41" t="e">
        <f ca="1"/>
        <v>#NAME?</v>
      </c>
    </row>
    <row r="245" spans="1:28">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c r="W245" s="40" t="str">
        <f t="shared" si="3"/>
        <v>P103</v>
      </c>
      <c r="X245" s="29" t="e" cm="1">
        <f t="array" aca="1" ref="X245:AB245" ca="1">_xlfn.XLOOKUP(C245,C:C, _xlfn.HSTACK(L:L,K:K,S:S,Product_master!E:E,Product_master!F:F ))</f>
        <v>#NAME?</v>
      </c>
      <c r="Y245" s="29" t="e">
        <f ca="1"/>
        <v>#NAME?</v>
      </c>
      <c r="Z245" s="29" t="e">
        <f ca="1"/>
        <v>#NAME?</v>
      </c>
      <c r="AA245" s="29" t="e">
        <f ca="1"/>
        <v>#NAME?</v>
      </c>
      <c r="AB245" s="41" t="e">
        <f ca="1"/>
        <v>#NAME?</v>
      </c>
    </row>
    <row r="246" spans="1:28">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c r="W246" s="40" t="str">
        <f t="shared" si="3"/>
        <v>P303</v>
      </c>
      <c r="X246" s="29" t="e" cm="1">
        <f t="array" aca="1" ref="X246:AB246" ca="1">_xlfn.XLOOKUP(C246,C:C, _xlfn.HSTACK(L:L,K:K,S:S,Product_master!E:E,Product_master!F:F ))</f>
        <v>#NAME?</v>
      </c>
      <c r="Y246" s="29" t="e">
        <f ca="1"/>
        <v>#NAME?</v>
      </c>
      <c r="Z246" s="29" t="e">
        <f ca="1"/>
        <v>#NAME?</v>
      </c>
      <c r="AA246" s="29" t="e">
        <f ca="1"/>
        <v>#NAME?</v>
      </c>
      <c r="AB246" s="41" t="e">
        <f ca="1"/>
        <v>#NAME?</v>
      </c>
    </row>
    <row r="247" spans="1:28">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c r="W247" s="40" t="str">
        <f t="shared" si="3"/>
        <v>P102</v>
      </c>
      <c r="X247" s="29" t="e" cm="1">
        <f t="array" aca="1" ref="X247:AB247" ca="1">_xlfn.XLOOKUP(C247,C:C, _xlfn.HSTACK(L:L,K:K,S:S,Product_master!E:E,Product_master!F:F ))</f>
        <v>#NAME?</v>
      </c>
      <c r="Y247" s="29" t="e">
        <f ca="1"/>
        <v>#NAME?</v>
      </c>
      <c r="Z247" s="29" t="e">
        <f ca="1"/>
        <v>#NAME?</v>
      </c>
      <c r="AA247" s="29" t="e">
        <f ca="1"/>
        <v>#NAME?</v>
      </c>
      <c r="AB247" s="41" t="e">
        <f ca="1"/>
        <v>#NAME?</v>
      </c>
    </row>
    <row r="248" spans="1:28">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c r="W248" s="40" t="str">
        <f t="shared" si="3"/>
        <v>P301</v>
      </c>
      <c r="X248" s="29" t="e" cm="1">
        <f t="array" aca="1" ref="X248:AB248" ca="1">_xlfn.XLOOKUP(C248,C:C, _xlfn.HSTACK(L:L,K:K,S:S,Product_master!E:E,Product_master!F:F ))</f>
        <v>#NAME?</v>
      </c>
      <c r="Y248" s="29" t="e">
        <f ca="1"/>
        <v>#NAME?</v>
      </c>
      <c r="Z248" s="29" t="e">
        <f ca="1"/>
        <v>#NAME?</v>
      </c>
      <c r="AA248" s="29" t="e">
        <f ca="1"/>
        <v>#NAME?</v>
      </c>
      <c r="AB248" s="41" t="e">
        <f ca="1"/>
        <v>#NAME?</v>
      </c>
    </row>
    <row r="249" spans="1:28">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c r="W249" s="40" t="str">
        <f t="shared" si="3"/>
        <v>P202</v>
      </c>
      <c r="X249" s="29" t="e" cm="1">
        <f t="array" aca="1" ref="X249:AB249" ca="1">_xlfn.XLOOKUP(C249,C:C, _xlfn.HSTACK(L:L,K:K,S:S,Product_master!E:E,Product_master!F:F ))</f>
        <v>#NAME?</v>
      </c>
      <c r="Y249" s="29" t="e">
        <f ca="1"/>
        <v>#NAME?</v>
      </c>
      <c r="Z249" s="29" t="e">
        <f ca="1"/>
        <v>#NAME?</v>
      </c>
      <c r="AA249" s="29" t="e">
        <f ca="1"/>
        <v>#NAME?</v>
      </c>
      <c r="AB249" s="41" t="e">
        <f ca="1"/>
        <v>#NAME?</v>
      </c>
    </row>
    <row r="250" spans="1:28">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c r="W250" s="40" t="str">
        <f t="shared" si="3"/>
        <v>P202</v>
      </c>
      <c r="X250" s="29" t="e" cm="1">
        <f t="array" aca="1" ref="X250:AB250" ca="1">_xlfn.XLOOKUP(C250,C:C, _xlfn.HSTACK(L:L,K:K,S:S,Product_master!E:E,Product_master!F:F ))</f>
        <v>#NAME?</v>
      </c>
      <c r="Y250" s="29" t="e">
        <f ca="1"/>
        <v>#NAME?</v>
      </c>
      <c r="Z250" s="29" t="e">
        <f ca="1"/>
        <v>#NAME?</v>
      </c>
      <c r="AA250" s="29" t="e">
        <f ca="1"/>
        <v>#NAME?</v>
      </c>
      <c r="AB250" s="41" t="e">
        <f ca="1"/>
        <v>#NAME?</v>
      </c>
    </row>
    <row r="251" spans="1:28">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c r="W251" s="40" t="str">
        <f t="shared" si="3"/>
        <v>P203</v>
      </c>
      <c r="X251" s="29" t="e" cm="1">
        <f t="array" aca="1" ref="X251:AB251" ca="1">_xlfn.XLOOKUP(C251,C:C, _xlfn.HSTACK(L:L,K:K,S:S,Product_master!E:E,Product_master!F:F ))</f>
        <v>#NAME?</v>
      </c>
      <c r="Y251" s="29" t="e">
        <f ca="1"/>
        <v>#NAME?</v>
      </c>
      <c r="Z251" s="29" t="e">
        <f ca="1"/>
        <v>#NAME?</v>
      </c>
      <c r="AA251" s="29" t="e">
        <f ca="1"/>
        <v>#NAME?</v>
      </c>
      <c r="AB251" s="41" t="e">
        <f ca="1"/>
        <v>#NAME?</v>
      </c>
    </row>
    <row r="252" spans="1:28">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c r="W252" s="40" t="str">
        <f t="shared" si="3"/>
        <v>P202</v>
      </c>
      <c r="X252" s="29" t="e" cm="1">
        <f t="array" aca="1" ref="X252:AB252" ca="1">_xlfn.XLOOKUP(C252,C:C, _xlfn.HSTACK(L:L,K:K,S:S,Product_master!E:E,Product_master!F:F ))</f>
        <v>#NAME?</v>
      </c>
      <c r="Y252" s="29" t="e">
        <f ca="1"/>
        <v>#NAME?</v>
      </c>
      <c r="Z252" s="29" t="e">
        <f ca="1"/>
        <v>#NAME?</v>
      </c>
      <c r="AA252" s="29" t="e">
        <f ca="1"/>
        <v>#NAME?</v>
      </c>
      <c r="AB252" s="41" t="e">
        <f ca="1"/>
        <v>#NAME?</v>
      </c>
    </row>
    <row r="253" spans="1:28">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c r="W253" s="40" t="str">
        <f t="shared" si="3"/>
        <v>P203</v>
      </c>
      <c r="X253" s="29" t="e" cm="1">
        <f t="array" aca="1" ref="X253:AB253" ca="1">_xlfn.XLOOKUP(C253,C:C, _xlfn.HSTACK(L:L,K:K,S:S,Product_master!E:E,Product_master!F:F ))</f>
        <v>#NAME?</v>
      </c>
      <c r="Y253" s="29" t="e">
        <f ca="1"/>
        <v>#NAME?</v>
      </c>
      <c r="Z253" s="29" t="e">
        <f ca="1"/>
        <v>#NAME?</v>
      </c>
      <c r="AA253" s="29" t="e">
        <f ca="1"/>
        <v>#NAME?</v>
      </c>
      <c r="AB253" s="41" t="e">
        <f ca="1"/>
        <v>#NAME?</v>
      </c>
    </row>
    <row r="254" spans="1:28">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c r="W254" s="40" t="str">
        <f t="shared" si="3"/>
        <v>P103</v>
      </c>
      <c r="X254" s="29" t="e" cm="1">
        <f t="array" aca="1" ref="X254:AB254" ca="1">_xlfn.XLOOKUP(C254,C:C, _xlfn.HSTACK(L:L,K:K,S:S,Product_master!E:E,Product_master!F:F ))</f>
        <v>#NAME?</v>
      </c>
      <c r="Y254" s="29" t="e">
        <f ca="1"/>
        <v>#NAME?</v>
      </c>
      <c r="Z254" s="29" t="e">
        <f ca="1"/>
        <v>#NAME?</v>
      </c>
      <c r="AA254" s="29" t="e">
        <f ca="1"/>
        <v>#NAME?</v>
      </c>
      <c r="AB254" s="41" t="e">
        <f ca="1"/>
        <v>#NAME?</v>
      </c>
    </row>
    <row r="255" spans="1:28">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c r="W255" s="40" t="str">
        <f t="shared" si="3"/>
        <v>P104</v>
      </c>
      <c r="X255" s="29" t="e" cm="1">
        <f t="array" aca="1" ref="X255:AB255" ca="1">_xlfn.XLOOKUP(C255,C:C, _xlfn.HSTACK(L:L,K:K,S:S,Product_master!E:E,Product_master!F:F ))</f>
        <v>#NAME?</v>
      </c>
      <c r="Y255" s="29" t="e">
        <f ca="1"/>
        <v>#NAME?</v>
      </c>
      <c r="Z255" s="29" t="e">
        <f ca="1"/>
        <v>#NAME?</v>
      </c>
      <c r="AA255" s="29" t="e">
        <f ca="1"/>
        <v>#NAME?</v>
      </c>
      <c r="AB255" s="41" t="e">
        <f ca="1"/>
        <v>#NAME?</v>
      </c>
    </row>
    <row r="256" spans="1:28">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c r="W256" s="40" t="str">
        <f t="shared" si="3"/>
        <v>P104</v>
      </c>
      <c r="X256" s="29" t="e" cm="1">
        <f t="array" aca="1" ref="X256:AB256" ca="1">_xlfn.XLOOKUP(C256,C:C, _xlfn.HSTACK(L:L,K:K,S:S,Product_master!E:E,Product_master!F:F ))</f>
        <v>#NAME?</v>
      </c>
      <c r="Y256" s="29" t="e">
        <f ca="1"/>
        <v>#NAME?</v>
      </c>
      <c r="Z256" s="29" t="e">
        <f ca="1"/>
        <v>#NAME?</v>
      </c>
      <c r="AA256" s="29" t="e">
        <f ca="1"/>
        <v>#NAME?</v>
      </c>
      <c r="AB256" s="41" t="e">
        <f ca="1"/>
        <v>#NAME?</v>
      </c>
    </row>
    <row r="257" spans="1:28">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c r="W257" s="40" t="str">
        <f t="shared" si="3"/>
        <v>P104</v>
      </c>
      <c r="X257" s="29" t="e" cm="1">
        <f t="array" aca="1" ref="X257:AB257" ca="1">_xlfn.XLOOKUP(C257,C:C, _xlfn.HSTACK(L:L,K:K,S:S,Product_master!E:E,Product_master!F:F ))</f>
        <v>#NAME?</v>
      </c>
      <c r="Y257" s="29" t="e">
        <f ca="1"/>
        <v>#NAME?</v>
      </c>
      <c r="Z257" s="29" t="e">
        <f ca="1"/>
        <v>#NAME?</v>
      </c>
      <c r="AA257" s="29" t="e">
        <f ca="1"/>
        <v>#NAME?</v>
      </c>
      <c r="AB257" s="41" t="e">
        <f ca="1"/>
        <v>#NAME?</v>
      </c>
    </row>
    <row r="258" spans="1:28">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c r="W258" s="40" t="str">
        <f t="shared" si="3"/>
        <v>P104</v>
      </c>
      <c r="X258" s="29" t="e" cm="1">
        <f t="array" aca="1" ref="X258:AB258" ca="1">_xlfn.XLOOKUP(C258,C:C, _xlfn.HSTACK(L:L,K:K,S:S,Product_master!E:E,Product_master!F:F ))</f>
        <v>#NAME?</v>
      </c>
      <c r="Y258" s="29" t="e">
        <f ca="1"/>
        <v>#NAME?</v>
      </c>
      <c r="Z258" s="29" t="e">
        <f ca="1"/>
        <v>#NAME?</v>
      </c>
      <c r="AA258" s="29" t="e">
        <f ca="1"/>
        <v>#NAME?</v>
      </c>
      <c r="AB258" s="41" t="e">
        <f ca="1"/>
        <v>#NAME?</v>
      </c>
    </row>
    <row r="259" spans="1:28">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c r="W259" s="40" t="str">
        <f t="shared" ref="W259:W322" si="4">C259</f>
        <v>P201</v>
      </c>
      <c r="X259" s="29" t="e" cm="1">
        <f t="array" aca="1" ref="X259:AB259" ca="1">_xlfn.XLOOKUP(C259,C:C, _xlfn.HSTACK(L:L,K:K,S:S,Product_master!E:E,Product_master!F:F ))</f>
        <v>#NAME?</v>
      </c>
      <c r="Y259" s="29" t="e">
        <f ca="1"/>
        <v>#NAME?</v>
      </c>
      <c r="Z259" s="29" t="e">
        <f ca="1"/>
        <v>#NAME?</v>
      </c>
      <c r="AA259" s="29" t="e">
        <f ca="1"/>
        <v>#NAME?</v>
      </c>
      <c r="AB259" s="41" t="e">
        <f ca="1"/>
        <v>#NAME?</v>
      </c>
    </row>
    <row r="260" spans="1:28">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c r="W260" s="40" t="str">
        <f t="shared" si="4"/>
        <v>P202</v>
      </c>
      <c r="X260" s="29" t="e" cm="1">
        <f t="array" aca="1" ref="X260:AB260" ca="1">_xlfn.XLOOKUP(C260,C:C, _xlfn.HSTACK(L:L,K:K,S:S,Product_master!E:E,Product_master!F:F ))</f>
        <v>#NAME?</v>
      </c>
      <c r="Y260" s="29" t="e">
        <f ca="1"/>
        <v>#NAME?</v>
      </c>
      <c r="Z260" s="29" t="e">
        <f ca="1"/>
        <v>#NAME?</v>
      </c>
      <c r="AA260" s="29" t="e">
        <f ca="1"/>
        <v>#NAME?</v>
      </c>
      <c r="AB260" s="41" t="e">
        <f ca="1"/>
        <v>#NAME?</v>
      </c>
    </row>
    <row r="261" spans="1:28">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c r="W261" s="40" t="str">
        <f t="shared" si="4"/>
        <v>P102</v>
      </c>
      <c r="X261" s="29" t="e" cm="1">
        <f t="array" aca="1" ref="X261:AB261" ca="1">_xlfn.XLOOKUP(C261,C:C, _xlfn.HSTACK(L:L,K:K,S:S,Product_master!E:E,Product_master!F:F ))</f>
        <v>#NAME?</v>
      </c>
      <c r="Y261" s="29" t="e">
        <f ca="1"/>
        <v>#NAME?</v>
      </c>
      <c r="Z261" s="29" t="e">
        <f ca="1"/>
        <v>#NAME?</v>
      </c>
      <c r="AA261" s="29" t="e">
        <f ca="1"/>
        <v>#NAME?</v>
      </c>
      <c r="AB261" s="41" t="e">
        <f ca="1"/>
        <v>#NAME?</v>
      </c>
    </row>
    <row r="262" spans="1:28">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c r="W262" s="40" t="str">
        <f t="shared" si="4"/>
        <v>P302</v>
      </c>
      <c r="X262" s="29" t="e" cm="1">
        <f t="array" aca="1" ref="X262:AB262" ca="1">_xlfn.XLOOKUP(C262,C:C, _xlfn.HSTACK(L:L,K:K,S:S,Product_master!E:E,Product_master!F:F ))</f>
        <v>#NAME?</v>
      </c>
      <c r="Y262" s="29" t="e">
        <f ca="1"/>
        <v>#NAME?</v>
      </c>
      <c r="Z262" s="29" t="e">
        <f ca="1"/>
        <v>#NAME?</v>
      </c>
      <c r="AA262" s="29" t="e">
        <f ca="1"/>
        <v>#NAME?</v>
      </c>
      <c r="AB262" s="41" t="e">
        <f ca="1"/>
        <v>#NAME?</v>
      </c>
    </row>
    <row r="263" spans="1:28">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c r="W263" s="40" t="str">
        <f t="shared" si="4"/>
        <v>P104</v>
      </c>
      <c r="X263" s="29" t="e" cm="1">
        <f t="array" aca="1" ref="X263:AB263" ca="1">_xlfn.XLOOKUP(C263,C:C, _xlfn.HSTACK(L:L,K:K,S:S,Product_master!E:E,Product_master!F:F ))</f>
        <v>#NAME?</v>
      </c>
      <c r="Y263" s="29" t="e">
        <f ca="1"/>
        <v>#NAME?</v>
      </c>
      <c r="Z263" s="29" t="e">
        <f ca="1"/>
        <v>#NAME?</v>
      </c>
      <c r="AA263" s="29" t="e">
        <f ca="1"/>
        <v>#NAME?</v>
      </c>
      <c r="AB263" s="41" t="e">
        <f ca="1"/>
        <v>#NAME?</v>
      </c>
    </row>
    <row r="264" spans="1:28">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c r="W264" s="40" t="str">
        <f t="shared" si="4"/>
        <v>P202</v>
      </c>
      <c r="X264" s="29" t="e" cm="1">
        <f t="array" aca="1" ref="X264:AB264" ca="1">_xlfn.XLOOKUP(C264,C:C, _xlfn.HSTACK(L:L,K:K,S:S,Product_master!E:E,Product_master!F:F ))</f>
        <v>#NAME?</v>
      </c>
      <c r="Y264" s="29" t="e">
        <f ca="1"/>
        <v>#NAME?</v>
      </c>
      <c r="Z264" s="29" t="e">
        <f ca="1"/>
        <v>#NAME?</v>
      </c>
      <c r="AA264" s="29" t="e">
        <f ca="1"/>
        <v>#NAME?</v>
      </c>
      <c r="AB264" s="41" t="e">
        <f ca="1"/>
        <v>#NAME?</v>
      </c>
    </row>
    <row r="265" spans="1:28">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c r="W265" s="40" t="str">
        <f t="shared" si="4"/>
        <v>P101</v>
      </c>
      <c r="X265" s="29" t="e" cm="1">
        <f t="array" aca="1" ref="X265:AB265" ca="1">_xlfn.XLOOKUP(C265,C:C, _xlfn.HSTACK(L:L,K:K,S:S,Product_master!E:E,Product_master!F:F ))</f>
        <v>#NAME?</v>
      </c>
      <c r="Y265" s="29" t="e">
        <f ca="1"/>
        <v>#NAME?</v>
      </c>
      <c r="Z265" s="29" t="e">
        <f ca="1"/>
        <v>#NAME?</v>
      </c>
      <c r="AA265" s="29" t="e">
        <f ca="1"/>
        <v>#NAME?</v>
      </c>
      <c r="AB265" s="41" t="e">
        <f ca="1"/>
        <v>#NAME?</v>
      </c>
    </row>
    <row r="266" spans="1:28">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c r="W266" s="40" t="str">
        <f t="shared" si="4"/>
        <v>P203</v>
      </c>
      <c r="X266" s="29" t="e" cm="1">
        <f t="array" aca="1" ref="X266:AB266" ca="1">_xlfn.XLOOKUP(C266,C:C, _xlfn.HSTACK(L:L,K:K,S:S,Product_master!E:E,Product_master!F:F ))</f>
        <v>#NAME?</v>
      </c>
      <c r="Y266" s="29" t="e">
        <f ca="1"/>
        <v>#NAME?</v>
      </c>
      <c r="Z266" s="29" t="e">
        <f ca="1"/>
        <v>#NAME?</v>
      </c>
      <c r="AA266" s="29" t="e">
        <f ca="1"/>
        <v>#NAME?</v>
      </c>
      <c r="AB266" s="41" t="e">
        <f ca="1"/>
        <v>#NAME?</v>
      </c>
    </row>
    <row r="267" spans="1:28">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c r="W267" s="40" t="str">
        <f t="shared" si="4"/>
        <v>P302</v>
      </c>
      <c r="X267" s="29" t="e" cm="1">
        <f t="array" aca="1" ref="X267:AB267" ca="1">_xlfn.XLOOKUP(C267,C:C, _xlfn.HSTACK(L:L,K:K,S:S,Product_master!E:E,Product_master!F:F ))</f>
        <v>#NAME?</v>
      </c>
      <c r="Y267" s="29" t="e">
        <f ca="1"/>
        <v>#NAME?</v>
      </c>
      <c r="Z267" s="29" t="e">
        <f ca="1"/>
        <v>#NAME?</v>
      </c>
      <c r="AA267" s="29" t="e">
        <f ca="1"/>
        <v>#NAME?</v>
      </c>
      <c r="AB267" s="41" t="e">
        <f ca="1"/>
        <v>#NAME?</v>
      </c>
    </row>
    <row r="268" spans="1:28">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c r="W268" s="40" t="str">
        <f t="shared" si="4"/>
        <v>P301</v>
      </c>
      <c r="X268" s="29" t="e" cm="1">
        <f t="array" aca="1" ref="X268:AB268" ca="1">_xlfn.XLOOKUP(C268,C:C, _xlfn.HSTACK(L:L,K:K,S:S,Product_master!E:E,Product_master!F:F ))</f>
        <v>#NAME?</v>
      </c>
      <c r="Y268" s="29" t="e">
        <f ca="1"/>
        <v>#NAME?</v>
      </c>
      <c r="Z268" s="29" t="e">
        <f ca="1"/>
        <v>#NAME?</v>
      </c>
      <c r="AA268" s="29" t="e">
        <f ca="1"/>
        <v>#NAME?</v>
      </c>
      <c r="AB268" s="41" t="e">
        <f ca="1"/>
        <v>#NAME?</v>
      </c>
    </row>
    <row r="269" spans="1:28">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c r="W269" s="40" t="str">
        <f t="shared" si="4"/>
        <v>P203</v>
      </c>
      <c r="X269" s="29" t="e" cm="1">
        <f t="array" aca="1" ref="X269:AB269" ca="1">_xlfn.XLOOKUP(C269,C:C, _xlfn.HSTACK(L:L,K:K,S:S,Product_master!E:E,Product_master!F:F ))</f>
        <v>#NAME?</v>
      </c>
      <c r="Y269" s="29" t="e">
        <f ca="1"/>
        <v>#NAME?</v>
      </c>
      <c r="Z269" s="29" t="e">
        <f ca="1"/>
        <v>#NAME?</v>
      </c>
      <c r="AA269" s="29" t="e">
        <f ca="1"/>
        <v>#NAME?</v>
      </c>
      <c r="AB269" s="41" t="e">
        <f ca="1"/>
        <v>#NAME?</v>
      </c>
    </row>
    <row r="270" spans="1:28">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c r="W270" s="40" t="str">
        <f t="shared" si="4"/>
        <v>P101</v>
      </c>
      <c r="X270" s="29" t="e" cm="1">
        <f t="array" aca="1" ref="X270:AB270" ca="1">_xlfn.XLOOKUP(C270,C:C, _xlfn.HSTACK(L:L,K:K,S:S,Product_master!E:E,Product_master!F:F ))</f>
        <v>#NAME?</v>
      </c>
      <c r="Y270" s="29" t="e">
        <f ca="1"/>
        <v>#NAME?</v>
      </c>
      <c r="Z270" s="29" t="e">
        <f ca="1"/>
        <v>#NAME?</v>
      </c>
      <c r="AA270" s="29" t="e">
        <f ca="1"/>
        <v>#NAME?</v>
      </c>
      <c r="AB270" s="41" t="e">
        <f ca="1"/>
        <v>#NAME?</v>
      </c>
    </row>
    <row r="271" spans="1:28">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c r="W271" s="40" t="str">
        <f t="shared" si="4"/>
        <v>P104</v>
      </c>
      <c r="X271" s="29" t="e" cm="1">
        <f t="array" aca="1" ref="X271:AB271" ca="1">_xlfn.XLOOKUP(C271,C:C, _xlfn.HSTACK(L:L,K:K,S:S,Product_master!E:E,Product_master!F:F ))</f>
        <v>#NAME?</v>
      </c>
      <c r="Y271" s="29" t="e">
        <f ca="1"/>
        <v>#NAME?</v>
      </c>
      <c r="Z271" s="29" t="e">
        <f ca="1"/>
        <v>#NAME?</v>
      </c>
      <c r="AA271" s="29" t="e">
        <f ca="1"/>
        <v>#NAME?</v>
      </c>
      <c r="AB271" s="41" t="e">
        <f ca="1"/>
        <v>#NAME?</v>
      </c>
    </row>
    <row r="272" spans="1:28">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c r="W272" s="40" t="str">
        <f t="shared" si="4"/>
        <v>P203</v>
      </c>
      <c r="X272" s="29" t="e" cm="1">
        <f t="array" aca="1" ref="X272:AB272" ca="1">_xlfn.XLOOKUP(C272,C:C, _xlfn.HSTACK(L:L,K:K,S:S,Product_master!E:E,Product_master!F:F ))</f>
        <v>#NAME?</v>
      </c>
      <c r="Y272" s="29" t="e">
        <f ca="1"/>
        <v>#NAME?</v>
      </c>
      <c r="Z272" s="29" t="e">
        <f ca="1"/>
        <v>#NAME?</v>
      </c>
      <c r="AA272" s="29" t="e">
        <f ca="1"/>
        <v>#NAME?</v>
      </c>
      <c r="AB272" s="41" t="e">
        <f ca="1"/>
        <v>#NAME?</v>
      </c>
    </row>
    <row r="273" spans="1:28">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c r="W273" s="40" t="str">
        <f t="shared" si="4"/>
        <v>P302</v>
      </c>
      <c r="X273" s="29" t="e" cm="1">
        <f t="array" aca="1" ref="X273:AB273" ca="1">_xlfn.XLOOKUP(C273,C:C, _xlfn.HSTACK(L:L,K:K,S:S,Product_master!E:E,Product_master!F:F ))</f>
        <v>#NAME?</v>
      </c>
      <c r="Y273" s="29" t="e">
        <f ca="1"/>
        <v>#NAME?</v>
      </c>
      <c r="Z273" s="29" t="e">
        <f ca="1"/>
        <v>#NAME?</v>
      </c>
      <c r="AA273" s="29" t="e">
        <f ca="1"/>
        <v>#NAME?</v>
      </c>
      <c r="AB273" s="41" t="e">
        <f ca="1"/>
        <v>#NAME?</v>
      </c>
    </row>
    <row r="274" spans="1:28">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c r="W274" s="40" t="str">
        <f t="shared" si="4"/>
        <v>P301</v>
      </c>
      <c r="X274" s="29" t="e" cm="1">
        <f t="array" aca="1" ref="X274:AB274" ca="1">_xlfn.XLOOKUP(C274,C:C, _xlfn.HSTACK(L:L,K:K,S:S,Product_master!E:E,Product_master!F:F ))</f>
        <v>#NAME?</v>
      </c>
      <c r="Y274" s="29" t="e">
        <f ca="1"/>
        <v>#NAME?</v>
      </c>
      <c r="Z274" s="29" t="e">
        <f ca="1"/>
        <v>#NAME?</v>
      </c>
      <c r="AA274" s="29" t="e">
        <f ca="1"/>
        <v>#NAME?</v>
      </c>
      <c r="AB274" s="41" t="e">
        <f ca="1"/>
        <v>#NAME?</v>
      </c>
    </row>
    <row r="275" spans="1:28">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c r="W275" s="40" t="str">
        <f t="shared" si="4"/>
        <v>P302</v>
      </c>
      <c r="X275" s="29" t="e" cm="1">
        <f t="array" aca="1" ref="X275:AB275" ca="1">_xlfn.XLOOKUP(C275,C:C, _xlfn.HSTACK(L:L,K:K,S:S,Product_master!E:E,Product_master!F:F ))</f>
        <v>#NAME?</v>
      </c>
      <c r="Y275" s="29" t="e">
        <f ca="1"/>
        <v>#NAME?</v>
      </c>
      <c r="Z275" s="29" t="e">
        <f ca="1"/>
        <v>#NAME?</v>
      </c>
      <c r="AA275" s="29" t="e">
        <f ca="1"/>
        <v>#NAME?</v>
      </c>
      <c r="AB275" s="41" t="e">
        <f ca="1"/>
        <v>#NAME?</v>
      </c>
    </row>
    <row r="276" spans="1:28">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c r="W276" s="40" t="str">
        <f t="shared" si="4"/>
        <v>P302</v>
      </c>
      <c r="X276" s="29" t="e" cm="1">
        <f t="array" aca="1" ref="X276:AB276" ca="1">_xlfn.XLOOKUP(C276,C:C, _xlfn.HSTACK(L:L,K:K,S:S,Product_master!E:E,Product_master!F:F ))</f>
        <v>#NAME?</v>
      </c>
      <c r="Y276" s="29" t="e">
        <f ca="1"/>
        <v>#NAME?</v>
      </c>
      <c r="Z276" s="29" t="e">
        <f ca="1"/>
        <v>#NAME?</v>
      </c>
      <c r="AA276" s="29" t="e">
        <f ca="1"/>
        <v>#NAME?</v>
      </c>
      <c r="AB276" s="41" t="e">
        <f ca="1"/>
        <v>#NAME?</v>
      </c>
    </row>
    <row r="277" spans="1:28">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c r="W277" s="40" t="str">
        <f t="shared" si="4"/>
        <v>P303</v>
      </c>
      <c r="X277" s="29" t="e" cm="1">
        <f t="array" aca="1" ref="X277:AB277" ca="1">_xlfn.XLOOKUP(C277,C:C, _xlfn.HSTACK(L:L,K:K,S:S,Product_master!E:E,Product_master!F:F ))</f>
        <v>#NAME?</v>
      </c>
      <c r="Y277" s="29" t="e">
        <f ca="1"/>
        <v>#NAME?</v>
      </c>
      <c r="Z277" s="29" t="e">
        <f ca="1"/>
        <v>#NAME?</v>
      </c>
      <c r="AA277" s="29" t="e">
        <f ca="1"/>
        <v>#NAME?</v>
      </c>
      <c r="AB277" s="41" t="e">
        <f ca="1"/>
        <v>#NAME?</v>
      </c>
    </row>
    <row r="278" spans="1:28">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c r="W278" s="40" t="str">
        <f t="shared" si="4"/>
        <v>P102</v>
      </c>
      <c r="X278" s="29" t="e" cm="1">
        <f t="array" aca="1" ref="X278:AB278" ca="1">_xlfn.XLOOKUP(C278,C:C, _xlfn.HSTACK(L:L,K:K,S:S,Product_master!E:E,Product_master!F:F ))</f>
        <v>#NAME?</v>
      </c>
      <c r="Y278" s="29" t="e">
        <f ca="1"/>
        <v>#NAME?</v>
      </c>
      <c r="Z278" s="29" t="e">
        <f ca="1"/>
        <v>#NAME?</v>
      </c>
      <c r="AA278" s="29" t="e">
        <f ca="1"/>
        <v>#NAME?</v>
      </c>
      <c r="AB278" s="41" t="e">
        <f ca="1"/>
        <v>#NAME?</v>
      </c>
    </row>
    <row r="279" spans="1:28">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c r="W279" s="40" t="str">
        <f t="shared" si="4"/>
        <v>P202</v>
      </c>
      <c r="X279" s="29" t="e" cm="1">
        <f t="array" aca="1" ref="X279:AB279" ca="1">_xlfn.XLOOKUP(C279,C:C, _xlfn.HSTACK(L:L,K:K,S:S,Product_master!E:E,Product_master!F:F ))</f>
        <v>#NAME?</v>
      </c>
      <c r="Y279" s="29" t="e">
        <f ca="1"/>
        <v>#NAME?</v>
      </c>
      <c r="Z279" s="29" t="e">
        <f ca="1"/>
        <v>#NAME?</v>
      </c>
      <c r="AA279" s="29" t="e">
        <f ca="1"/>
        <v>#NAME?</v>
      </c>
      <c r="AB279" s="41" t="e">
        <f ca="1"/>
        <v>#NAME?</v>
      </c>
    </row>
    <row r="280" spans="1:28">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c r="W280" s="40" t="str">
        <f t="shared" si="4"/>
        <v>P202</v>
      </c>
      <c r="X280" s="29" t="e" cm="1">
        <f t="array" aca="1" ref="X280:AB280" ca="1">_xlfn.XLOOKUP(C280,C:C, _xlfn.HSTACK(L:L,K:K,S:S,Product_master!E:E,Product_master!F:F ))</f>
        <v>#NAME?</v>
      </c>
      <c r="Y280" s="29" t="e">
        <f ca="1"/>
        <v>#NAME?</v>
      </c>
      <c r="Z280" s="29" t="e">
        <f ca="1"/>
        <v>#NAME?</v>
      </c>
      <c r="AA280" s="29" t="e">
        <f ca="1"/>
        <v>#NAME?</v>
      </c>
      <c r="AB280" s="41" t="e">
        <f ca="1"/>
        <v>#NAME?</v>
      </c>
    </row>
    <row r="281" spans="1:28">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c r="W281" s="40" t="str">
        <f t="shared" si="4"/>
        <v>P201</v>
      </c>
      <c r="X281" s="29" t="e" cm="1">
        <f t="array" aca="1" ref="X281:AB281" ca="1">_xlfn.XLOOKUP(C281,C:C, _xlfn.HSTACK(L:L,K:K,S:S,Product_master!E:E,Product_master!F:F ))</f>
        <v>#NAME?</v>
      </c>
      <c r="Y281" s="29" t="e">
        <f ca="1"/>
        <v>#NAME?</v>
      </c>
      <c r="Z281" s="29" t="e">
        <f ca="1"/>
        <v>#NAME?</v>
      </c>
      <c r="AA281" s="29" t="e">
        <f ca="1"/>
        <v>#NAME?</v>
      </c>
      <c r="AB281" s="41" t="e">
        <f ca="1"/>
        <v>#NAME?</v>
      </c>
    </row>
    <row r="282" spans="1:28">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c r="W282" s="40" t="str">
        <f t="shared" si="4"/>
        <v>P201</v>
      </c>
      <c r="X282" s="29" t="e" cm="1">
        <f t="array" aca="1" ref="X282:AB282" ca="1">_xlfn.XLOOKUP(C282,C:C, _xlfn.HSTACK(L:L,K:K,S:S,Product_master!E:E,Product_master!F:F ))</f>
        <v>#NAME?</v>
      </c>
      <c r="Y282" s="29" t="e">
        <f ca="1"/>
        <v>#NAME?</v>
      </c>
      <c r="Z282" s="29" t="e">
        <f ca="1"/>
        <v>#NAME?</v>
      </c>
      <c r="AA282" s="29" t="e">
        <f ca="1"/>
        <v>#NAME?</v>
      </c>
      <c r="AB282" s="41" t="e">
        <f ca="1"/>
        <v>#NAME?</v>
      </c>
    </row>
    <row r="283" spans="1:28">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c r="W283" s="40" t="str">
        <f t="shared" si="4"/>
        <v>P104</v>
      </c>
      <c r="X283" s="29" t="e" cm="1">
        <f t="array" aca="1" ref="X283:AB283" ca="1">_xlfn.XLOOKUP(C283,C:C, _xlfn.HSTACK(L:L,K:K,S:S,Product_master!E:E,Product_master!F:F ))</f>
        <v>#NAME?</v>
      </c>
      <c r="Y283" s="29" t="e">
        <f ca="1"/>
        <v>#NAME?</v>
      </c>
      <c r="Z283" s="29" t="e">
        <f ca="1"/>
        <v>#NAME?</v>
      </c>
      <c r="AA283" s="29" t="e">
        <f ca="1"/>
        <v>#NAME?</v>
      </c>
      <c r="AB283" s="41" t="e">
        <f ca="1"/>
        <v>#NAME?</v>
      </c>
    </row>
    <row r="284" spans="1:28">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c r="W284" s="40" t="str">
        <f t="shared" si="4"/>
        <v>P102</v>
      </c>
      <c r="X284" s="29" t="e" cm="1">
        <f t="array" aca="1" ref="X284:AB284" ca="1">_xlfn.XLOOKUP(C284,C:C, _xlfn.HSTACK(L:L,K:K,S:S,Product_master!E:E,Product_master!F:F ))</f>
        <v>#NAME?</v>
      </c>
      <c r="Y284" s="29" t="e">
        <f ca="1"/>
        <v>#NAME?</v>
      </c>
      <c r="Z284" s="29" t="e">
        <f ca="1"/>
        <v>#NAME?</v>
      </c>
      <c r="AA284" s="29" t="e">
        <f ca="1"/>
        <v>#NAME?</v>
      </c>
      <c r="AB284" s="41" t="e">
        <f ca="1"/>
        <v>#NAME?</v>
      </c>
    </row>
    <row r="285" spans="1:28">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c r="W285" s="40" t="str">
        <f t="shared" si="4"/>
        <v>P202</v>
      </c>
      <c r="X285" s="29" t="e" cm="1">
        <f t="array" aca="1" ref="X285:AB285" ca="1">_xlfn.XLOOKUP(C285,C:C, _xlfn.HSTACK(L:L,K:K,S:S,Product_master!E:E,Product_master!F:F ))</f>
        <v>#NAME?</v>
      </c>
      <c r="Y285" s="29" t="e">
        <f ca="1"/>
        <v>#NAME?</v>
      </c>
      <c r="Z285" s="29" t="e">
        <f ca="1"/>
        <v>#NAME?</v>
      </c>
      <c r="AA285" s="29" t="e">
        <f ca="1"/>
        <v>#NAME?</v>
      </c>
      <c r="AB285" s="41" t="e">
        <f ca="1"/>
        <v>#NAME?</v>
      </c>
    </row>
    <row r="286" spans="1:28">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c r="W286" s="40" t="str">
        <f t="shared" si="4"/>
        <v>P303</v>
      </c>
      <c r="X286" s="29" t="e" cm="1">
        <f t="array" aca="1" ref="X286:AB286" ca="1">_xlfn.XLOOKUP(C286,C:C, _xlfn.HSTACK(L:L,K:K,S:S,Product_master!E:E,Product_master!F:F ))</f>
        <v>#NAME?</v>
      </c>
      <c r="Y286" s="29" t="e">
        <f ca="1"/>
        <v>#NAME?</v>
      </c>
      <c r="Z286" s="29" t="e">
        <f ca="1"/>
        <v>#NAME?</v>
      </c>
      <c r="AA286" s="29" t="e">
        <f ca="1"/>
        <v>#NAME?</v>
      </c>
      <c r="AB286" s="41" t="e">
        <f ca="1"/>
        <v>#NAME?</v>
      </c>
    </row>
    <row r="287" spans="1:28">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c r="W287" s="40" t="str">
        <f t="shared" si="4"/>
        <v>P103</v>
      </c>
      <c r="X287" s="29" t="e" cm="1">
        <f t="array" aca="1" ref="X287:AB287" ca="1">_xlfn.XLOOKUP(C287,C:C, _xlfn.HSTACK(L:L,K:K,S:S,Product_master!E:E,Product_master!F:F ))</f>
        <v>#NAME?</v>
      </c>
      <c r="Y287" s="29" t="e">
        <f ca="1"/>
        <v>#NAME?</v>
      </c>
      <c r="Z287" s="29" t="e">
        <f ca="1"/>
        <v>#NAME?</v>
      </c>
      <c r="AA287" s="29" t="e">
        <f ca="1"/>
        <v>#NAME?</v>
      </c>
      <c r="AB287" s="41" t="e">
        <f ca="1"/>
        <v>#NAME?</v>
      </c>
    </row>
    <row r="288" spans="1:28">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c r="W288" s="40" t="str">
        <f t="shared" si="4"/>
        <v>P102</v>
      </c>
      <c r="X288" s="29" t="e" cm="1">
        <f t="array" aca="1" ref="X288:AB288" ca="1">_xlfn.XLOOKUP(C288,C:C, _xlfn.HSTACK(L:L,K:K,S:S,Product_master!E:E,Product_master!F:F ))</f>
        <v>#NAME?</v>
      </c>
      <c r="Y288" s="29" t="e">
        <f ca="1"/>
        <v>#NAME?</v>
      </c>
      <c r="Z288" s="29" t="e">
        <f ca="1"/>
        <v>#NAME?</v>
      </c>
      <c r="AA288" s="29" t="e">
        <f ca="1"/>
        <v>#NAME?</v>
      </c>
      <c r="AB288" s="41" t="e">
        <f ca="1"/>
        <v>#NAME?</v>
      </c>
    </row>
    <row r="289" spans="1:28">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c r="W289" s="40" t="str">
        <f t="shared" si="4"/>
        <v>P302</v>
      </c>
      <c r="X289" s="29" t="e" cm="1">
        <f t="array" aca="1" ref="X289:AB289" ca="1">_xlfn.XLOOKUP(C289,C:C, _xlfn.HSTACK(L:L,K:K,S:S,Product_master!E:E,Product_master!F:F ))</f>
        <v>#NAME?</v>
      </c>
      <c r="Y289" s="29" t="e">
        <f ca="1"/>
        <v>#NAME?</v>
      </c>
      <c r="Z289" s="29" t="e">
        <f ca="1"/>
        <v>#NAME?</v>
      </c>
      <c r="AA289" s="29" t="e">
        <f ca="1"/>
        <v>#NAME?</v>
      </c>
      <c r="AB289" s="41" t="e">
        <f ca="1"/>
        <v>#NAME?</v>
      </c>
    </row>
    <row r="290" spans="1:28">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c r="W290" s="40" t="str">
        <f t="shared" si="4"/>
        <v>P202</v>
      </c>
      <c r="X290" s="29" t="e" cm="1">
        <f t="array" aca="1" ref="X290:AB290" ca="1">_xlfn.XLOOKUP(C290,C:C, _xlfn.HSTACK(L:L,K:K,S:S,Product_master!E:E,Product_master!F:F ))</f>
        <v>#NAME?</v>
      </c>
      <c r="Y290" s="29" t="e">
        <f ca="1"/>
        <v>#NAME?</v>
      </c>
      <c r="Z290" s="29" t="e">
        <f ca="1"/>
        <v>#NAME?</v>
      </c>
      <c r="AA290" s="29" t="e">
        <f ca="1"/>
        <v>#NAME?</v>
      </c>
      <c r="AB290" s="41" t="e">
        <f ca="1"/>
        <v>#NAME?</v>
      </c>
    </row>
    <row r="291" spans="1:28">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c r="W291" s="40" t="str">
        <f t="shared" si="4"/>
        <v>P301</v>
      </c>
      <c r="X291" s="29" t="e" cm="1">
        <f t="array" aca="1" ref="X291:AB291" ca="1">_xlfn.XLOOKUP(C291,C:C, _xlfn.HSTACK(L:L,K:K,S:S,Product_master!E:E,Product_master!F:F ))</f>
        <v>#NAME?</v>
      </c>
      <c r="Y291" s="29" t="e">
        <f ca="1"/>
        <v>#NAME?</v>
      </c>
      <c r="Z291" s="29" t="e">
        <f ca="1"/>
        <v>#NAME?</v>
      </c>
      <c r="AA291" s="29" t="e">
        <f ca="1"/>
        <v>#NAME?</v>
      </c>
      <c r="AB291" s="41" t="e">
        <f ca="1"/>
        <v>#NAME?</v>
      </c>
    </row>
    <row r="292" spans="1:28">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c r="W292" s="40" t="str">
        <f t="shared" si="4"/>
        <v>P201</v>
      </c>
      <c r="X292" s="29" t="e" cm="1">
        <f t="array" aca="1" ref="X292:AB292" ca="1">_xlfn.XLOOKUP(C292,C:C, _xlfn.HSTACK(L:L,K:K,S:S,Product_master!E:E,Product_master!F:F ))</f>
        <v>#NAME?</v>
      </c>
      <c r="Y292" s="29" t="e">
        <f ca="1"/>
        <v>#NAME?</v>
      </c>
      <c r="Z292" s="29" t="e">
        <f ca="1"/>
        <v>#NAME?</v>
      </c>
      <c r="AA292" s="29" t="e">
        <f ca="1"/>
        <v>#NAME?</v>
      </c>
      <c r="AB292" s="41" t="e">
        <f ca="1"/>
        <v>#NAME?</v>
      </c>
    </row>
    <row r="293" spans="1:28">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c r="W293" s="40" t="str">
        <f t="shared" si="4"/>
        <v>P103</v>
      </c>
      <c r="X293" s="29" t="e" cm="1">
        <f t="array" aca="1" ref="X293:AB293" ca="1">_xlfn.XLOOKUP(C293,C:C, _xlfn.HSTACK(L:L,K:K,S:S,Product_master!E:E,Product_master!F:F ))</f>
        <v>#NAME?</v>
      </c>
      <c r="Y293" s="29" t="e">
        <f ca="1"/>
        <v>#NAME?</v>
      </c>
      <c r="Z293" s="29" t="e">
        <f ca="1"/>
        <v>#NAME?</v>
      </c>
      <c r="AA293" s="29" t="e">
        <f ca="1"/>
        <v>#NAME?</v>
      </c>
      <c r="AB293" s="41" t="e">
        <f ca="1"/>
        <v>#NAME?</v>
      </c>
    </row>
    <row r="294" spans="1:28">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c r="W294" s="40" t="str">
        <f t="shared" si="4"/>
        <v>P103</v>
      </c>
      <c r="X294" s="29" t="e" cm="1">
        <f t="array" aca="1" ref="X294:AB294" ca="1">_xlfn.XLOOKUP(C294,C:C, _xlfn.HSTACK(L:L,K:K,S:S,Product_master!E:E,Product_master!F:F ))</f>
        <v>#NAME?</v>
      </c>
      <c r="Y294" s="29" t="e">
        <f ca="1"/>
        <v>#NAME?</v>
      </c>
      <c r="Z294" s="29" t="e">
        <f ca="1"/>
        <v>#NAME?</v>
      </c>
      <c r="AA294" s="29" t="e">
        <f ca="1"/>
        <v>#NAME?</v>
      </c>
      <c r="AB294" s="41" t="e">
        <f ca="1"/>
        <v>#NAME?</v>
      </c>
    </row>
    <row r="295" spans="1:28">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c r="W295" s="40" t="str">
        <f t="shared" si="4"/>
        <v>P103</v>
      </c>
      <c r="X295" s="29" t="e" cm="1">
        <f t="array" aca="1" ref="X295:AB295" ca="1">_xlfn.XLOOKUP(C295,C:C, _xlfn.HSTACK(L:L,K:K,S:S,Product_master!E:E,Product_master!F:F ))</f>
        <v>#NAME?</v>
      </c>
      <c r="Y295" s="29" t="e">
        <f ca="1"/>
        <v>#NAME?</v>
      </c>
      <c r="Z295" s="29" t="e">
        <f ca="1"/>
        <v>#NAME?</v>
      </c>
      <c r="AA295" s="29" t="e">
        <f ca="1"/>
        <v>#NAME?</v>
      </c>
      <c r="AB295" s="41" t="e">
        <f ca="1"/>
        <v>#NAME?</v>
      </c>
    </row>
    <row r="296" spans="1:28">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c r="W296" s="40" t="str">
        <f t="shared" si="4"/>
        <v>P302</v>
      </c>
      <c r="X296" s="29" t="e" cm="1">
        <f t="array" aca="1" ref="X296:AB296" ca="1">_xlfn.XLOOKUP(C296,C:C, _xlfn.HSTACK(L:L,K:K,S:S,Product_master!E:E,Product_master!F:F ))</f>
        <v>#NAME?</v>
      </c>
      <c r="Y296" s="29" t="e">
        <f ca="1"/>
        <v>#NAME?</v>
      </c>
      <c r="Z296" s="29" t="e">
        <f ca="1"/>
        <v>#NAME?</v>
      </c>
      <c r="AA296" s="29" t="e">
        <f ca="1"/>
        <v>#NAME?</v>
      </c>
      <c r="AB296" s="41" t="e">
        <f ca="1"/>
        <v>#NAME?</v>
      </c>
    </row>
    <row r="297" spans="1:28">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c r="W297" s="40" t="str">
        <f t="shared" si="4"/>
        <v>P301</v>
      </c>
      <c r="X297" s="29" t="e" cm="1">
        <f t="array" aca="1" ref="X297:AB297" ca="1">_xlfn.XLOOKUP(C297,C:C, _xlfn.HSTACK(L:L,K:K,S:S,Product_master!E:E,Product_master!F:F ))</f>
        <v>#NAME?</v>
      </c>
      <c r="Y297" s="29" t="e">
        <f ca="1"/>
        <v>#NAME?</v>
      </c>
      <c r="Z297" s="29" t="e">
        <f ca="1"/>
        <v>#NAME?</v>
      </c>
      <c r="AA297" s="29" t="e">
        <f ca="1"/>
        <v>#NAME?</v>
      </c>
      <c r="AB297" s="41" t="e">
        <f ca="1"/>
        <v>#NAME?</v>
      </c>
    </row>
    <row r="298" spans="1:28">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c r="W298" s="40" t="str">
        <f t="shared" si="4"/>
        <v>P202</v>
      </c>
      <c r="X298" s="29" t="e" cm="1">
        <f t="array" aca="1" ref="X298:AB298" ca="1">_xlfn.XLOOKUP(C298,C:C, _xlfn.HSTACK(L:L,K:K,S:S,Product_master!E:E,Product_master!F:F ))</f>
        <v>#NAME?</v>
      </c>
      <c r="Y298" s="29" t="e">
        <f ca="1"/>
        <v>#NAME?</v>
      </c>
      <c r="Z298" s="29" t="e">
        <f ca="1"/>
        <v>#NAME?</v>
      </c>
      <c r="AA298" s="29" t="e">
        <f ca="1"/>
        <v>#NAME?</v>
      </c>
      <c r="AB298" s="41" t="e">
        <f ca="1"/>
        <v>#NAME?</v>
      </c>
    </row>
    <row r="299" spans="1:28">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c r="W299" s="40" t="str">
        <f t="shared" si="4"/>
        <v>P101</v>
      </c>
      <c r="X299" s="29" t="e" cm="1">
        <f t="array" aca="1" ref="X299:AB299" ca="1">_xlfn.XLOOKUP(C299,C:C, _xlfn.HSTACK(L:L,K:K,S:S,Product_master!E:E,Product_master!F:F ))</f>
        <v>#NAME?</v>
      </c>
      <c r="Y299" s="29" t="e">
        <f ca="1"/>
        <v>#NAME?</v>
      </c>
      <c r="Z299" s="29" t="e">
        <f ca="1"/>
        <v>#NAME?</v>
      </c>
      <c r="AA299" s="29" t="e">
        <f ca="1"/>
        <v>#NAME?</v>
      </c>
      <c r="AB299" s="41" t="e">
        <f ca="1"/>
        <v>#NAME?</v>
      </c>
    </row>
    <row r="300" spans="1:28">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c r="W300" s="40" t="str">
        <f t="shared" si="4"/>
        <v>P201</v>
      </c>
      <c r="X300" s="29" t="e" cm="1">
        <f t="array" aca="1" ref="X300:AB300" ca="1">_xlfn.XLOOKUP(C300,C:C, _xlfn.HSTACK(L:L,K:K,S:S,Product_master!E:E,Product_master!F:F ))</f>
        <v>#NAME?</v>
      </c>
      <c r="Y300" s="29" t="e">
        <f ca="1"/>
        <v>#NAME?</v>
      </c>
      <c r="Z300" s="29" t="e">
        <f ca="1"/>
        <v>#NAME?</v>
      </c>
      <c r="AA300" s="29" t="e">
        <f ca="1"/>
        <v>#NAME?</v>
      </c>
      <c r="AB300" s="41" t="e">
        <f ca="1"/>
        <v>#NAME?</v>
      </c>
    </row>
    <row r="301" spans="1:28">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c r="W301" s="40" t="str">
        <f t="shared" si="4"/>
        <v>P303</v>
      </c>
      <c r="X301" s="29" t="e" cm="1">
        <f t="array" aca="1" ref="X301:AB301" ca="1">_xlfn.XLOOKUP(C301,C:C, _xlfn.HSTACK(L:L,K:K,S:S,Product_master!E:E,Product_master!F:F ))</f>
        <v>#NAME?</v>
      </c>
      <c r="Y301" s="29" t="e">
        <f ca="1"/>
        <v>#NAME?</v>
      </c>
      <c r="Z301" s="29" t="e">
        <f ca="1"/>
        <v>#NAME?</v>
      </c>
      <c r="AA301" s="29" t="e">
        <f ca="1"/>
        <v>#NAME?</v>
      </c>
      <c r="AB301" s="41" t="e">
        <f ca="1"/>
        <v>#NAME?</v>
      </c>
    </row>
    <row r="302" spans="1:28">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c r="W302" s="40" t="str">
        <f t="shared" si="4"/>
        <v>P303</v>
      </c>
      <c r="X302" s="29" t="e" cm="1">
        <f t="array" aca="1" ref="X302:AB302" ca="1">_xlfn.XLOOKUP(C302,C:C, _xlfn.HSTACK(L:L,K:K,S:S,Product_master!E:E,Product_master!F:F ))</f>
        <v>#NAME?</v>
      </c>
      <c r="Y302" s="29" t="e">
        <f ca="1"/>
        <v>#NAME?</v>
      </c>
      <c r="Z302" s="29" t="e">
        <f ca="1"/>
        <v>#NAME?</v>
      </c>
      <c r="AA302" s="29" t="e">
        <f ca="1"/>
        <v>#NAME?</v>
      </c>
      <c r="AB302" s="41" t="e">
        <f ca="1"/>
        <v>#NAME?</v>
      </c>
    </row>
    <row r="303" spans="1:28">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c r="W303" s="40" t="str">
        <f t="shared" si="4"/>
        <v>P101</v>
      </c>
      <c r="X303" s="29" t="e" cm="1">
        <f t="array" aca="1" ref="X303:AB303" ca="1">_xlfn.XLOOKUP(C303,C:C, _xlfn.HSTACK(L:L,K:K,S:S,Product_master!E:E,Product_master!F:F ))</f>
        <v>#NAME?</v>
      </c>
      <c r="Y303" s="29" t="e">
        <f ca="1"/>
        <v>#NAME?</v>
      </c>
      <c r="Z303" s="29" t="e">
        <f ca="1"/>
        <v>#NAME?</v>
      </c>
      <c r="AA303" s="29" t="e">
        <f ca="1"/>
        <v>#NAME?</v>
      </c>
      <c r="AB303" s="41" t="e">
        <f ca="1"/>
        <v>#NAME?</v>
      </c>
    </row>
    <row r="304" spans="1:28">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c r="W304" s="40" t="str">
        <f t="shared" si="4"/>
        <v>P101</v>
      </c>
      <c r="X304" s="29" t="e" cm="1">
        <f t="array" aca="1" ref="X304:AB304" ca="1">_xlfn.XLOOKUP(C304,C:C, _xlfn.HSTACK(L:L,K:K,S:S,Product_master!E:E,Product_master!F:F ))</f>
        <v>#NAME?</v>
      </c>
      <c r="Y304" s="29" t="e">
        <f ca="1"/>
        <v>#NAME?</v>
      </c>
      <c r="Z304" s="29" t="e">
        <f ca="1"/>
        <v>#NAME?</v>
      </c>
      <c r="AA304" s="29" t="e">
        <f ca="1"/>
        <v>#NAME?</v>
      </c>
      <c r="AB304" s="41" t="e">
        <f ca="1"/>
        <v>#NAME?</v>
      </c>
    </row>
    <row r="305" spans="1:28">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c r="W305" s="40" t="str">
        <f t="shared" si="4"/>
        <v>P201</v>
      </c>
      <c r="X305" s="29" t="e" cm="1">
        <f t="array" aca="1" ref="X305:AB305" ca="1">_xlfn.XLOOKUP(C305,C:C, _xlfn.HSTACK(L:L,K:K,S:S,Product_master!E:E,Product_master!F:F ))</f>
        <v>#NAME?</v>
      </c>
      <c r="Y305" s="29" t="e">
        <f ca="1"/>
        <v>#NAME?</v>
      </c>
      <c r="Z305" s="29" t="e">
        <f ca="1"/>
        <v>#NAME?</v>
      </c>
      <c r="AA305" s="29" t="e">
        <f ca="1"/>
        <v>#NAME?</v>
      </c>
      <c r="AB305" s="41" t="e">
        <f ca="1"/>
        <v>#NAME?</v>
      </c>
    </row>
    <row r="306" spans="1:28">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c r="W306" s="40" t="str">
        <f t="shared" si="4"/>
        <v>P103</v>
      </c>
      <c r="X306" s="29" t="e" cm="1">
        <f t="array" aca="1" ref="X306:AB306" ca="1">_xlfn.XLOOKUP(C306,C:C, _xlfn.HSTACK(L:L,K:K,S:S,Product_master!E:E,Product_master!F:F ))</f>
        <v>#NAME?</v>
      </c>
      <c r="Y306" s="29" t="e">
        <f ca="1"/>
        <v>#NAME?</v>
      </c>
      <c r="Z306" s="29" t="e">
        <f ca="1"/>
        <v>#NAME?</v>
      </c>
      <c r="AA306" s="29" t="e">
        <f ca="1"/>
        <v>#NAME?</v>
      </c>
      <c r="AB306" s="41" t="e">
        <f ca="1"/>
        <v>#NAME?</v>
      </c>
    </row>
    <row r="307" spans="1:28">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c r="W307" s="40" t="str">
        <f t="shared" si="4"/>
        <v>P202</v>
      </c>
      <c r="X307" s="29" t="e" cm="1">
        <f t="array" aca="1" ref="X307:AB307" ca="1">_xlfn.XLOOKUP(C307,C:C, _xlfn.HSTACK(L:L,K:K,S:S,Product_master!E:E,Product_master!F:F ))</f>
        <v>#NAME?</v>
      </c>
      <c r="Y307" s="29" t="e">
        <f ca="1"/>
        <v>#NAME?</v>
      </c>
      <c r="Z307" s="29" t="e">
        <f ca="1"/>
        <v>#NAME?</v>
      </c>
      <c r="AA307" s="29" t="e">
        <f ca="1"/>
        <v>#NAME?</v>
      </c>
      <c r="AB307" s="41" t="e">
        <f ca="1"/>
        <v>#NAME?</v>
      </c>
    </row>
    <row r="308" spans="1:28">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c r="W308" s="40" t="str">
        <f t="shared" si="4"/>
        <v>P102</v>
      </c>
      <c r="X308" s="29" t="e" cm="1">
        <f t="array" aca="1" ref="X308:AB308" ca="1">_xlfn.XLOOKUP(C308,C:C, _xlfn.HSTACK(L:L,K:K,S:S,Product_master!E:E,Product_master!F:F ))</f>
        <v>#NAME?</v>
      </c>
      <c r="Y308" s="29" t="e">
        <f ca="1"/>
        <v>#NAME?</v>
      </c>
      <c r="Z308" s="29" t="e">
        <f ca="1"/>
        <v>#NAME?</v>
      </c>
      <c r="AA308" s="29" t="e">
        <f ca="1"/>
        <v>#NAME?</v>
      </c>
      <c r="AB308" s="41" t="e">
        <f ca="1"/>
        <v>#NAME?</v>
      </c>
    </row>
    <row r="309" spans="1:28">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c r="W309" s="40" t="str">
        <f t="shared" si="4"/>
        <v>P203</v>
      </c>
      <c r="X309" s="29" t="e" cm="1">
        <f t="array" aca="1" ref="X309:AB309" ca="1">_xlfn.XLOOKUP(C309,C:C, _xlfn.HSTACK(L:L,K:K,S:S,Product_master!E:E,Product_master!F:F ))</f>
        <v>#NAME?</v>
      </c>
      <c r="Y309" s="29" t="e">
        <f ca="1"/>
        <v>#NAME?</v>
      </c>
      <c r="Z309" s="29" t="e">
        <f ca="1"/>
        <v>#NAME?</v>
      </c>
      <c r="AA309" s="29" t="e">
        <f ca="1"/>
        <v>#NAME?</v>
      </c>
      <c r="AB309" s="41" t="e">
        <f ca="1"/>
        <v>#NAME?</v>
      </c>
    </row>
    <row r="310" spans="1:28">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c r="W310" s="40" t="str">
        <f t="shared" si="4"/>
        <v>P201</v>
      </c>
      <c r="X310" s="29" t="e" cm="1">
        <f t="array" aca="1" ref="X310:AB310" ca="1">_xlfn.XLOOKUP(C310,C:C, _xlfn.HSTACK(L:L,K:K,S:S,Product_master!E:E,Product_master!F:F ))</f>
        <v>#NAME?</v>
      </c>
      <c r="Y310" s="29" t="e">
        <f ca="1"/>
        <v>#NAME?</v>
      </c>
      <c r="Z310" s="29" t="e">
        <f ca="1"/>
        <v>#NAME?</v>
      </c>
      <c r="AA310" s="29" t="e">
        <f ca="1"/>
        <v>#NAME?</v>
      </c>
      <c r="AB310" s="41" t="e">
        <f ca="1"/>
        <v>#NAME?</v>
      </c>
    </row>
    <row r="311" spans="1:28">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c r="W311" s="40" t="str">
        <f t="shared" si="4"/>
        <v>P104</v>
      </c>
      <c r="X311" s="29" t="e" cm="1">
        <f t="array" aca="1" ref="X311:AB311" ca="1">_xlfn.XLOOKUP(C311,C:C, _xlfn.HSTACK(L:L,K:K,S:S,Product_master!E:E,Product_master!F:F ))</f>
        <v>#NAME?</v>
      </c>
      <c r="Y311" s="29" t="e">
        <f ca="1"/>
        <v>#NAME?</v>
      </c>
      <c r="Z311" s="29" t="e">
        <f ca="1"/>
        <v>#NAME?</v>
      </c>
      <c r="AA311" s="29" t="e">
        <f ca="1"/>
        <v>#NAME?</v>
      </c>
      <c r="AB311" s="41" t="e">
        <f ca="1"/>
        <v>#NAME?</v>
      </c>
    </row>
    <row r="312" spans="1:28">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c r="W312" s="40" t="str">
        <f t="shared" si="4"/>
        <v>P302</v>
      </c>
      <c r="X312" s="29" t="e" cm="1">
        <f t="array" aca="1" ref="X312:AB312" ca="1">_xlfn.XLOOKUP(C312,C:C, _xlfn.HSTACK(L:L,K:K,S:S,Product_master!E:E,Product_master!F:F ))</f>
        <v>#NAME?</v>
      </c>
      <c r="Y312" s="29" t="e">
        <f ca="1"/>
        <v>#NAME?</v>
      </c>
      <c r="Z312" s="29" t="e">
        <f ca="1"/>
        <v>#NAME?</v>
      </c>
      <c r="AA312" s="29" t="e">
        <f ca="1"/>
        <v>#NAME?</v>
      </c>
      <c r="AB312" s="41" t="e">
        <f ca="1"/>
        <v>#NAME?</v>
      </c>
    </row>
    <row r="313" spans="1:28">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c r="W313" s="40" t="str">
        <f t="shared" si="4"/>
        <v>P104</v>
      </c>
      <c r="X313" s="29" t="e" cm="1">
        <f t="array" aca="1" ref="X313:AB313" ca="1">_xlfn.XLOOKUP(C313,C:C, _xlfn.HSTACK(L:L,K:K,S:S,Product_master!E:E,Product_master!F:F ))</f>
        <v>#NAME?</v>
      </c>
      <c r="Y313" s="29" t="e">
        <f ca="1"/>
        <v>#NAME?</v>
      </c>
      <c r="Z313" s="29" t="e">
        <f ca="1"/>
        <v>#NAME?</v>
      </c>
      <c r="AA313" s="29" t="e">
        <f ca="1"/>
        <v>#NAME?</v>
      </c>
      <c r="AB313" s="41" t="e">
        <f ca="1"/>
        <v>#NAME?</v>
      </c>
    </row>
    <row r="314" spans="1:28">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c r="W314" s="40" t="str">
        <f t="shared" si="4"/>
        <v>P301</v>
      </c>
      <c r="X314" s="29" t="e" cm="1">
        <f t="array" aca="1" ref="X314:AB314" ca="1">_xlfn.XLOOKUP(C314,C:C, _xlfn.HSTACK(L:L,K:K,S:S,Product_master!E:E,Product_master!F:F ))</f>
        <v>#NAME?</v>
      </c>
      <c r="Y314" s="29" t="e">
        <f ca="1"/>
        <v>#NAME?</v>
      </c>
      <c r="Z314" s="29" t="e">
        <f ca="1"/>
        <v>#NAME?</v>
      </c>
      <c r="AA314" s="29" t="e">
        <f ca="1"/>
        <v>#NAME?</v>
      </c>
      <c r="AB314" s="41" t="e">
        <f ca="1"/>
        <v>#NAME?</v>
      </c>
    </row>
    <row r="315" spans="1:28">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c r="W315" s="40" t="str">
        <f t="shared" si="4"/>
        <v>P101</v>
      </c>
      <c r="X315" s="29" t="e" cm="1">
        <f t="array" aca="1" ref="X315:AB315" ca="1">_xlfn.XLOOKUP(C315,C:C, _xlfn.HSTACK(L:L,K:K,S:S,Product_master!E:E,Product_master!F:F ))</f>
        <v>#NAME?</v>
      </c>
      <c r="Y315" s="29" t="e">
        <f ca="1"/>
        <v>#NAME?</v>
      </c>
      <c r="Z315" s="29" t="e">
        <f ca="1"/>
        <v>#NAME?</v>
      </c>
      <c r="AA315" s="29" t="e">
        <f ca="1"/>
        <v>#NAME?</v>
      </c>
      <c r="AB315" s="41" t="e">
        <f ca="1"/>
        <v>#NAME?</v>
      </c>
    </row>
    <row r="316" spans="1:28">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c r="W316" s="40" t="str">
        <f t="shared" si="4"/>
        <v>P103</v>
      </c>
      <c r="X316" s="29" t="e" cm="1">
        <f t="array" aca="1" ref="X316:AB316" ca="1">_xlfn.XLOOKUP(C316,C:C, _xlfn.HSTACK(L:L,K:K,S:S,Product_master!E:E,Product_master!F:F ))</f>
        <v>#NAME?</v>
      </c>
      <c r="Y316" s="29" t="e">
        <f ca="1"/>
        <v>#NAME?</v>
      </c>
      <c r="Z316" s="29" t="e">
        <f ca="1"/>
        <v>#NAME?</v>
      </c>
      <c r="AA316" s="29" t="e">
        <f ca="1"/>
        <v>#NAME?</v>
      </c>
      <c r="AB316" s="41" t="e">
        <f ca="1"/>
        <v>#NAME?</v>
      </c>
    </row>
    <row r="317" spans="1:28">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c r="W317" s="40" t="str">
        <f t="shared" si="4"/>
        <v>P104</v>
      </c>
      <c r="X317" s="29" t="e" cm="1">
        <f t="array" aca="1" ref="X317:AB317" ca="1">_xlfn.XLOOKUP(C317,C:C, _xlfn.HSTACK(L:L,K:K,S:S,Product_master!E:E,Product_master!F:F ))</f>
        <v>#NAME?</v>
      </c>
      <c r="Y317" s="29" t="e">
        <f ca="1"/>
        <v>#NAME?</v>
      </c>
      <c r="Z317" s="29" t="e">
        <f ca="1"/>
        <v>#NAME?</v>
      </c>
      <c r="AA317" s="29" t="e">
        <f ca="1"/>
        <v>#NAME?</v>
      </c>
      <c r="AB317" s="41" t="e">
        <f ca="1"/>
        <v>#NAME?</v>
      </c>
    </row>
    <row r="318" spans="1:28">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c r="W318" s="40" t="str">
        <f t="shared" si="4"/>
        <v>P302</v>
      </c>
      <c r="X318" s="29" t="e" cm="1">
        <f t="array" aca="1" ref="X318:AB318" ca="1">_xlfn.XLOOKUP(C318,C:C, _xlfn.HSTACK(L:L,K:K,S:S,Product_master!E:E,Product_master!F:F ))</f>
        <v>#NAME?</v>
      </c>
      <c r="Y318" s="29" t="e">
        <f ca="1"/>
        <v>#NAME?</v>
      </c>
      <c r="Z318" s="29" t="e">
        <f ca="1"/>
        <v>#NAME?</v>
      </c>
      <c r="AA318" s="29" t="e">
        <f ca="1"/>
        <v>#NAME?</v>
      </c>
      <c r="AB318" s="41" t="e">
        <f ca="1"/>
        <v>#NAME?</v>
      </c>
    </row>
    <row r="319" spans="1:28">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c r="W319" s="40" t="str">
        <f t="shared" si="4"/>
        <v>P202</v>
      </c>
      <c r="X319" s="29" t="e" cm="1">
        <f t="array" aca="1" ref="X319:AB319" ca="1">_xlfn.XLOOKUP(C319,C:C, _xlfn.HSTACK(L:L,K:K,S:S,Product_master!E:E,Product_master!F:F ))</f>
        <v>#NAME?</v>
      </c>
      <c r="Y319" s="29" t="e">
        <f ca="1"/>
        <v>#NAME?</v>
      </c>
      <c r="Z319" s="29" t="e">
        <f ca="1"/>
        <v>#NAME?</v>
      </c>
      <c r="AA319" s="29" t="e">
        <f ca="1"/>
        <v>#NAME?</v>
      </c>
      <c r="AB319" s="41" t="e">
        <f ca="1"/>
        <v>#NAME?</v>
      </c>
    </row>
    <row r="320" spans="1:28">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c r="W320" s="40" t="str">
        <f t="shared" si="4"/>
        <v>P301</v>
      </c>
      <c r="X320" s="29" t="e" cm="1">
        <f t="array" aca="1" ref="X320:AB320" ca="1">_xlfn.XLOOKUP(C320,C:C, _xlfn.HSTACK(L:L,K:K,S:S,Product_master!E:E,Product_master!F:F ))</f>
        <v>#NAME?</v>
      </c>
      <c r="Y320" s="29" t="e">
        <f ca="1"/>
        <v>#NAME?</v>
      </c>
      <c r="Z320" s="29" t="e">
        <f ca="1"/>
        <v>#NAME?</v>
      </c>
      <c r="AA320" s="29" t="e">
        <f ca="1"/>
        <v>#NAME?</v>
      </c>
      <c r="AB320" s="41" t="e">
        <f ca="1"/>
        <v>#NAME?</v>
      </c>
    </row>
    <row r="321" spans="1:28">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c r="W321" s="40" t="str">
        <f t="shared" si="4"/>
        <v>P303</v>
      </c>
      <c r="X321" s="29" t="e" cm="1">
        <f t="array" aca="1" ref="X321:AB321" ca="1">_xlfn.XLOOKUP(C321,C:C, _xlfn.HSTACK(L:L,K:K,S:S,Product_master!E:E,Product_master!F:F ))</f>
        <v>#NAME?</v>
      </c>
      <c r="Y321" s="29" t="e">
        <f ca="1"/>
        <v>#NAME?</v>
      </c>
      <c r="Z321" s="29" t="e">
        <f ca="1"/>
        <v>#NAME?</v>
      </c>
      <c r="AA321" s="29" t="e">
        <f ca="1"/>
        <v>#NAME?</v>
      </c>
      <c r="AB321" s="41" t="e">
        <f ca="1"/>
        <v>#NAME?</v>
      </c>
    </row>
    <row r="322" spans="1:28">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c r="W322" s="40" t="str">
        <f t="shared" si="4"/>
        <v>P102</v>
      </c>
      <c r="X322" s="29" t="e" cm="1">
        <f t="array" aca="1" ref="X322:AB322" ca="1">_xlfn.XLOOKUP(C322,C:C, _xlfn.HSTACK(L:L,K:K,S:S,Product_master!E:E,Product_master!F:F ))</f>
        <v>#NAME?</v>
      </c>
      <c r="Y322" s="29" t="e">
        <f ca="1"/>
        <v>#NAME?</v>
      </c>
      <c r="Z322" s="29" t="e">
        <f ca="1"/>
        <v>#NAME?</v>
      </c>
      <c r="AA322" s="29" t="e">
        <f ca="1"/>
        <v>#NAME?</v>
      </c>
      <c r="AB322" s="41" t="e">
        <f ca="1"/>
        <v>#NAME?</v>
      </c>
    </row>
    <row r="323" spans="1:28">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c r="W323" s="40" t="str">
        <f t="shared" ref="W323:W386" si="5">C323</f>
        <v>P103</v>
      </c>
      <c r="X323" s="29" t="e" cm="1">
        <f t="array" aca="1" ref="X323:AB323" ca="1">_xlfn.XLOOKUP(C323,C:C, _xlfn.HSTACK(L:L,K:K,S:S,Product_master!E:E,Product_master!F:F ))</f>
        <v>#NAME?</v>
      </c>
      <c r="Y323" s="29" t="e">
        <f ca="1"/>
        <v>#NAME?</v>
      </c>
      <c r="Z323" s="29" t="e">
        <f ca="1"/>
        <v>#NAME?</v>
      </c>
      <c r="AA323" s="29" t="e">
        <f ca="1"/>
        <v>#NAME?</v>
      </c>
      <c r="AB323" s="41" t="e">
        <f ca="1"/>
        <v>#NAME?</v>
      </c>
    </row>
    <row r="324" spans="1:28">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c r="W324" s="40" t="str">
        <f t="shared" si="5"/>
        <v>P103</v>
      </c>
      <c r="X324" s="29" t="e" cm="1">
        <f t="array" aca="1" ref="X324:AB324" ca="1">_xlfn.XLOOKUP(C324,C:C, _xlfn.HSTACK(L:L,K:K,S:S,Product_master!E:E,Product_master!F:F ))</f>
        <v>#NAME?</v>
      </c>
      <c r="Y324" s="29" t="e">
        <f ca="1"/>
        <v>#NAME?</v>
      </c>
      <c r="Z324" s="29" t="e">
        <f ca="1"/>
        <v>#NAME?</v>
      </c>
      <c r="AA324" s="29" t="e">
        <f ca="1"/>
        <v>#NAME?</v>
      </c>
      <c r="AB324" s="41" t="e">
        <f ca="1"/>
        <v>#NAME?</v>
      </c>
    </row>
    <row r="325" spans="1:28">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c r="W325" s="40" t="str">
        <f t="shared" si="5"/>
        <v>P302</v>
      </c>
      <c r="X325" s="29" t="e" cm="1">
        <f t="array" aca="1" ref="X325:AB325" ca="1">_xlfn.XLOOKUP(C325,C:C, _xlfn.HSTACK(L:L,K:K,S:S,Product_master!E:E,Product_master!F:F ))</f>
        <v>#NAME?</v>
      </c>
      <c r="Y325" s="29" t="e">
        <f ca="1"/>
        <v>#NAME?</v>
      </c>
      <c r="Z325" s="29" t="e">
        <f ca="1"/>
        <v>#NAME?</v>
      </c>
      <c r="AA325" s="29" t="e">
        <f ca="1"/>
        <v>#NAME?</v>
      </c>
      <c r="AB325" s="41" t="e">
        <f ca="1"/>
        <v>#NAME?</v>
      </c>
    </row>
    <row r="326" spans="1:28">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c r="W326" s="40" t="str">
        <f t="shared" si="5"/>
        <v>P202</v>
      </c>
      <c r="X326" s="29" t="e" cm="1">
        <f t="array" aca="1" ref="X326:AB326" ca="1">_xlfn.XLOOKUP(C326,C:C, _xlfn.HSTACK(L:L,K:K,S:S,Product_master!E:E,Product_master!F:F ))</f>
        <v>#NAME?</v>
      </c>
      <c r="Y326" s="29" t="e">
        <f ca="1"/>
        <v>#NAME?</v>
      </c>
      <c r="Z326" s="29" t="e">
        <f ca="1"/>
        <v>#NAME?</v>
      </c>
      <c r="AA326" s="29" t="e">
        <f ca="1"/>
        <v>#NAME?</v>
      </c>
      <c r="AB326" s="41" t="e">
        <f ca="1"/>
        <v>#NAME?</v>
      </c>
    </row>
    <row r="327" spans="1:28">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c r="W327" s="40" t="str">
        <f t="shared" si="5"/>
        <v>P102</v>
      </c>
      <c r="X327" s="29" t="e" cm="1">
        <f t="array" aca="1" ref="X327:AB327" ca="1">_xlfn.XLOOKUP(C327,C:C, _xlfn.HSTACK(L:L,K:K,S:S,Product_master!E:E,Product_master!F:F ))</f>
        <v>#NAME?</v>
      </c>
      <c r="Y327" s="29" t="e">
        <f ca="1"/>
        <v>#NAME?</v>
      </c>
      <c r="Z327" s="29" t="e">
        <f ca="1"/>
        <v>#NAME?</v>
      </c>
      <c r="AA327" s="29" t="e">
        <f ca="1"/>
        <v>#NAME?</v>
      </c>
      <c r="AB327" s="41" t="e">
        <f ca="1"/>
        <v>#NAME?</v>
      </c>
    </row>
    <row r="328" spans="1:28">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c r="W328" s="40" t="str">
        <f t="shared" si="5"/>
        <v>P102</v>
      </c>
      <c r="X328" s="29" t="e" cm="1">
        <f t="array" aca="1" ref="X328:AB328" ca="1">_xlfn.XLOOKUP(C328,C:C, _xlfn.HSTACK(L:L,K:K,S:S,Product_master!E:E,Product_master!F:F ))</f>
        <v>#NAME?</v>
      </c>
      <c r="Y328" s="29" t="e">
        <f ca="1"/>
        <v>#NAME?</v>
      </c>
      <c r="Z328" s="29" t="e">
        <f ca="1"/>
        <v>#NAME?</v>
      </c>
      <c r="AA328" s="29" t="e">
        <f ca="1"/>
        <v>#NAME?</v>
      </c>
      <c r="AB328" s="41" t="e">
        <f ca="1"/>
        <v>#NAME?</v>
      </c>
    </row>
    <row r="329" spans="1:28">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c r="W329" s="40" t="str">
        <f t="shared" si="5"/>
        <v>P201</v>
      </c>
      <c r="X329" s="29" t="e" cm="1">
        <f t="array" aca="1" ref="X329:AB329" ca="1">_xlfn.XLOOKUP(C329,C:C, _xlfn.HSTACK(L:L,K:K,S:S,Product_master!E:E,Product_master!F:F ))</f>
        <v>#NAME?</v>
      </c>
      <c r="Y329" s="29" t="e">
        <f ca="1"/>
        <v>#NAME?</v>
      </c>
      <c r="Z329" s="29" t="e">
        <f ca="1"/>
        <v>#NAME?</v>
      </c>
      <c r="AA329" s="29" t="e">
        <f ca="1"/>
        <v>#NAME?</v>
      </c>
      <c r="AB329" s="41" t="e">
        <f ca="1"/>
        <v>#NAME?</v>
      </c>
    </row>
    <row r="330" spans="1:28">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c r="W330" s="40" t="str">
        <f t="shared" si="5"/>
        <v>P201</v>
      </c>
      <c r="X330" s="29" t="e" cm="1">
        <f t="array" aca="1" ref="X330:AB330" ca="1">_xlfn.XLOOKUP(C330,C:C, _xlfn.HSTACK(L:L,K:K,S:S,Product_master!E:E,Product_master!F:F ))</f>
        <v>#NAME?</v>
      </c>
      <c r="Y330" s="29" t="e">
        <f ca="1"/>
        <v>#NAME?</v>
      </c>
      <c r="Z330" s="29" t="e">
        <f ca="1"/>
        <v>#NAME?</v>
      </c>
      <c r="AA330" s="29" t="e">
        <f ca="1"/>
        <v>#NAME?</v>
      </c>
      <c r="AB330" s="41" t="e">
        <f ca="1"/>
        <v>#NAME?</v>
      </c>
    </row>
    <row r="331" spans="1:28">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c r="W331" s="40" t="str">
        <f t="shared" si="5"/>
        <v>P102</v>
      </c>
      <c r="X331" s="29" t="e" cm="1">
        <f t="array" aca="1" ref="X331:AB331" ca="1">_xlfn.XLOOKUP(C331,C:C, _xlfn.HSTACK(L:L,K:K,S:S,Product_master!E:E,Product_master!F:F ))</f>
        <v>#NAME?</v>
      </c>
      <c r="Y331" s="29" t="e">
        <f ca="1"/>
        <v>#NAME?</v>
      </c>
      <c r="Z331" s="29" t="e">
        <f ca="1"/>
        <v>#NAME?</v>
      </c>
      <c r="AA331" s="29" t="e">
        <f ca="1"/>
        <v>#NAME?</v>
      </c>
      <c r="AB331" s="41" t="e">
        <f ca="1"/>
        <v>#NAME?</v>
      </c>
    </row>
    <row r="332" spans="1:28">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c r="W332" s="40" t="str">
        <f t="shared" si="5"/>
        <v>P103</v>
      </c>
      <c r="X332" s="29" t="e" cm="1">
        <f t="array" aca="1" ref="X332:AB332" ca="1">_xlfn.XLOOKUP(C332,C:C, _xlfn.HSTACK(L:L,K:K,S:S,Product_master!E:E,Product_master!F:F ))</f>
        <v>#NAME?</v>
      </c>
      <c r="Y332" s="29" t="e">
        <f ca="1"/>
        <v>#NAME?</v>
      </c>
      <c r="Z332" s="29" t="e">
        <f ca="1"/>
        <v>#NAME?</v>
      </c>
      <c r="AA332" s="29" t="e">
        <f ca="1"/>
        <v>#NAME?</v>
      </c>
      <c r="AB332" s="41" t="e">
        <f ca="1"/>
        <v>#NAME?</v>
      </c>
    </row>
    <row r="333" spans="1:28">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c r="W333" s="40" t="str">
        <f t="shared" si="5"/>
        <v>P104</v>
      </c>
      <c r="X333" s="29" t="e" cm="1">
        <f t="array" aca="1" ref="X333:AB333" ca="1">_xlfn.XLOOKUP(C333,C:C, _xlfn.HSTACK(L:L,K:K,S:S,Product_master!E:E,Product_master!F:F ))</f>
        <v>#NAME?</v>
      </c>
      <c r="Y333" s="29" t="e">
        <f ca="1"/>
        <v>#NAME?</v>
      </c>
      <c r="Z333" s="29" t="e">
        <f ca="1"/>
        <v>#NAME?</v>
      </c>
      <c r="AA333" s="29" t="e">
        <f ca="1"/>
        <v>#NAME?</v>
      </c>
      <c r="AB333" s="41" t="e">
        <f ca="1"/>
        <v>#NAME?</v>
      </c>
    </row>
    <row r="334" spans="1:28">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c r="W334" s="40" t="str">
        <f t="shared" si="5"/>
        <v>P303</v>
      </c>
      <c r="X334" s="29" t="e" cm="1">
        <f t="array" aca="1" ref="X334:AB334" ca="1">_xlfn.XLOOKUP(C334,C:C, _xlfn.HSTACK(L:L,K:K,S:S,Product_master!E:E,Product_master!F:F ))</f>
        <v>#NAME?</v>
      </c>
      <c r="Y334" s="29" t="e">
        <f ca="1"/>
        <v>#NAME?</v>
      </c>
      <c r="Z334" s="29" t="e">
        <f ca="1"/>
        <v>#NAME?</v>
      </c>
      <c r="AA334" s="29" t="e">
        <f ca="1"/>
        <v>#NAME?</v>
      </c>
      <c r="AB334" s="41" t="e">
        <f ca="1"/>
        <v>#NAME?</v>
      </c>
    </row>
    <row r="335" spans="1:28">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c r="W335" s="40" t="str">
        <f t="shared" si="5"/>
        <v>P201</v>
      </c>
      <c r="X335" s="29" t="e" cm="1">
        <f t="array" aca="1" ref="X335:AB335" ca="1">_xlfn.XLOOKUP(C335,C:C, _xlfn.HSTACK(L:L,K:K,S:S,Product_master!E:E,Product_master!F:F ))</f>
        <v>#NAME?</v>
      </c>
      <c r="Y335" s="29" t="e">
        <f ca="1"/>
        <v>#NAME?</v>
      </c>
      <c r="Z335" s="29" t="e">
        <f ca="1"/>
        <v>#NAME?</v>
      </c>
      <c r="AA335" s="29" t="e">
        <f ca="1"/>
        <v>#NAME?</v>
      </c>
      <c r="AB335" s="41" t="e">
        <f ca="1"/>
        <v>#NAME?</v>
      </c>
    </row>
    <row r="336" spans="1:28">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c r="W336" s="40" t="str">
        <f t="shared" si="5"/>
        <v>P202</v>
      </c>
      <c r="X336" s="29" t="e" cm="1">
        <f t="array" aca="1" ref="X336:AB336" ca="1">_xlfn.XLOOKUP(C336,C:C, _xlfn.HSTACK(L:L,K:K,S:S,Product_master!E:E,Product_master!F:F ))</f>
        <v>#NAME?</v>
      </c>
      <c r="Y336" s="29" t="e">
        <f ca="1"/>
        <v>#NAME?</v>
      </c>
      <c r="Z336" s="29" t="e">
        <f ca="1"/>
        <v>#NAME?</v>
      </c>
      <c r="AA336" s="29" t="e">
        <f ca="1"/>
        <v>#NAME?</v>
      </c>
      <c r="AB336" s="41" t="e">
        <f ca="1"/>
        <v>#NAME?</v>
      </c>
    </row>
    <row r="337" spans="1:28">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c r="W337" s="40" t="str">
        <f t="shared" si="5"/>
        <v>P302</v>
      </c>
      <c r="X337" s="29" t="e" cm="1">
        <f t="array" aca="1" ref="X337:AB337" ca="1">_xlfn.XLOOKUP(C337,C:C, _xlfn.HSTACK(L:L,K:K,S:S,Product_master!E:E,Product_master!F:F ))</f>
        <v>#NAME?</v>
      </c>
      <c r="Y337" s="29" t="e">
        <f ca="1"/>
        <v>#NAME?</v>
      </c>
      <c r="Z337" s="29" t="e">
        <f ca="1"/>
        <v>#NAME?</v>
      </c>
      <c r="AA337" s="29" t="e">
        <f ca="1"/>
        <v>#NAME?</v>
      </c>
      <c r="AB337" s="41" t="e">
        <f ca="1"/>
        <v>#NAME?</v>
      </c>
    </row>
    <row r="338" spans="1:28">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c r="W338" s="40" t="str">
        <f t="shared" si="5"/>
        <v>P302</v>
      </c>
      <c r="X338" s="29" t="e" cm="1">
        <f t="array" aca="1" ref="X338:AB338" ca="1">_xlfn.XLOOKUP(C338,C:C, _xlfn.HSTACK(L:L,K:K,S:S,Product_master!E:E,Product_master!F:F ))</f>
        <v>#NAME?</v>
      </c>
      <c r="Y338" s="29" t="e">
        <f ca="1"/>
        <v>#NAME?</v>
      </c>
      <c r="Z338" s="29" t="e">
        <f ca="1"/>
        <v>#NAME?</v>
      </c>
      <c r="AA338" s="29" t="e">
        <f ca="1"/>
        <v>#NAME?</v>
      </c>
      <c r="AB338" s="41" t="e">
        <f ca="1"/>
        <v>#NAME?</v>
      </c>
    </row>
    <row r="339" spans="1:28">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c r="W339" s="40" t="str">
        <f t="shared" si="5"/>
        <v>P102</v>
      </c>
      <c r="X339" s="29" t="e" cm="1">
        <f t="array" aca="1" ref="X339:AB339" ca="1">_xlfn.XLOOKUP(C339,C:C, _xlfn.HSTACK(L:L,K:K,S:S,Product_master!E:E,Product_master!F:F ))</f>
        <v>#NAME?</v>
      </c>
      <c r="Y339" s="29" t="e">
        <f ca="1"/>
        <v>#NAME?</v>
      </c>
      <c r="Z339" s="29" t="e">
        <f ca="1"/>
        <v>#NAME?</v>
      </c>
      <c r="AA339" s="29" t="e">
        <f ca="1"/>
        <v>#NAME?</v>
      </c>
      <c r="AB339" s="41" t="e">
        <f ca="1"/>
        <v>#NAME?</v>
      </c>
    </row>
    <row r="340" spans="1:28">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c r="W340" s="40" t="str">
        <f t="shared" si="5"/>
        <v>P201</v>
      </c>
      <c r="X340" s="29" t="e" cm="1">
        <f t="array" aca="1" ref="X340:AB340" ca="1">_xlfn.XLOOKUP(C340,C:C, _xlfn.HSTACK(L:L,K:K,S:S,Product_master!E:E,Product_master!F:F ))</f>
        <v>#NAME?</v>
      </c>
      <c r="Y340" s="29" t="e">
        <f ca="1"/>
        <v>#NAME?</v>
      </c>
      <c r="Z340" s="29" t="e">
        <f ca="1"/>
        <v>#NAME?</v>
      </c>
      <c r="AA340" s="29" t="e">
        <f ca="1"/>
        <v>#NAME?</v>
      </c>
      <c r="AB340" s="41" t="e">
        <f ca="1"/>
        <v>#NAME?</v>
      </c>
    </row>
    <row r="341" spans="1:28">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c r="W341" s="40" t="str">
        <f t="shared" si="5"/>
        <v>P301</v>
      </c>
      <c r="X341" s="29" t="e" cm="1">
        <f t="array" aca="1" ref="X341:AB341" ca="1">_xlfn.XLOOKUP(C341,C:C, _xlfn.HSTACK(L:L,K:K,S:S,Product_master!E:E,Product_master!F:F ))</f>
        <v>#NAME?</v>
      </c>
      <c r="Y341" s="29" t="e">
        <f ca="1"/>
        <v>#NAME?</v>
      </c>
      <c r="Z341" s="29" t="e">
        <f ca="1"/>
        <v>#NAME?</v>
      </c>
      <c r="AA341" s="29" t="e">
        <f ca="1"/>
        <v>#NAME?</v>
      </c>
      <c r="AB341" s="41" t="e">
        <f ca="1"/>
        <v>#NAME?</v>
      </c>
    </row>
    <row r="342" spans="1:28">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c r="W342" s="40" t="str">
        <f t="shared" si="5"/>
        <v>P303</v>
      </c>
      <c r="X342" s="29" t="e" cm="1">
        <f t="array" aca="1" ref="X342:AB342" ca="1">_xlfn.XLOOKUP(C342,C:C, _xlfn.HSTACK(L:L,K:K,S:S,Product_master!E:E,Product_master!F:F ))</f>
        <v>#NAME?</v>
      </c>
      <c r="Y342" s="29" t="e">
        <f ca="1"/>
        <v>#NAME?</v>
      </c>
      <c r="Z342" s="29" t="e">
        <f ca="1"/>
        <v>#NAME?</v>
      </c>
      <c r="AA342" s="29" t="e">
        <f ca="1"/>
        <v>#NAME?</v>
      </c>
      <c r="AB342" s="41" t="e">
        <f ca="1"/>
        <v>#NAME?</v>
      </c>
    </row>
    <row r="343" spans="1:28">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c r="W343" s="40" t="str">
        <f t="shared" si="5"/>
        <v>P301</v>
      </c>
      <c r="X343" s="29" t="e" cm="1">
        <f t="array" aca="1" ref="X343:AB343" ca="1">_xlfn.XLOOKUP(C343,C:C, _xlfn.HSTACK(L:L,K:K,S:S,Product_master!E:E,Product_master!F:F ))</f>
        <v>#NAME?</v>
      </c>
      <c r="Y343" s="29" t="e">
        <f ca="1"/>
        <v>#NAME?</v>
      </c>
      <c r="Z343" s="29" t="e">
        <f ca="1"/>
        <v>#NAME?</v>
      </c>
      <c r="AA343" s="29" t="e">
        <f ca="1"/>
        <v>#NAME?</v>
      </c>
      <c r="AB343" s="41" t="e">
        <f ca="1"/>
        <v>#NAME?</v>
      </c>
    </row>
    <row r="344" spans="1:28">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c r="W344" s="40" t="str">
        <f t="shared" si="5"/>
        <v>P104</v>
      </c>
      <c r="X344" s="29" t="e" cm="1">
        <f t="array" aca="1" ref="X344:AB344" ca="1">_xlfn.XLOOKUP(C344,C:C, _xlfn.HSTACK(L:L,K:K,S:S,Product_master!E:E,Product_master!F:F ))</f>
        <v>#NAME?</v>
      </c>
      <c r="Y344" s="29" t="e">
        <f ca="1"/>
        <v>#NAME?</v>
      </c>
      <c r="Z344" s="29" t="e">
        <f ca="1"/>
        <v>#NAME?</v>
      </c>
      <c r="AA344" s="29" t="e">
        <f ca="1"/>
        <v>#NAME?</v>
      </c>
      <c r="AB344" s="41" t="e">
        <f ca="1"/>
        <v>#NAME?</v>
      </c>
    </row>
    <row r="345" spans="1:28">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c r="W345" s="40" t="str">
        <f t="shared" si="5"/>
        <v>P302</v>
      </c>
      <c r="X345" s="29" t="e" cm="1">
        <f t="array" aca="1" ref="X345:AB345" ca="1">_xlfn.XLOOKUP(C345,C:C, _xlfn.HSTACK(L:L,K:K,S:S,Product_master!E:E,Product_master!F:F ))</f>
        <v>#NAME?</v>
      </c>
      <c r="Y345" s="29" t="e">
        <f ca="1"/>
        <v>#NAME?</v>
      </c>
      <c r="Z345" s="29" t="e">
        <f ca="1"/>
        <v>#NAME?</v>
      </c>
      <c r="AA345" s="29" t="e">
        <f ca="1"/>
        <v>#NAME?</v>
      </c>
      <c r="AB345" s="41" t="e">
        <f ca="1"/>
        <v>#NAME?</v>
      </c>
    </row>
    <row r="346" spans="1:28">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c r="W346" s="40" t="str">
        <f t="shared" si="5"/>
        <v>P201</v>
      </c>
      <c r="X346" s="29" t="e" cm="1">
        <f t="array" aca="1" ref="X346:AB346" ca="1">_xlfn.XLOOKUP(C346,C:C, _xlfn.HSTACK(L:L,K:K,S:S,Product_master!E:E,Product_master!F:F ))</f>
        <v>#NAME?</v>
      </c>
      <c r="Y346" s="29" t="e">
        <f ca="1"/>
        <v>#NAME?</v>
      </c>
      <c r="Z346" s="29" t="e">
        <f ca="1"/>
        <v>#NAME?</v>
      </c>
      <c r="AA346" s="29" t="e">
        <f ca="1"/>
        <v>#NAME?</v>
      </c>
      <c r="AB346" s="41" t="e">
        <f ca="1"/>
        <v>#NAME?</v>
      </c>
    </row>
    <row r="347" spans="1:28">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c r="W347" s="40" t="str">
        <f t="shared" si="5"/>
        <v>P201</v>
      </c>
      <c r="X347" s="29" t="e" cm="1">
        <f t="array" aca="1" ref="X347:AB347" ca="1">_xlfn.XLOOKUP(C347,C:C, _xlfn.HSTACK(L:L,K:K,S:S,Product_master!E:E,Product_master!F:F ))</f>
        <v>#NAME?</v>
      </c>
      <c r="Y347" s="29" t="e">
        <f ca="1"/>
        <v>#NAME?</v>
      </c>
      <c r="Z347" s="29" t="e">
        <f ca="1"/>
        <v>#NAME?</v>
      </c>
      <c r="AA347" s="29" t="e">
        <f ca="1"/>
        <v>#NAME?</v>
      </c>
      <c r="AB347" s="41" t="e">
        <f ca="1"/>
        <v>#NAME?</v>
      </c>
    </row>
    <row r="348" spans="1:28">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c r="W348" s="40" t="str">
        <f t="shared" si="5"/>
        <v>P303</v>
      </c>
      <c r="X348" s="29" t="e" cm="1">
        <f t="array" aca="1" ref="X348:AB348" ca="1">_xlfn.XLOOKUP(C348,C:C, _xlfn.HSTACK(L:L,K:K,S:S,Product_master!E:E,Product_master!F:F ))</f>
        <v>#NAME?</v>
      </c>
      <c r="Y348" s="29" t="e">
        <f ca="1"/>
        <v>#NAME?</v>
      </c>
      <c r="Z348" s="29" t="e">
        <f ca="1"/>
        <v>#NAME?</v>
      </c>
      <c r="AA348" s="29" t="e">
        <f ca="1"/>
        <v>#NAME?</v>
      </c>
      <c r="AB348" s="41" t="e">
        <f ca="1"/>
        <v>#NAME?</v>
      </c>
    </row>
    <row r="349" spans="1:28">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c r="W349" s="40" t="str">
        <f t="shared" si="5"/>
        <v>P202</v>
      </c>
      <c r="X349" s="29" t="e" cm="1">
        <f t="array" aca="1" ref="X349:AB349" ca="1">_xlfn.XLOOKUP(C349,C:C, _xlfn.HSTACK(L:L,K:K,S:S,Product_master!E:E,Product_master!F:F ))</f>
        <v>#NAME?</v>
      </c>
      <c r="Y349" s="29" t="e">
        <f ca="1"/>
        <v>#NAME?</v>
      </c>
      <c r="Z349" s="29" t="e">
        <f ca="1"/>
        <v>#NAME?</v>
      </c>
      <c r="AA349" s="29" t="e">
        <f ca="1"/>
        <v>#NAME?</v>
      </c>
      <c r="AB349" s="41" t="e">
        <f ca="1"/>
        <v>#NAME?</v>
      </c>
    </row>
    <row r="350" spans="1:28">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c r="W350" s="40" t="str">
        <f t="shared" si="5"/>
        <v>P999</v>
      </c>
      <c r="X350" s="29" t="e" cm="1">
        <f t="array" aca="1" ref="X350:AB350" ca="1">_xlfn.XLOOKUP(C350,C:C, _xlfn.HSTACK(L:L,K:K,S:S,Product_master!E:E,Product_master!F:F ))</f>
        <v>#NAME?</v>
      </c>
      <c r="Y350" s="29" t="e">
        <f ca="1"/>
        <v>#NAME?</v>
      </c>
      <c r="Z350" s="29" t="e">
        <f ca="1"/>
        <v>#NAME?</v>
      </c>
      <c r="AA350" s="29" t="e">
        <f ca="1"/>
        <v>#NAME?</v>
      </c>
      <c r="AB350" s="41" t="e">
        <f ca="1"/>
        <v>#NAME?</v>
      </c>
    </row>
    <row r="351" spans="1:28">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c r="W351" s="40" t="str">
        <f t="shared" si="5"/>
        <v>P202</v>
      </c>
      <c r="X351" s="29" t="e" cm="1">
        <f t="array" aca="1" ref="X351:AB351" ca="1">_xlfn.XLOOKUP(C351,C:C, _xlfn.HSTACK(L:L,K:K,S:S,Product_master!E:E,Product_master!F:F ))</f>
        <v>#NAME?</v>
      </c>
      <c r="Y351" s="29" t="e">
        <f ca="1"/>
        <v>#NAME?</v>
      </c>
      <c r="Z351" s="29" t="e">
        <f ca="1"/>
        <v>#NAME?</v>
      </c>
      <c r="AA351" s="29" t="e">
        <f ca="1"/>
        <v>#NAME?</v>
      </c>
      <c r="AB351" s="41" t="e">
        <f ca="1"/>
        <v>#NAME?</v>
      </c>
    </row>
    <row r="352" spans="1:28">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c r="W352" s="40" t="str">
        <f t="shared" si="5"/>
        <v>P102</v>
      </c>
      <c r="X352" s="29" t="e" cm="1">
        <f t="array" aca="1" ref="X352:AB352" ca="1">_xlfn.XLOOKUP(C352,C:C, _xlfn.HSTACK(L:L,K:K,S:S,Product_master!E:E,Product_master!F:F ))</f>
        <v>#NAME?</v>
      </c>
      <c r="Y352" s="29" t="e">
        <f ca="1"/>
        <v>#NAME?</v>
      </c>
      <c r="Z352" s="29" t="e">
        <f ca="1"/>
        <v>#NAME?</v>
      </c>
      <c r="AA352" s="29" t="e">
        <f ca="1"/>
        <v>#NAME?</v>
      </c>
      <c r="AB352" s="41" t="e">
        <f ca="1"/>
        <v>#NAME?</v>
      </c>
    </row>
    <row r="353" spans="1:28">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c r="W353" s="40" t="str">
        <f t="shared" si="5"/>
        <v>P202</v>
      </c>
      <c r="X353" s="29" t="e" cm="1">
        <f t="array" aca="1" ref="X353:AB353" ca="1">_xlfn.XLOOKUP(C353,C:C, _xlfn.HSTACK(L:L,K:K,S:S,Product_master!E:E,Product_master!F:F ))</f>
        <v>#NAME?</v>
      </c>
      <c r="Y353" s="29" t="e">
        <f ca="1"/>
        <v>#NAME?</v>
      </c>
      <c r="Z353" s="29" t="e">
        <f ca="1"/>
        <v>#NAME?</v>
      </c>
      <c r="AA353" s="29" t="e">
        <f ca="1"/>
        <v>#NAME?</v>
      </c>
      <c r="AB353" s="41" t="e">
        <f ca="1"/>
        <v>#NAME?</v>
      </c>
    </row>
    <row r="354" spans="1:28">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c r="W354" s="40" t="str">
        <f t="shared" si="5"/>
        <v>P103</v>
      </c>
      <c r="X354" s="29" t="e" cm="1">
        <f t="array" aca="1" ref="X354:AB354" ca="1">_xlfn.XLOOKUP(C354,C:C, _xlfn.HSTACK(L:L,K:K,S:S,Product_master!E:E,Product_master!F:F ))</f>
        <v>#NAME?</v>
      </c>
      <c r="Y354" s="29" t="e">
        <f ca="1"/>
        <v>#NAME?</v>
      </c>
      <c r="Z354" s="29" t="e">
        <f ca="1"/>
        <v>#NAME?</v>
      </c>
      <c r="AA354" s="29" t="e">
        <f ca="1"/>
        <v>#NAME?</v>
      </c>
      <c r="AB354" s="41" t="e">
        <f ca="1"/>
        <v>#NAME?</v>
      </c>
    </row>
    <row r="355" spans="1:28">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c r="W355" s="40" t="str">
        <f t="shared" si="5"/>
        <v>P103</v>
      </c>
      <c r="X355" s="29" t="e" cm="1">
        <f t="array" aca="1" ref="X355:AB355" ca="1">_xlfn.XLOOKUP(C355,C:C, _xlfn.HSTACK(L:L,K:K,S:S,Product_master!E:E,Product_master!F:F ))</f>
        <v>#NAME?</v>
      </c>
      <c r="Y355" s="29" t="e">
        <f ca="1"/>
        <v>#NAME?</v>
      </c>
      <c r="Z355" s="29" t="e">
        <f ca="1"/>
        <v>#NAME?</v>
      </c>
      <c r="AA355" s="29" t="e">
        <f ca="1"/>
        <v>#NAME?</v>
      </c>
      <c r="AB355" s="41" t="e">
        <f ca="1"/>
        <v>#NAME?</v>
      </c>
    </row>
    <row r="356" spans="1:28">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c r="W356" s="40" t="str">
        <f t="shared" si="5"/>
        <v>P104</v>
      </c>
      <c r="X356" s="29" t="e" cm="1">
        <f t="array" aca="1" ref="X356:AB356" ca="1">_xlfn.XLOOKUP(C356,C:C, _xlfn.HSTACK(L:L,K:K,S:S,Product_master!E:E,Product_master!F:F ))</f>
        <v>#NAME?</v>
      </c>
      <c r="Y356" s="29" t="e">
        <f ca="1"/>
        <v>#NAME?</v>
      </c>
      <c r="Z356" s="29" t="e">
        <f ca="1"/>
        <v>#NAME?</v>
      </c>
      <c r="AA356" s="29" t="e">
        <f ca="1"/>
        <v>#NAME?</v>
      </c>
      <c r="AB356" s="41" t="e">
        <f ca="1"/>
        <v>#NAME?</v>
      </c>
    </row>
    <row r="357" spans="1:28">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c r="W357" s="40" t="str">
        <f t="shared" si="5"/>
        <v>P303</v>
      </c>
      <c r="X357" s="29" t="e" cm="1">
        <f t="array" aca="1" ref="X357:AB357" ca="1">_xlfn.XLOOKUP(C357,C:C, _xlfn.HSTACK(L:L,K:K,S:S,Product_master!E:E,Product_master!F:F ))</f>
        <v>#NAME?</v>
      </c>
      <c r="Y357" s="29" t="e">
        <f ca="1"/>
        <v>#NAME?</v>
      </c>
      <c r="Z357" s="29" t="e">
        <f ca="1"/>
        <v>#NAME?</v>
      </c>
      <c r="AA357" s="29" t="e">
        <f ca="1"/>
        <v>#NAME?</v>
      </c>
      <c r="AB357" s="41" t="e">
        <f ca="1"/>
        <v>#NAME?</v>
      </c>
    </row>
    <row r="358" spans="1:28">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c r="W358" s="40" t="str">
        <f t="shared" si="5"/>
        <v>P102</v>
      </c>
      <c r="X358" s="29" t="e" cm="1">
        <f t="array" aca="1" ref="X358:AB358" ca="1">_xlfn.XLOOKUP(C358,C:C, _xlfn.HSTACK(L:L,K:K,S:S,Product_master!E:E,Product_master!F:F ))</f>
        <v>#NAME?</v>
      </c>
      <c r="Y358" s="29" t="e">
        <f ca="1"/>
        <v>#NAME?</v>
      </c>
      <c r="Z358" s="29" t="e">
        <f ca="1"/>
        <v>#NAME?</v>
      </c>
      <c r="AA358" s="29" t="e">
        <f ca="1"/>
        <v>#NAME?</v>
      </c>
      <c r="AB358" s="41" t="e">
        <f ca="1"/>
        <v>#NAME?</v>
      </c>
    </row>
    <row r="359" spans="1:28">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c r="W359" s="40" t="str">
        <f t="shared" si="5"/>
        <v>P203</v>
      </c>
      <c r="X359" s="29" t="e" cm="1">
        <f t="array" aca="1" ref="X359:AB359" ca="1">_xlfn.XLOOKUP(C359,C:C, _xlfn.HSTACK(L:L,K:K,S:S,Product_master!E:E,Product_master!F:F ))</f>
        <v>#NAME?</v>
      </c>
      <c r="Y359" s="29" t="e">
        <f ca="1"/>
        <v>#NAME?</v>
      </c>
      <c r="Z359" s="29" t="e">
        <f ca="1"/>
        <v>#NAME?</v>
      </c>
      <c r="AA359" s="29" t="e">
        <f ca="1"/>
        <v>#NAME?</v>
      </c>
      <c r="AB359" s="41" t="e">
        <f ca="1"/>
        <v>#NAME?</v>
      </c>
    </row>
    <row r="360" spans="1:28">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c r="W360" s="40" t="str">
        <f t="shared" si="5"/>
        <v>P203</v>
      </c>
      <c r="X360" s="29" t="e" cm="1">
        <f t="array" aca="1" ref="X360:AB360" ca="1">_xlfn.XLOOKUP(C360,C:C, _xlfn.HSTACK(L:L,K:K,S:S,Product_master!E:E,Product_master!F:F ))</f>
        <v>#NAME?</v>
      </c>
      <c r="Y360" s="29" t="e">
        <f ca="1"/>
        <v>#NAME?</v>
      </c>
      <c r="Z360" s="29" t="e">
        <f ca="1"/>
        <v>#NAME?</v>
      </c>
      <c r="AA360" s="29" t="e">
        <f ca="1"/>
        <v>#NAME?</v>
      </c>
      <c r="AB360" s="41" t="e">
        <f ca="1"/>
        <v>#NAME?</v>
      </c>
    </row>
    <row r="361" spans="1:28">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c r="W361" s="40" t="str">
        <f t="shared" si="5"/>
        <v>P302</v>
      </c>
      <c r="X361" s="29" t="e" cm="1">
        <f t="array" aca="1" ref="X361:AB361" ca="1">_xlfn.XLOOKUP(C361,C:C, _xlfn.HSTACK(L:L,K:K,S:S,Product_master!E:E,Product_master!F:F ))</f>
        <v>#NAME?</v>
      </c>
      <c r="Y361" s="29" t="e">
        <f ca="1"/>
        <v>#NAME?</v>
      </c>
      <c r="Z361" s="29" t="e">
        <f ca="1"/>
        <v>#NAME?</v>
      </c>
      <c r="AA361" s="29" t="e">
        <f ca="1"/>
        <v>#NAME?</v>
      </c>
      <c r="AB361" s="41" t="e">
        <f ca="1"/>
        <v>#NAME?</v>
      </c>
    </row>
    <row r="362" spans="1:28">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c r="W362" s="40" t="str">
        <f t="shared" si="5"/>
        <v>P301</v>
      </c>
      <c r="X362" s="29" t="e" cm="1">
        <f t="array" aca="1" ref="X362:AB362" ca="1">_xlfn.XLOOKUP(C362,C:C, _xlfn.HSTACK(L:L,K:K,S:S,Product_master!E:E,Product_master!F:F ))</f>
        <v>#NAME?</v>
      </c>
      <c r="Y362" s="29" t="e">
        <f ca="1"/>
        <v>#NAME?</v>
      </c>
      <c r="Z362" s="29" t="e">
        <f ca="1"/>
        <v>#NAME?</v>
      </c>
      <c r="AA362" s="29" t="e">
        <f ca="1"/>
        <v>#NAME?</v>
      </c>
      <c r="AB362" s="41" t="e">
        <f ca="1"/>
        <v>#NAME?</v>
      </c>
    </row>
    <row r="363" spans="1:28">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c r="W363" s="40" t="str">
        <f t="shared" si="5"/>
        <v>P202</v>
      </c>
      <c r="X363" s="29" t="e" cm="1">
        <f t="array" aca="1" ref="X363:AB363" ca="1">_xlfn.XLOOKUP(C363,C:C, _xlfn.HSTACK(L:L,K:K,S:S,Product_master!E:E,Product_master!F:F ))</f>
        <v>#NAME?</v>
      </c>
      <c r="Y363" s="29" t="e">
        <f ca="1"/>
        <v>#NAME?</v>
      </c>
      <c r="Z363" s="29" t="e">
        <f ca="1"/>
        <v>#NAME?</v>
      </c>
      <c r="AA363" s="29" t="e">
        <f ca="1"/>
        <v>#NAME?</v>
      </c>
      <c r="AB363" s="41" t="e">
        <f ca="1"/>
        <v>#NAME?</v>
      </c>
    </row>
    <row r="364" spans="1:28">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c r="W364" s="40" t="str">
        <f t="shared" si="5"/>
        <v>P103</v>
      </c>
      <c r="X364" s="29" t="e" cm="1">
        <f t="array" aca="1" ref="X364:AB364" ca="1">_xlfn.XLOOKUP(C364,C:C, _xlfn.HSTACK(L:L,K:K,S:S,Product_master!E:E,Product_master!F:F ))</f>
        <v>#NAME?</v>
      </c>
      <c r="Y364" s="29" t="e">
        <f ca="1"/>
        <v>#NAME?</v>
      </c>
      <c r="Z364" s="29" t="e">
        <f ca="1"/>
        <v>#NAME?</v>
      </c>
      <c r="AA364" s="29" t="e">
        <f ca="1"/>
        <v>#NAME?</v>
      </c>
      <c r="AB364" s="41" t="e">
        <f ca="1"/>
        <v>#NAME?</v>
      </c>
    </row>
    <row r="365" spans="1:28">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c r="W365" s="40" t="str">
        <f t="shared" si="5"/>
        <v>P302</v>
      </c>
      <c r="X365" s="29" t="e" cm="1">
        <f t="array" aca="1" ref="X365:AB365" ca="1">_xlfn.XLOOKUP(C365,C:C, _xlfn.HSTACK(L:L,K:K,S:S,Product_master!E:E,Product_master!F:F ))</f>
        <v>#NAME?</v>
      </c>
      <c r="Y365" s="29" t="e">
        <f ca="1"/>
        <v>#NAME?</v>
      </c>
      <c r="Z365" s="29" t="e">
        <f ca="1"/>
        <v>#NAME?</v>
      </c>
      <c r="AA365" s="29" t="e">
        <f ca="1"/>
        <v>#NAME?</v>
      </c>
      <c r="AB365" s="41" t="e">
        <f ca="1"/>
        <v>#NAME?</v>
      </c>
    </row>
    <row r="366" spans="1:28">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c r="W366" s="40" t="str">
        <f t="shared" si="5"/>
        <v>P103</v>
      </c>
      <c r="X366" s="29" t="e" cm="1">
        <f t="array" aca="1" ref="X366:AB366" ca="1">_xlfn.XLOOKUP(C366,C:C, _xlfn.HSTACK(L:L,K:K,S:S,Product_master!E:E,Product_master!F:F ))</f>
        <v>#NAME?</v>
      </c>
      <c r="Y366" s="29" t="e">
        <f ca="1"/>
        <v>#NAME?</v>
      </c>
      <c r="Z366" s="29" t="e">
        <f ca="1"/>
        <v>#NAME?</v>
      </c>
      <c r="AA366" s="29" t="e">
        <f ca="1"/>
        <v>#NAME?</v>
      </c>
      <c r="AB366" s="41" t="e">
        <f ca="1"/>
        <v>#NAME?</v>
      </c>
    </row>
    <row r="367" spans="1:28">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c r="W367" s="40" t="str">
        <f t="shared" si="5"/>
        <v>P302</v>
      </c>
      <c r="X367" s="29" t="e" cm="1">
        <f t="array" aca="1" ref="X367:AB367" ca="1">_xlfn.XLOOKUP(C367,C:C, _xlfn.HSTACK(L:L,K:K,S:S,Product_master!E:E,Product_master!F:F ))</f>
        <v>#NAME?</v>
      </c>
      <c r="Y367" s="29" t="e">
        <f ca="1"/>
        <v>#NAME?</v>
      </c>
      <c r="Z367" s="29" t="e">
        <f ca="1"/>
        <v>#NAME?</v>
      </c>
      <c r="AA367" s="29" t="e">
        <f ca="1"/>
        <v>#NAME?</v>
      </c>
      <c r="AB367" s="41" t="e">
        <f ca="1"/>
        <v>#NAME?</v>
      </c>
    </row>
    <row r="368" spans="1:28">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c r="W368" s="40" t="str">
        <f t="shared" si="5"/>
        <v>P303</v>
      </c>
      <c r="X368" s="29" t="e" cm="1">
        <f t="array" aca="1" ref="X368:AB368" ca="1">_xlfn.XLOOKUP(C368,C:C, _xlfn.HSTACK(L:L,K:K,S:S,Product_master!E:E,Product_master!F:F ))</f>
        <v>#NAME?</v>
      </c>
      <c r="Y368" s="29" t="e">
        <f ca="1"/>
        <v>#NAME?</v>
      </c>
      <c r="Z368" s="29" t="e">
        <f ca="1"/>
        <v>#NAME?</v>
      </c>
      <c r="AA368" s="29" t="e">
        <f ca="1"/>
        <v>#NAME?</v>
      </c>
      <c r="AB368" s="41" t="e">
        <f ca="1"/>
        <v>#NAME?</v>
      </c>
    </row>
    <row r="369" spans="1:28">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c r="W369" s="40" t="str">
        <f t="shared" si="5"/>
        <v>P202</v>
      </c>
      <c r="X369" s="29" t="e" cm="1">
        <f t="array" aca="1" ref="X369:AB369" ca="1">_xlfn.XLOOKUP(C369,C:C, _xlfn.HSTACK(L:L,K:K,S:S,Product_master!E:E,Product_master!F:F ))</f>
        <v>#NAME?</v>
      </c>
      <c r="Y369" s="29" t="e">
        <f ca="1"/>
        <v>#NAME?</v>
      </c>
      <c r="Z369" s="29" t="e">
        <f ca="1"/>
        <v>#NAME?</v>
      </c>
      <c r="AA369" s="29" t="e">
        <f ca="1"/>
        <v>#NAME?</v>
      </c>
      <c r="AB369" s="41" t="e">
        <f ca="1"/>
        <v>#NAME?</v>
      </c>
    </row>
    <row r="370" spans="1:28">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c r="W370" s="40" t="str">
        <f t="shared" si="5"/>
        <v>P301</v>
      </c>
      <c r="X370" s="29" t="e" cm="1">
        <f t="array" aca="1" ref="X370:AB370" ca="1">_xlfn.XLOOKUP(C370,C:C, _xlfn.HSTACK(L:L,K:K,S:S,Product_master!E:E,Product_master!F:F ))</f>
        <v>#NAME?</v>
      </c>
      <c r="Y370" s="29" t="e">
        <f ca="1"/>
        <v>#NAME?</v>
      </c>
      <c r="Z370" s="29" t="e">
        <f ca="1"/>
        <v>#NAME?</v>
      </c>
      <c r="AA370" s="29" t="e">
        <f ca="1"/>
        <v>#NAME?</v>
      </c>
      <c r="AB370" s="41" t="e">
        <f ca="1"/>
        <v>#NAME?</v>
      </c>
    </row>
    <row r="371" spans="1:28">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c r="W371" s="40" t="str">
        <f t="shared" si="5"/>
        <v>P101</v>
      </c>
      <c r="X371" s="29" t="e" cm="1">
        <f t="array" aca="1" ref="X371:AB371" ca="1">_xlfn.XLOOKUP(C371,C:C, _xlfn.HSTACK(L:L,K:K,S:S,Product_master!E:E,Product_master!F:F ))</f>
        <v>#NAME?</v>
      </c>
      <c r="Y371" s="29" t="e">
        <f ca="1"/>
        <v>#NAME?</v>
      </c>
      <c r="Z371" s="29" t="e">
        <f ca="1"/>
        <v>#NAME?</v>
      </c>
      <c r="AA371" s="29" t="e">
        <f ca="1"/>
        <v>#NAME?</v>
      </c>
      <c r="AB371" s="41" t="e">
        <f ca="1"/>
        <v>#NAME?</v>
      </c>
    </row>
    <row r="372" spans="1:28">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c r="W372" s="40" t="str">
        <f t="shared" si="5"/>
        <v>P303</v>
      </c>
      <c r="X372" s="29" t="e" cm="1">
        <f t="array" aca="1" ref="X372:AB372" ca="1">_xlfn.XLOOKUP(C372,C:C, _xlfn.HSTACK(L:L,K:K,S:S,Product_master!E:E,Product_master!F:F ))</f>
        <v>#NAME?</v>
      </c>
      <c r="Y372" s="29" t="e">
        <f ca="1"/>
        <v>#NAME?</v>
      </c>
      <c r="Z372" s="29" t="e">
        <f ca="1"/>
        <v>#NAME?</v>
      </c>
      <c r="AA372" s="29" t="e">
        <f ca="1"/>
        <v>#NAME?</v>
      </c>
      <c r="AB372" s="41" t="e">
        <f ca="1"/>
        <v>#NAME?</v>
      </c>
    </row>
    <row r="373" spans="1:28">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c r="W373" s="40" t="str">
        <f t="shared" si="5"/>
        <v>P302</v>
      </c>
      <c r="X373" s="29" t="e" cm="1">
        <f t="array" aca="1" ref="X373:AB373" ca="1">_xlfn.XLOOKUP(C373,C:C, _xlfn.HSTACK(L:L,K:K,S:S,Product_master!E:E,Product_master!F:F ))</f>
        <v>#NAME?</v>
      </c>
      <c r="Y373" s="29" t="e">
        <f ca="1"/>
        <v>#NAME?</v>
      </c>
      <c r="Z373" s="29" t="e">
        <f ca="1"/>
        <v>#NAME?</v>
      </c>
      <c r="AA373" s="29" t="e">
        <f ca="1"/>
        <v>#NAME?</v>
      </c>
      <c r="AB373" s="41" t="e">
        <f ca="1"/>
        <v>#NAME?</v>
      </c>
    </row>
    <row r="374" spans="1:28">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c r="W374" s="40" t="str">
        <f t="shared" si="5"/>
        <v>P303</v>
      </c>
      <c r="X374" s="29" t="e" cm="1">
        <f t="array" aca="1" ref="X374:AB374" ca="1">_xlfn.XLOOKUP(C374,C:C, _xlfn.HSTACK(L:L,K:K,S:S,Product_master!E:E,Product_master!F:F ))</f>
        <v>#NAME?</v>
      </c>
      <c r="Y374" s="29" t="e">
        <f ca="1"/>
        <v>#NAME?</v>
      </c>
      <c r="Z374" s="29" t="e">
        <f ca="1"/>
        <v>#NAME?</v>
      </c>
      <c r="AA374" s="29" t="e">
        <f ca="1"/>
        <v>#NAME?</v>
      </c>
      <c r="AB374" s="41" t="e">
        <f ca="1"/>
        <v>#NAME?</v>
      </c>
    </row>
    <row r="375" spans="1:28">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c r="W375" s="40" t="str">
        <f t="shared" si="5"/>
        <v>P102</v>
      </c>
      <c r="X375" s="29" t="e" cm="1">
        <f t="array" aca="1" ref="X375:AB375" ca="1">_xlfn.XLOOKUP(C375,C:C, _xlfn.HSTACK(L:L,K:K,S:S,Product_master!E:E,Product_master!F:F ))</f>
        <v>#NAME?</v>
      </c>
      <c r="Y375" s="29" t="e">
        <f ca="1"/>
        <v>#NAME?</v>
      </c>
      <c r="Z375" s="29" t="e">
        <f ca="1"/>
        <v>#NAME?</v>
      </c>
      <c r="AA375" s="29" t="e">
        <f ca="1"/>
        <v>#NAME?</v>
      </c>
      <c r="AB375" s="41" t="e">
        <f ca="1"/>
        <v>#NAME?</v>
      </c>
    </row>
    <row r="376" spans="1:28">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c r="W376" s="40" t="str">
        <f t="shared" si="5"/>
        <v>P102</v>
      </c>
      <c r="X376" s="29" t="e" cm="1">
        <f t="array" aca="1" ref="X376:AB376" ca="1">_xlfn.XLOOKUP(C376,C:C, _xlfn.HSTACK(L:L,K:K,S:S,Product_master!E:E,Product_master!F:F ))</f>
        <v>#NAME?</v>
      </c>
      <c r="Y376" s="29" t="e">
        <f ca="1"/>
        <v>#NAME?</v>
      </c>
      <c r="Z376" s="29" t="e">
        <f ca="1"/>
        <v>#NAME?</v>
      </c>
      <c r="AA376" s="29" t="e">
        <f ca="1"/>
        <v>#NAME?</v>
      </c>
      <c r="AB376" s="41" t="e">
        <f ca="1"/>
        <v>#NAME?</v>
      </c>
    </row>
    <row r="377" spans="1:28">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c r="W377" s="40" t="str">
        <f t="shared" si="5"/>
        <v>P102</v>
      </c>
      <c r="X377" s="29" t="e" cm="1">
        <f t="array" aca="1" ref="X377:AB377" ca="1">_xlfn.XLOOKUP(C377,C:C, _xlfn.HSTACK(L:L,K:K,S:S,Product_master!E:E,Product_master!F:F ))</f>
        <v>#NAME?</v>
      </c>
      <c r="Y377" s="29" t="e">
        <f ca="1"/>
        <v>#NAME?</v>
      </c>
      <c r="Z377" s="29" t="e">
        <f ca="1"/>
        <v>#NAME?</v>
      </c>
      <c r="AA377" s="29" t="e">
        <f ca="1"/>
        <v>#NAME?</v>
      </c>
      <c r="AB377" s="41" t="e">
        <f ca="1"/>
        <v>#NAME?</v>
      </c>
    </row>
    <row r="378" spans="1:28">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c r="W378" s="40" t="str">
        <f t="shared" si="5"/>
        <v>P104</v>
      </c>
      <c r="X378" s="29" t="e" cm="1">
        <f t="array" aca="1" ref="X378:AB378" ca="1">_xlfn.XLOOKUP(C378,C:C, _xlfn.HSTACK(L:L,K:K,S:S,Product_master!E:E,Product_master!F:F ))</f>
        <v>#NAME?</v>
      </c>
      <c r="Y378" s="29" t="e">
        <f ca="1"/>
        <v>#NAME?</v>
      </c>
      <c r="Z378" s="29" t="e">
        <f ca="1"/>
        <v>#NAME?</v>
      </c>
      <c r="AA378" s="29" t="e">
        <f ca="1"/>
        <v>#NAME?</v>
      </c>
      <c r="AB378" s="41" t="e">
        <f ca="1"/>
        <v>#NAME?</v>
      </c>
    </row>
    <row r="379" spans="1:28">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c r="W379" s="40" t="str">
        <f t="shared" si="5"/>
        <v>P103</v>
      </c>
      <c r="X379" s="29" t="e" cm="1">
        <f t="array" aca="1" ref="X379:AB379" ca="1">_xlfn.XLOOKUP(C379,C:C, _xlfn.HSTACK(L:L,K:K,S:S,Product_master!E:E,Product_master!F:F ))</f>
        <v>#NAME?</v>
      </c>
      <c r="Y379" s="29" t="e">
        <f ca="1"/>
        <v>#NAME?</v>
      </c>
      <c r="Z379" s="29" t="e">
        <f ca="1"/>
        <v>#NAME?</v>
      </c>
      <c r="AA379" s="29" t="e">
        <f ca="1"/>
        <v>#NAME?</v>
      </c>
      <c r="AB379" s="41" t="e">
        <f ca="1"/>
        <v>#NAME?</v>
      </c>
    </row>
    <row r="380" spans="1:28">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c r="W380" s="40" t="str">
        <f t="shared" si="5"/>
        <v>P302</v>
      </c>
      <c r="X380" s="29" t="e" cm="1">
        <f t="array" aca="1" ref="X380:AB380" ca="1">_xlfn.XLOOKUP(C380,C:C, _xlfn.HSTACK(L:L,K:K,S:S,Product_master!E:E,Product_master!F:F ))</f>
        <v>#NAME?</v>
      </c>
      <c r="Y380" s="29" t="e">
        <f ca="1"/>
        <v>#NAME?</v>
      </c>
      <c r="Z380" s="29" t="e">
        <f ca="1"/>
        <v>#NAME?</v>
      </c>
      <c r="AA380" s="29" t="e">
        <f ca="1"/>
        <v>#NAME?</v>
      </c>
      <c r="AB380" s="41" t="e">
        <f ca="1"/>
        <v>#NAME?</v>
      </c>
    </row>
    <row r="381" spans="1:28">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c r="W381" s="40" t="str">
        <f t="shared" si="5"/>
        <v>P101</v>
      </c>
      <c r="X381" s="29" t="e" cm="1">
        <f t="array" aca="1" ref="X381:AB381" ca="1">_xlfn.XLOOKUP(C381,C:C, _xlfn.HSTACK(L:L,K:K,S:S,Product_master!E:E,Product_master!F:F ))</f>
        <v>#NAME?</v>
      </c>
      <c r="Y381" s="29" t="e">
        <f ca="1"/>
        <v>#NAME?</v>
      </c>
      <c r="Z381" s="29" t="e">
        <f ca="1"/>
        <v>#NAME?</v>
      </c>
      <c r="AA381" s="29" t="e">
        <f ca="1"/>
        <v>#NAME?</v>
      </c>
      <c r="AB381" s="41" t="e">
        <f ca="1"/>
        <v>#NAME?</v>
      </c>
    </row>
    <row r="382" spans="1:28">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c r="W382" s="40" t="str">
        <f t="shared" si="5"/>
        <v>P301</v>
      </c>
      <c r="X382" s="29" t="e" cm="1">
        <f t="array" aca="1" ref="X382:AB382" ca="1">_xlfn.XLOOKUP(C382,C:C, _xlfn.HSTACK(L:L,K:K,S:S,Product_master!E:E,Product_master!F:F ))</f>
        <v>#NAME?</v>
      </c>
      <c r="Y382" s="29" t="e">
        <f ca="1"/>
        <v>#NAME?</v>
      </c>
      <c r="Z382" s="29" t="e">
        <f ca="1"/>
        <v>#NAME?</v>
      </c>
      <c r="AA382" s="29" t="e">
        <f ca="1"/>
        <v>#NAME?</v>
      </c>
      <c r="AB382" s="41" t="e">
        <f ca="1"/>
        <v>#NAME?</v>
      </c>
    </row>
    <row r="383" spans="1:28">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c r="W383" s="40" t="str">
        <f t="shared" si="5"/>
        <v>P302</v>
      </c>
      <c r="X383" s="29" t="e" cm="1">
        <f t="array" aca="1" ref="X383:AB383" ca="1">_xlfn.XLOOKUP(C383,C:C, _xlfn.HSTACK(L:L,K:K,S:S,Product_master!E:E,Product_master!F:F ))</f>
        <v>#NAME?</v>
      </c>
      <c r="Y383" s="29" t="e">
        <f ca="1"/>
        <v>#NAME?</v>
      </c>
      <c r="Z383" s="29" t="e">
        <f ca="1"/>
        <v>#NAME?</v>
      </c>
      <c r="AA383" s="29" t="e">
        <f ca="1"/>
        <v>#NAME?</v>
      </c>
      <c r="AB383" s="41" t="e">
        <f ca="1"/>
        <v>#NAME?</v>
      </c>
    </row>
    <row r="384" spans="1:28">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c r="W384" s="40" t="str">
        <f t="shared" si="5"/>
        <v>P202</v>
      </c>
      <c r="X384" s="29" t="e" cm="1">
        <f t="array" aca="1" ref="X384:AB384" ca="1">_xlfn.XLOOKUP(C384,C:C, _xlfn.HSTACK(L:L,K:K,S:S,Product_master!E:E,Product_master!F:F ))</f>
        <v>#NAME?</v>
      </c>
      <c r="Y384" s="29" t="e">
        <f ca="1"/>
        <v>#NAME?</v>
      </c>
      <c r="Z384" s="29" t="e">
        <f ca="1"/>
        <v>#NAME?</v>
      </c>
      <c r="AA384" s="29" t="e">
        <f ca="1"/>
        <v>#NAME?</v>
      </c>
      <c r="AB384" s="41" t="e">
        <f ca="1"/>
        <v>#NAME?</v>
      </c>
    </row>
    <row r="385" spans="1:28">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c r="W385" s="40" t="str">
        <f t="shared" si="5"/>
        <v>P301</v>
      </c>
      <c r="X385" s="29" t="e" cm="1">
        <f t="array" aca="1" ref="X385:AB385" ca="1">_xlfn.XLOOKUP(C385,C:C, _xlfn.HSTACK(L:L,K:K,S:S,Product_master!E:E,Product_master!F:F ))</f>
        <v>#NAME?</v>
      </c>
      <c r="Y385" s="29" t="e">
        <f ca="1"/>
        <v>#NAME?</v>
      </c>
      <c r="Z385" s="29" t="e">
        <f ca="1"/>
        <v>#NAME?</v>
      </c>
      <c r="AA385" s="29" t="e">
        <f ca="1"/>
        <v>#NAME?</v>
      </c>
      <c r="AB385" s="41" t="e">
        <f ca="1"/>
        <v>#NAME?</v>
      </c>
    </row>
    <row r="386" spans="1:28">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c r="W386" s="40" t="str">
        <f t="shared" si="5"/>
        <v>P202</v>
      </c>
      <c r="X386" s="29" t="e" cm="1">
        <f t="array" aca="1" ref="X386:AB386" ca="1">_xlfn.XLOOKUP(C386,C:C, _xlfn.HSTACK(L:L,K:K,S:S,Product_master!E:E,Product_master!F:F ))</f>
        <v>#NAME?</v>
      </c>
      <c r="Y386" s="29" t="e">
        <f ca="1"/>
        <v>#NAME?</v>
      </c>
      <c r="Z386" s="29" t="e">
        <f ca="1"/>
        <v>#NAME?</v>
      </c>
      <c r="AA386" s="29" t="e">
        <f ca="1"/>
        <v>#NAME?</v>
      </c>
      <c r="AB386" s="41" t="e">
        <f ca="1"/>
        <v>#NAME?</v>
      </c>
    </row>
    <row r="387" spans="1:28">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c r="W387" s="40" t="str">
        <f t="shared" ref="W387:W450" si="6">C387</f>
        <v>P301</v>
      </c>
      <c r="X387" s="29" t="e" cm="1">
        <f t="array" aca="1" ref="X387:AB387" ca="1">_xlfn.XLOOKUP(C387,C:C, _xlfn.HSTACK(L:L,K:K,S:S,Product_master!E:E,Product_master!F:F ))</f>
        <v>#NAME?</v>
      </c>
      <c r="Y387" s="29" t="e">
        <f ca="1"/>
        <v>#NAME?</v>
      </c>
      <c r="Z387" s="29" t="e">
        <f ca="1"/>
        <v>#NAME?</v>
      </c>
      <c r="AA387" s="29" t="e">
        <f ca="1"/>
        <v>#NAME?</v>
      </c>
      <c r="AB387" s="41" t="e">
        <f ca="1"/>
        <v>#NAME?</v>
      </c>
    </row>
    <row r="388" spans="1:28">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c r="W388" s="40" t="str">
        <f t="shared" si="6"/>
        <v>P101</v>
      </c>
      <c r="X388" s="29" t="e" cm="1">
        <f t="array" aca="1" ref="X388:AB388" ca="1">_xlfn.XLOOKUP(C388,C:C, _xlfn.HSTACK(L:L,K:K,S:S,Product_master!E:E,Product_master!F:F ))</f>
        <v>#NAME?</v>
      </c>
      <c r="Y388" s="29" t="e">
        <f ca="1"/>
        <v>#NAME?</v>
      </c>
      <c r="Z388" s="29" t="e">
        <f ca="1"/>
        <v>#NAME?</v>
      </c>
      <c r="AA388" s="29" t="e">
        <f ca="1"/>
        <v>#NAME?</v>
      </c>
      <c r="AB388" s="41" t="e">
        <f ca="1"/>
        <v>#NAME?</v>
      </c>
    </row>
    <row r="389" spans="1:28">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c r="W389" s="40" t="str">
        <f t="shared" si="6"/>
        <v>P302</v>
      </c>
      <c r="X389" s="29" t="e" cm="1">
        <f t="array" aca="1" ref="X389:AB389" ca="1">_xlfn.XLOOKUP(C389,C:C, _xlfn.HSTACK(L:L,K:K,S:S,Product_master!E:E,Product_master!F:F ))</f>
        <v>#NAME?</v>
      </c>
      <c r="Y389" s="29" t="e">
        <f ca="1"/>
        <v>#NAME?</v>
      </c>
      <c r="Z389" s="29" t="e">
        <f ca="1"/>
        <v>#NAME?</v>
      </c>
      <c r="AA389" s="29" t="e">
        <f ca="1"/>
        <v>#NAME?</v>
      </c>
      <c r="AB389" s="41" t="e">
        <f ca="1"/>
        <v>#NAME?</v>
      </c>
    </row>
    <row r="390" spans="1:28">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c r="W390" s="40" t="str">
        <f t="shared" si="6"/>
        <v>P202</v>
      </c>
      <c r="X390" s="29" t="e" cm="1">
        <f t="array" aca="1" ref="X390:AB390" ca="1">_xlfn.XLOOKUP(C390,C:C, _xlfn.HSTACK(L:L,K:K,S:S,Product_master!E:E,Product_master!F:F ))</f>
        <v>#NAME?</v>
      </c>
      <c r="Y390" s="29" t="e">
        <f ca="1"/>
        <v>#NAME?</v>
      </c>
      <c r="Z390" s="29" t="e">
        <f ca="1"/>
        <v>#NAME?</v>
      </c>
      <c r="AA390" s="29" t="e">
        <f ca="1"/>
        <v>#NAME?</v>
      </c>
      <c r="AB390" s="41" t="e">
        <f ca="1"/>
        <v>#NAME?</v>
      </c>
    </row>
    <row r="391" spans="1:28">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c r="W391" s="40" t="str">
        <f t="shared" si="6"/>
        <v>P302</v>
      </c>
      <c r="X391" s="29" t="e" cm="1">
        <f t="array" aca="1" ref="X391:AB391" ca="1">_xlfn.XLOOKUP(C391,C:C, _xlfn.HSTACK(L:L,K:K,S:S,Product_master!E:E,Product_master!F:F ))</f>
        <v>#NAME?</v>
      </c>
      <c r="Y391" s="29" t="e">
        <f ca="1"/>
        <v>#NAME?</v>
      </c>
      <c r="Z391" s="29" t="e">
        <f ca="1"/>
        <v>#NAME?</v>
      </c>
      <c r="AA391" s="29" t="e">
        <f ca="1"/>
        <v>#NAME?</v>
      </c>
      <c r="AB391" s="41" t="e">
        <f ca="1"/>
        <v>#NAME?</v>
      </c>
    </row>
    <row r="392" spans="1:28">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c r="W392" s="40" t="str">
        <f t="shared" si="6"/>
        <v>P103</v>
      </c>
      <c r="X392" s="29" t="e" cm="1">
        <f t="array" aca="1" ref="X392:AB392" ca="1">_xlfn.XLOOKUP(C392,C:C, _xlfn.HSTACK(L:L,K:K,S:S,Product_master!E:E,Product_master!F:F ))</f>
        <v>#NAME?</v>
      </c>
      <c r="Y392" s="29" t="e">
        <f ca="1"/>
        <v>#NAME?</v>
      </c>
      <c r="Z392" s="29" t="e">
        <f ca="1"/>
        <v>#NAME?</v>
      </c>
      <c r="AA392" s="29" t="e">
        <f ca="1"/>
        <v>#NAME?</v>
      </c>
      <c r="AB392" s="41" t="e">
        <f ca="1"/>
        <v>#NAME?</v>
      </c>
    </row>
    <row r="393" spans="1:28">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c r="W393" s="40" t="str">
        <f t="shared" si="6"/>
        <v>P302</v>
      </c>
      <c r="X393" s="29" t="e" cm="1">
        <f t="array" aca="1" ref="X393:AB393" ca="1">_xlfn.XLOOKUP(C393,C:C, _xlfn.HSTACK(L:L,K:K,S:S,Product_master!E:E,Product_master!F:F ))</f>
        <v>#NAME?</v>
      </c>
      <c r="Y393" s="29" t="e">
        <f ca="1"/>
        <v>#NAME?</v>
      </c>
      <c r="Z393" s="29" t="e">
        <f ca="1"/>
        <v>#NAME?</v>
      </c>
      <c r="AA393" s="29" t="e">
        <f ca="1"/>
        <v>#NAME?</v>
      </c>
      <c r="AB393" s="41" t="e">
        <f ca="1"/>
        <v>#NAME?</v>
      </c>
    </row>
    <row r="394" spans="1:28">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c r="W394" s="40" t="str">
        <f t="shared" si="6"/>
        <v>P103</v>
      </c>
      <c r="X394" s="29" t="e" cm="1">
        <f t="array" aca="1" ref="X394:AB394" ca="1">_xlfn.XLOOKUP(C394,C:C, _xlfn.HSTACK(L:L,K:K,S:S,Product_master!E:E,Product_master!F:F ))</f>
        <v>#NAME?</v>
      </c>
      <c r="Y394" s="29" t="e">
        <f ca="1"/>
        <v>#NAME?</v>
      </c>
      <c r="Z394" s="29" t="e">
        <f ca="1"/>
        <v>#NAME?</v>
      </c>
      <c r="AA394" s="29" t="e">
        <f ca="1"/>
        <v>#NAME?</v>
      </c>
      <c r="AB394" s="41" t="e">
        <f ca="1"/>
        <v>#NAME?</v>
      </c>
    </row>
    <row r="395" spans="1:28">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c r="W395" s="40" t="str">
        <f t="shared" si="6"/>
        <v>P203</v>
      </c>
      <c r="X395" s="29" t="e" cm="1">
        <f t="array" aca="1" ref="X395:AB395" ca="1">_xlfn.XLOOKUP(C395,C:C, _xlfn.HSTACK(L:L,K:K,S:S,Product_master!E:E,Product_master!F:F ))</f>
        <v>#NAME?</v>
      </c>
      <c r="Y395" s="29" t="e">
        <f ca="1"/>
        <v>#NAME?</v>
      </c>
      <c r="Z395" s="29" t="e">
        <f ca="1"/>
        <v>#NAME?</v>
      </c>
      <c r="AA395" s="29" t="e">
        <f ca="1"/>
        <v>#NAME?</v>
      </c>
      <c r="AB395" s="41" t="e">
        <f ca="1"/>
        <v>#NAME?</v>
      </c>
    </row>
    <row r="396" spans="1:28">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c r="W396" s="40" t="str">
        <f t="shared" si="6"/>
        <v>P203</v>
      </c>
      <c r="X396" s="29" t="e" cm="1">
        <f t="array" aca="1" ref="X396:AB396" ca="1">_xlfn.XLOOKUP(C396,C:C, _xlfn.HSTACK(L:L,K:K,S:S,Product_master!E:E,Product_master!F:F ))</f>
        <v>#NAME?</v>
      </c>
      <c r="Y396" s="29" t="e">
        <f ca="1"/>
        <v>#NAME?</v>
      </c>
      <c r="Z396" s="29" t="e">
        <f ca="1"/>
        <v>#NAME?</v>
      </c>
      <c r="AA396" s="29" t="e">
        <f ca="1"/>
        <v>#NAME?</v>
      </c>
      <c r="AB396" s="41" t="e">
        <f ca="1"/>
        <v>#NAME?</v>
      </c>
    </row>
    <row r="397" spans="1:28">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c r="W397" s="40" t="str">
        <f t="shared" si="6"/>
        <v>P104</v>
      </c>
      <c r="X397" s="29" t="e" cm="1">
        <f t="array" aca="1" ref="X397:AB397" ca="1">_xlfn.XLOOKUP(C397,C:C, _xlfn.HSTACK(L:L,K:K,S:S,Product_master!E:E,Product_master!F:F ))</f>
        <v>#NAME?</v>
      </c>
      <c r="Y397" s="29" t="e">
        <f ca="1"/>
        <v>#NAME?</v>
      </c>
      <c r="Z397" s="29" t="e">
        <f ca="1"/>
        <v>#NAME?</v>
      </c>
      <c r="AA397" s="29" t="e">
        <f ca="1"/>
        <v>#NAME?</v>
      </c>
      <c r="AB397" s="41" t="e">
        <f ca="1"/>
        <v>#NAME?</v>
      </c>
    </row>
    <row r="398" spans="1:28">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c r="W398" s="40" t="str">
        <f t="shared" si="6"/>
        <v>P102</v>
      </c>
      <c r="X398" s="29" t="e" cm="1">
        <f t="array" aca="1" ref="X398:AB398" ca="1">_xlfn.XLOOKUP(C398,C:C, _xlfn.HSTACK(L:L,K:K,S:S,Product_master!E:E,Product_master!F:F ))</f>
        <v>#NAME?</v>
      </c>
      <c r="Y398" s="29" t="e">
        <f ca="1"/>
        <v>#NAME?</v>
      </c>
      <c r="Z398" s="29" t="e">
        <f ca="1"/>
        <v>#NAME?</v>
      </c>
      <c r="AA398" s="29" t="e">
        <f ca="1"/>
        <v>#NAME?</v>
      </c>
      <c r="AB398" s="41" t="e">
        <f ca="1"/>
        <v>#NAME?</v>
      </c>
    </row>
    <row r="399" spans="1:28">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c r="W399" s="40" t="str">
        <f t="shared" si="6"/>
        <v>P104</v>
      </c>
      <c r="X399" s="29" t="e" cm="1">
        <f t="array" aca="1" ref="X399:AB399" ca="1">_xlfn.XLOOKUP(C399,C:C, _xlfn.HSTACK(L:L,K:K,S:S,Product_master!E:E,Product_master!F:F ))</f>
        <v>#NAME?</v>
      </c>
      <c r="Y399" s="29" t="e">
        <f ca="1"/>
        <v>#NAME?</v>
      </c>
      <c r="Z399" s="29" t="e">
        <f ca="1"/>
        <v>#NAME?</v>
      </c>
      <c r="AA399" s="29" t="e">
        <f ca="1"/>
        <v>#NAME?</v>
      </c>
      <c r="AB399" s="41" t="e">
        <f ca="1"/>
        <v>#NAME?</v>
      </c>
    </row>
    <row r="400" spans="1:28">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c r="W400" s="40" t="str">
        <f t="shared" si="6"/>
        <v>P102</v>
      </c>
      <c r="X400" s="29" t="e" cm="1">
        <f t="array" aca="1" ref="X400:AB400" ca="1">_xlfn.XLOOKUP(C400,C:C, _xlfn.HSTACK(L:L,K:K,S:S,Product_master!E:E,Product_master!F:F ))</f>
        <v>#NAME?</v>
      </c>
      <c r="Y400" s="29" t="e">
        <f ca="1"/>
        <v>#NAME?</v>
      </c>
      <c r="Z400" s="29" t="e">
        <f ca="1"/>
        <v>#NAME?</v>
      </c>
      <c r="AA400" s="29" t="e">
        <f ca="1"/>
        <v>#NAME?</v>
      </c>
      <c r="AB400" s="41" t="e">
        <f ca="1"/>
        <v>#NAME?</v>
      </c>
    </row>
    <row r="401" spans="1:28">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c r="W401" s="40" t="str">
        <f t="shared" si="6"/>
        <v>P103</v>
      </c>
      <c r="X401" s="29" t="e" cm="1">
        <f t="array" aca="1" ref="X401:AB401" ca="1">_xlfn.XLOOKUP(C401,C:C, _xlfn.HSTACK(L:L,K:K,S:S,Product_master!E:E,Product_master!F:F ))</f>
        <v>#NAME?</v>
      </c>
      <c r="Y401" s="29" t="e">
        <f ca="1"/>
        <v>#NAME?</v>
      </c>
      <c r="Z401" s="29" t="e">
        <f ca="1"/>
        <v>#NAME?</v>
      </c>
      <c r="AA401" s="29" t="e">
        <f ca="1"/>
        <v>#NAME?</v>
      </c>
      <c r="AB401" s="41" t="e">
        <f ca="1"/>
        <v>#NAME?</v>
      </c>
    </row>
    <row r="402" spans="1:28">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c r="W402" s="40" t="str">
        <f t="shared" si="6"/>
        <v>P203</v>
      </c>
      <c r="X402" s="29" t="e" cm="1">
        <f t="array" aca="1" ref="X402:AB402" ca="1">_xlfn.XLOOKUP(C402,C:C, _xlfn.HSTACK(L:L,K:K,S:S,Product_master!E:E,Product_master!F:F ))</f>
        <v>#NAME?</v>
      </c>
      <c r="Y402" s="29" t="e">
        <f ca="1"/>
        <v>#NAME?</v>
      </c>
      <c r="Z402" s="29" t="e">
        <f ca="1"/>
        <v>#NAME?</v>
      </c>
      <c r="AA402" s="29" t="e">
        <f ca="1"/>
        <v>#NAME?</v>
      </c>
      <c r="AB402" s="41" t="e">
        <f ca="1"/>
        <v>#NAME?</v>
      </c>
    </row>
    <row r="403" spans="1:28">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c r="W403" s="40" t="str">
        <f t="shared" si="6"/>
        <v>P302</v>
      </c>
      <c r="X403" s="29" t="e" cm="1">
        <f t="array" aca="1" ref="X403:AB403" ca="1">_xlfn.XLOOKUP(C403,C:C, _xlfn.HSTACK(L:L,K:K,S:S,Product_master!E:E,Product_master!F:F ))</f>
        <v>#NAME?</v>
      </c>
      <c r="Y403" s="29" t="e">
        <f ca="1"/>
        <v>#NAME?</v>
      </c>
      <c r="Z403" s="29" t="e">
        <f ca="1"/>
        <v>#NAME?</v>
      </c>
      <c r="AA403" s="29" t="e">
        <f ca="1"/>
        <v>#NAME?</v>
      </c>
      <c r="AB403" s="41" t="e">
        <f ca="1"/>
        <v>#NAME?</v>
      </c>
    </row>
    <row r="404" spans="1:28">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c r="W404" s="40" t="str">
        <f t="shared" si="6"/>
        <v>P203</v>
      </c>
      <c r="X404" s="29" t="e" cm="1">
        <f t="array" aca="1" ref="X404:AB404" ca="1">_xlfn.XLOOKUP(C404,C:C, _xlfn.HSTACK(L:L,K:K,S:S,Product_master!E:E,Product_master!F:F ))</f>
        <v>#NAME?</v>
      </c>
      <c r="Y404" s="29" t="e">
        <f ca="1"/>
        <v>#NAME?</v>
      </c>
      <c r="Z404" s="29" t="e">
        <f ca="1"/>
        <v>#NAME?</v>
      </c>
      <c r="AA404" s="29" t="e">
        <f ca="1"/>
        <v>#NAME?</v>
      </c>
      <c r="AB404" s="41" t="e">
        <f ca="1"/>
        <v>#NAME?</v>
      </c>
    </row>
    <row r="405" spans="1:28">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c r="W405" s="40" t="str">
        <f t="shared" si="6"/>
        <v>P203</v>
      </c>
      <c r="X405" s="29" t="e" cm="1">
        <f t="array" aca="1" ref="X405:AB405" ca="1">_xlfn.XLOOKUP(C405,C:C, _xlfn.HSTACK(L:L,K:K,S:S,Product_master!E:E,Product_master!F:F ))</f>
        <v>#NAME?</v>
      </c>
      <c r="Y405" s="29" t="e">
        <f ca="1"/>
        <v>#NAME?</v>
      </c>
      <c r="Z405" s="29" t="e">
        <f ca="1"/>
        <v>#NAME?</v>
      </c>
      <c r="AA405" s="29" t="e">
        <f ca="1"/>
        <v>#NAME?</v>
      </c>
      <c r="AB405" s="41" t="e">
        <f ca="1"/>
        <v>#NAME?</v>
      </c>
    </row>
    <row r="406" spans="1:28">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c r="W406" s="40" t="str">
        <f t="shared" si="6"/>
        <v>P302</v>
      </c>
      <c r="X406" s="29" t="e" cm="1">
        <f t="array" aca="1" ref="X406:AB406" ca="1">_xlfn.XLOOKUP(C406,C:C, _xlfn.HSTACK(L:L,K:K,S:S,Product_master!E:E,Product_master!F:F ))</f>
        <v>#NAME?</v>
      </c>
      <c r="Y406" s="29" t="e">
        <f ca="1"/>
        <v>#NAME?</v>
      </c>
      <c r="Z406" s="29" t="e">
        <f ca="1"/>
        <v>#NAME?</v>
      </c>
      <c r="AA406" s="29" t="e">
        <f ca="1"/>
        <v>#NAME?</v>
      </c>
      <c r="AB406" s="41" t="e">
        <f ca="1"/>
        <v>#NAME?</v>
      </c>
    </row>
    <row r="407" spans="1:28">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c r="W407" s="40" t="str">
        <f t="shared" si="6"/>
        <v>P203</v>
      </c>
      <c r="X407" s="29" t="e" cm="1">
        <f t="array" aca="1" ref="X407:AB407" ca="1">_xlfn.XLOOKUP(C407,C:C, _xlfn.HSTACK(L:L,K:K,S:S,Product_master!E:E,Product_master!F:F ))</f>
        <v>#NAME?</v>
      </c>
      <c r="Y407" s="29" t="e">
        <f ca="1"/>
        <v>#NAME?</v>
      </c>
      <c r="Z407" s="29" t="e">
        <f ca="1"/>
        <v>#NAME?</v>
      </c>
      <c r="AA407" s="29" t="e">
        <f ca="1"/>
        <v>#NAME?</v>
      </c>
      <c r="AB407" s="41" t="e">
        <f ca="1"/>
        <v>#NAME?</v>
      </c>
    </row>
    <row r="408" spans="1:28">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c r="W408" s="40" t="str">
        <f t="shared" si="6"/>
        <v>P303</v>
      </c>
      <c r="X408" s="29" t="e" cm="1">
        <f t="array" aca="1" ref="X408:AB408" ca="1">_xlfn.XLOOKUP(C408,C:C, _xlfn.HSTACK(L:L,K:K,S:S,Product_master!E:E,Product_master!F:F ))</f>
        <v>#NAME?</v>
      </c>
      <c r="Y408" s="29" t="e">
        <f ca="1"/>
        <v>#NAME?</v>
      </c>
      <c r="Z408" s="29" t="e">
        <f ca="1"/>
        <v>#NAME?</v>
      </c>
      <c r="AA408" s="29" t="e">
        <f ca="1"/>
        <v>#NAME?</v>
      </c>
      <c r="AB408" s="41" t="e">
        <f ca="1"/>
        <v>#NAME?</v>
      </c>
    </row>
    <row r="409" spans="1:28">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c r="W409" s="40" t="str">
        <f t="shared" si="6"/>
        <v>P303</v>
      </c>
      <c r="X409" s="29" t="e" cm="1">
        <f t="array" aca="1" ref="X409:AB409" ca="1">_xlfn.XLOOKUP(C409,C:C, _xlfn.HSTACK(L:L,K:K,S:S,Product_master!E:E,Product_master!F:F ))</f>
        <v>#NAME?</v>
      </c>
      <c r="Y409" s="29" t="e">
        <f ca="1"/>
        <v>#NAME?</v>
      </c>
      <c r="Z409" s="29" t="e">
        <f ca="1"/>
        <v>#NAME?</v>
      </c>
      <c r="AA409" s="29" t="e">
        <f ca="1"/>
        <v>#NAME?</v>
      </c>
      <c r="AB409" s="41" t="e">
        <f ca="1"/>
        <v>#NAME?</v>
      </c>
    </row>
    <row r="410" spans="1:28">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c r="W410" s="40" t="str">
        <f t="shared" si="6"/>
        <v>P303</v>
      </c>
      <c r="X410" s="29" t="e" cm="1">
        <f t="array" aca="1" ref="X410:AB410" ca="1">_xlfn.XLOOKUP(C410,C:C, _xlfn.HSTACK(L:L,K:K,S:S,Product_master!E:E,Product_master!F:F ))</f>
        <v>#NAME?</v>
      </c>
      <c r="Y410" s="29" t="e">
        <f ca="1"/>
        <v>#NAME?</v>
      </c>
      <c r="Z410" s="29" t="e">
        <f ca="1"/>
        <v>#NAME?</v>
      </c>
      <c r="AA410" s="29" t="e">
        <f ca="1"/>
        <v>#NAME?</v>
      </c>
      <c r="AB410" s="41" t="e">
        <f ca="1"/>
        <v>#NAME?</v>
      </c>
    </row>
    <row r="411" spans="1:28">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c r="W411" s="40" t="str">
        <f t="shared" si="6"/>
        <v>P103</v>
      </c>
      <c r="X411" s="29" t="e" cm="1">
        <f t="array" aca="1" ref="X411:AB411" ca="1">_xlfn.XLOOKUP(C411,C:C, _xlfn.HSTACK(L:L,K:K,S:S,Product_master!E:E,Product_master!F:F ))</f>
        <v>#NAME?</v>
      </c>
      <c r="Y411" s="29" t="e">
        <f ca="1"/>
        <v>#NAME?</v>
      </c>
      <c r="Z411" s="29" t="e">
        <f ca="1"/>
        <v>#NAME?</v>
      </c>
      <c r="AA411" s="29" t="e">
        <f ca="1"/>
        <v>#NAME?</v>
      </c>
      <c r="AB411" s="41" t="e">
        <f ca="1"/>
        <v>#NAME?</v>
      </c>
    </row>
    <row r="412" spans="1:28">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c r="W412" s="40" t="str">
        <f t="shared" si="6"/>
        <v>P302</v>
      </c>
      <c r="X412" s="29" t="e" cm="1">
        <f t="array" aca="1" ref="X412:AB412" ca="1">_xlfn.XLOOKUP(C412,C:C, _xlfn.HSTACK(L:L,K:K,S:S,Product_master!E:E,Product_master!F:F ))</f>
        <v>#NAME?</v>
      </c>
      <c r="Y412" s="29" t="e">
        <f ca="1"/>
        <v>#NAME?</v>
      </c>
      <c r="Z412" s="29" t="e">
        <f ca="1"/>
        <v>#NAME?</v>
      </c>
      <c r="AA412" s="29" t="e">
        <f ca="1"/>
        <v>#NAME?</v>
      </c>
      <c r="AB412" s="41" t="e">
        <f ca="1"/>
        <v>#NAME?</v>
      </c>
    </row>
    <row r="413" spans="1:28">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c r="W413" s="40" t="str">
        <f t="shared" si="6"/>
        <v>P201</v>
      </c>
      <c r="X413" s="29" t="e" cm="1">
        <f t="array" aca="1" ref="X413:AB413" ca="1">_xlfn.XLOOKUP(C413,C:C, _xlfn.HSTACK(L:L,K:K,S:S,Product_master!E:E,Product_master!F:F ))</f>
        <v>#NAME?</v>
      </c>
      <c r="Y413" s="29" t="e">
        <f ca="1"/>
        <v>#NAME?</v>
      </c>
      <c r="Z413" s="29" t="e">
        <f ca="1"/>
        <v>#NAME?</v>
      </c>
      <c r="AA413" s="29" t="e">
        <f ca="1"/>
        <v>#NAME?</v>
      </c>
      <c r="AB413" s="41" t="e">
        <f ca="1"/>
        <v>#NAME?</v>
      </c>
    </row>
    <row r="414" spans="1:28">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c r="W414" s="40" t="str">
        <f t="shared" si="6"/>
        <v>P302</v>
      </c>
      <c r="X414" s="29" t="e" cm="1">
        <f t="array" aca="1" ref="X414:AB414" ca="1">_xlfn.XLOOKUP(C414,C:C, _xlfn.HSTACK(L:L,K:K,S:S,Product_master!E:E,Product_master!F:F ))</f>
        <v>#NAME?</v>
      </c>
      <c r="Y414" s="29" t="e">
        <f ca="1"/>
        <v>#NAME?</v>
      </c>
      <c r="Z414" s="29" t="e">
        <f ca="1"/>
        <v>#NAME?</v>
      </c>
      <c r="AA414" s="29" t="e">
        <f ca="1"/>
        <v>#NAME?</v>
      </c>
      <c r="AB414" s="41" t="e">
        <f ca="1"/>
        <v>#NAME?</v>
      </c>
    </row>
    <row r="415" spans="1:28">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c r="W415" s="40" t="str">
        <f t="shared" si="6"/>
        <v>P101</v>
      </c>
      <c r="X415" s="29" t="e" cm="1">
        <f t="array" aca="1" ref="X415:AB415" ca="1">_xlfn.XLOOKUP(C415,C:C, _xlfn.HSTACK(L:L,K:K,S:S,Product_master!E:E,Product_master!F:F ))</f>
        <v>#NAME?</v>
      </c>
      <c r="Y415" s="29" t="e">
        <f ca="1"/>
        <v>#NAME?</v>
      </c>
      <c r="Z415" s="29" t="e">
        <f ca="1"/>
        <v>#NAME?</v>
      </c>
      <c r="AA415" s="29" t="e">
        <f ca="1"/>
        <v>#NAME?</v>
      </c>
      <c r="AB415" s="41" t="e">
        <f ca="1"/>
        <v>#NAME?</v>
      </c>
    </row>
    <row r="416" spans="1:28">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c r="W416" s="40" t="str">
        <f t="shared" si="6"/>
        <v>P301</v>
      </c>
      <c r="X416" s="29" t="e" cm="1">
        <f t="array" aca="1" ref="X416:AB416" ca="1">_xlfn.XLOOKUP(C416,C:C, _xlfn.HSTACK(L:L,K:K,S:S,Product_master!E:E,Product_master!F:F ))</f>
        <v>#NAME?</v>
      </c>
      <c r="Y416" s="29" t="e">
        <f ca="1"/>
        <v>#NAME?</v>
      </c>
      <c r="Z416" s="29" t="e">
        <f ca="1"/>
        <v>#NAME?</v>
      </c>
      <c r="AA416" s="29" t="e">
        <f ca="1"/>
        <v>#NAME?</v>
      </c>
      <c r="AB416" s="41" t="e">
        <f ca="1"/>
        <v>#NAME?</v>
      </c>
    </row>
    <row r="417" spans="1:28">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c r="W417" s="40" t="str">
        <f t="shared" si="6"/>
        <v>P102</v>
      </c>
      <c r="X417" s="29" t="e" cm="1">
        <f t="array" aca="1" ref="X417:AB417" ca="1">_xlfn.XLOOKUP(C417,C:C, _xlfn.HSTACK(L:L,K:K,S:S,Product_master!E:E,Product_master!F:F ))</f>
        <v>#NAME?</v>
      </c>
      <c r="Y417" s="29" t="e">
        <f ca="1"/>
        <v>#NAME?</v>
      </c>
      <c r="Z417" s="29" t="e">
        <f ca="1"/>
        <v>#NAME?</v>
      </c>
      <c r="AA417" s="29" t="e">
        <f ca="1"/>
        <v>#NAME?</v>
      </c>
      <c r="AB417" s="41" t="e">
        <f ca="1"/>
        <v>#NAME?</v>
      </c>
    </row>
    <row r="418" spans="1:28">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c r="W418" s="40" t="str">
        <f t="shared" si="6"/>
        <v>P104</v>
      </c>
      <c r="X418" s="29" t="e" cm="1">
        <f t="array" aca="1" ref="X418:AB418" ca="1">_xlfn.XLOOKUP(C418,C:C, _xlfn.HSTACK(L:L,K:K,S:S,Product_master!E:E,Product_master!F:F ))</f>
        <v>#NAME?</v>
      </c>
      <c r="Y418" s="29" t="e">
        <f ca="1"/>
        <v>#NAME?</v>
      </c>
      <c r="Z418" s="29" t="e">
        <f ca="1"/>
        <v>#NAME?</v>
      </c>
      <c r="AA418" s="29" t="e">
        <f ca="1"/>
        <v>#NAME?</v>
      </c>
      <c r="AB418" s="41" t="e">
        <f ca="1"/>
        <v>#NAME?</v>
      </c>
    </row>
    <row r="419" spans="1:28">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c r="W419" s="40" t="str">
        <f t="shared" si="6"/>
        <v>P104</v>
      </c>
      <c r="X419" s="29" t="e" cm="1">
        <f t="array" aca="1" ref="X419:AB419" ca="1">_xlfn.XLOOKUP(C419,C:C, _xlfn.HSTACK(L:L,K:K,S:S,Product_master!E:E,Product_master!F:F ))</f>
        <v>#NAME?</v>
      </c>
      <c r="Y419" s="29" t="e">
        <f ca="1"/>
        <v>#NAME?</v>
      </c>
      <c r="Z419" s="29" t="e">
        <f ca="1"/>
        <v>#NAME?</v>
      </c>
      <c r="AA419" s="29" t="e">
        <f ca="1"/>
        <v>#NAME?</v>
      </c>
      <c r="AB419" s="41" t="e">
        <f ca="1"/>
        <v>#NAME?</v>
      </c>
    </row>
    <row r="420" spans="1:28">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c r="W420" s="40" t="str">
        <f t="shared" si="6"/>
        <v>P303</v>
      </c>
      <c r="X420" s="29" t="e" cm="1">
        <f t="array" aca="1" ref="X420:AB420" ca="1">_xlfn.XLOOKUP(C420,C:C, _xlfn.HSTACK(L:L,K:K,S:S,Product_master!E:E,Product_master!F:F ))</f>
        <v>#NAME?</v>
      </c>
      <c r="Y420" s="29" t="e">
        <f ca="1"/>
        <v>#NAME?</v>
      </c>
      <c r="Z420" s="29" t="e">
        <f ca="1"/>
        <v>#NAME?</v>
      </c>
      <c r="AA420" s="29" t="e">
        <f ca="1"/>
        <v>#NAME?</v>
      </c>
      <c r="AB420" s="41" t="e">
        <f ca="1"/>
        <v>#NAME?</v>
      </c>
    </row>
    <row r="421" spans="1:28">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c r="W421" s="40" t="str">
        <f t="shared" si="6"/>
        <v>P103</v>
      </c>
      <c r="X421" s="29" t="e" cm="1">
        <f t="array" aca="1" ref="X421:AB421" ca="1">_xlfn.XLOOKUP(C421,C:C, _xlfn.HSTACK(L:L,K:K,S:S,Product_master!E:E,Product_master!F:F ))</f>
        <v>#NAME?</v>
      </c>
      <c r="Y421" s="29" t="e">
        <f ca="1"/>
        <v>#NAME?</v>
      </c>
      <c r="Z421" s="29" t="e">
        <f ca="1"/>
        <v>#NAME?</v>
      </c>
      <c r="AA421" s="29" t="e">
        <f ca="1"/>
        <v>#NAME?</v>
      </c>
      <c r="AB421" s="41" t="e">
        <f ca="1"/>
        <v>#NAME?</v>
      </c>
    </row>
    <row r="422" spans="1:28">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c r="W422" s="40" t="str">
        <f t="shared" si="6"/>
        <v>P103</v>
      </c>
      <c r="X422" s="29" t="e" cm="1">
        <f t="array" aca="1" ref="X422:AB422" ca="1">_xlfn.XLOOKUP(C422,C:C, _xlfn.HSTACK(L:L,K:K,S:S,Product_master!E:E,Product_master!F:F ))</f>
        <v>#NAME?</v>
      </c>
      <c r="Y422" s="29" t="e">
        <f ca="1"/>
        <v>#NAME?</v>
      </c>
      <c r="Z422" s="29" t="e">
        <f ca="1"/>
        <v>#NAME?</v>
      </c>
      <c r="AA422" s="29" t="e">
        <f ca="1"/>
        <v>#NAME?</v>
      </c>
      <c r="AB422" s="41" t="e">
        <f ca="1"/>
        <v>#NAME?</v>
      </c>
    </row>
    <row r="423" spans="1:28">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c r="W423" s="40" t="str">
        <f t="shared" si="6"/>
        <v>P103</v>
      </c>
      <c r="X423" s="29" t="e" cm="1">
        <f t="array" aca="1" ref="X423:AB423" ca="1">_xlfn.XLOOKUP(C423,C:C, _xlfn.HSTACK(L:L,K:K,S:S,Product_master!E:E,Product_master!F:F ))</f>
        <v>#NAME?</v>
      </c>
      <c r="Y423" s="29" t="e">
        <f ca="1"/>
        <v>#NAME?</v>
      </c>
      <c r="Z423" s="29" t="e">
        <f ca="1"/>
        <v>#NAME?</v>
      </c>
      <c r="AA423" s="29" t="e">
        <f ca="1"/>
        <v>#NAME?</v>
      </c>
      <c r="AB423" s="41" t="e">
        <f ca="1"/>
        <v>#NAME?</v>
      </c>
    </row>
    <row r="424" spans="1:28">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c r="W424" s="40" t="str">
        <f t="shared" si="6"/>
        <v>P202</v>
      </c>
      <c r="X424" s="29" t="e" cm="1">
        <f t="array" aca="1" ref="X424:AB424" ca="1">_xlfn.XLOOKUP(C424,C:C, _xlfn.HSTACK(L:L,K:K,S:S,Product_master!E:E,Product_master!F:F ))</f>
        <v>#NAME?</v>
      </c>
      <c r="Y424" s="29" t="e">
        <f ca="1"/>
        <v>#NAME?</v>
      </c>
      <c r="Z424" s="29" t="e">
        <f ca="1"/>
        <v>#NAME?</v>
      </c>
      <c r="AA424" s="29" t="e">
        <f ca="1"/>
        <v>#NAME?</v>
      </c>
      <c r="AB424" s="41" t="e">
        <f ca="1"/>
        <v>#NAME?</v>
      </c>
    </row>
    <row r="425" spans="1:28">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c r="W425" s="40" t="str">
        <f t="shared" si="6"/>
        <v>P302</v>
      </c>
      <c r="X425" s="29" t="e" cm="1">
        <f t="array" aca="1" ref="X425:AB425" ca="1">_xlfn.XLOOKUP(C425,C:C, _xlfn.HSTACK(L:L,K:K,S:S,Product_master!E:E,Product_master!F:F ))</f>
        <v>#NAME?</v>
      </c>
      <c r="Y425" s="29" t="e">
        <f ca="1"/>
        <v>#NAME?</v>
      </c>
      <c r="Z425" s="29" t="e">
        <f ca="1"/>
        <v>#NAME?</v>
      </c>
      <c r="AA425" s="29" t="e">
        <f ca="1"/>
        <v>#NAME?</v>
      </c>
      <c r="AB425" s="41" t="e">
        <f ca="1"/>
        <v>#NAME?</v>
      </c>
    </row>
    <row r="426" spans="1:28">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c r="W426" s="40" t="str">
        <f t="shared" si="6"/>
        <v>P101</v>
      </c>
      <c r="X426" s="29" t="e" cm="1">
        <f t="array" aca="1" ref="X426:AB426" ca="1">_xlfn.XLOOKUP(C426,C:C, _xlfn.HSTACK(L:L,K:K,S:S,Product_master!E:E,Product_master!F:F ))</f>
        <v>#NAME?</v>
      </c>
      <c r="Y426" s="29" t="e">
        <f ca="1"/>
        <v>#NAME?</v>
      </c>
      <c r="Z426" s="29" t="e">
        <f ca="1"/>
        <v>#NAME?</v>
      </c>
      <c r="AA426" s="29" t="e">
        <f ca="1"/>
        <v>#NAME?</v>
      </c>
      <c r="AB426" s="41" t="e">
        <f ca="1"/>
        <v>#NAME?</v>
      </c>
    </row>
    <row r="427" spans="1:28">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c r="W427" s="40" t="str">
        <f t="shared" si="6"/>
        <v>P103</v>
      </c>
      <c r="X427" s="29" t="e" cm="1">
        <f t="array" aca="1" ref="X427:AB427" ca="1">_xlfn.XLOOKUP(C427,C:C, _xlfn.HSTACK(L:L,K:K,S:S,Product_master!E:E,Product_master!F:F ))</f>
        <v>#NAME?</v>
      </c>
      <c r="Y427" s="29" t="e">
        <f ca="1"/>
        <v>#NAME?</v>
      </c>
      <c r="Z427" s="29" t="e">
        <f ca="1"/>
        <v>#NAME?</v>
      </c>
      <c r="AA427" s="29" t="e">
        <f ca="1"/>
        <v>#NAME?</v>
      </c>
      <c r="AB427" s="41" t="e">
        <f ca="1"/>
        <v>#NAME?</v>
      </c>
    </row>
    <row r="428" spans="1:28">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c r="W428" s="40" t="str">
        <f t="shared" si="6"/>
        <v>P203</v>
      </c>
      <c r="X428" s="29" t="e" cm="1">
        <f t="array" aca="1" ref="X428:AB428" ca="1">_xlfn.XLOOKUP(C428,C:C, _xlfn.HSTACK(L:L,K:K,S:S,Product_master!E:E,Product_master!F:F ))</f>
        <v>#NAME?</v>
      </c>
      <c r="Y428" s="29" t="e">
        <f ca="1"/>
        <v>#NAME?</v>
      </c>
      <c r="Z428" s="29" t="e">
        <f ca="1"/>
        <v>#NAME?</v>
      </c>
      <c r="AA428" s="29" t="e">
        <f ca="1"/>
        <v>#NAME?</v>
      </c>
      <c r="AB428" s="41" t="e">
        <f ca="1"/>
        <v>#NAME?</v>
      </c>
    </row>
    <row r="429" spans="1:28">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c r="W429" s="40" t="str">
        <f t="shared" si="6"/>
        <v>P301</v>
      </c>
      <c r="X429" s="29" t="e" cm="1">
        <f t="array" aca="1" ref="X429:AB429" ca="1">_xlfn.XLOOKUP(C429,C:C, _xlfn.HSTACK(L:L,K:K,S:S,Product_master!E:E,Product_master!F:F ))</f>
        <v>#NAME?</v>
      </c>
      <c r="Y429" s="29" t="e">
        <f ca="1"/>
        <v>#NAME?</v>
      </c>
      <c r="Z429" s="29" t="e">
        <f ca="1"/>
        <v>#NAME?</v>
      </c>
      <c r="AA429" s="29" t="e">
        <f ca="1"/>
        <v>#NAME?</v>
      </c>
      <c r="AB429" s="41" t="e">
        <f ca="1"/>
        <v>#NAME?</v>
      </c>
    </row>
    <row r="430" spans="1:28">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c r="W430" s="40" t="str">
        <f t="shared" si="6"/>
        <v>P202</v>
      </c>
      <c r="X430" s="29" t="e" cm="1">
        <f t="array" aca="1" ref="X430:AB430" ca="1">_xlfn.XLOOKUP(C430,C:C, _xlfn.HSTACK(L:L,K:K,S:S,Product_master!E:E,Product_master!F:F ))</f>
        <v>#NAME?</v>
      </c>
      <c r="Y430" s="29" t="e">
        <f ca="1"/>
        <v>#NAME?</v>
      </c>
      <c r="Z430" s="29" t="e">
        <f ca="1"/>
        <v>#NAME?</v>
      </c>
      <c r="AA430" s="29" t="e">
        <f ca="1"/>
        <v>#NAME?</v>
      </c>
      <c r="AB430" s="41" t="e">
        <f ca="1"/>
        <v>#NAME?</v>
      </c>
    </row>
    <row r="431" spans="1:28">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c r="W431" s="40" t="str">
        <f t="shared" si="6"/>
        <v>P301</v>
      </c>
      <c r="X431" s="29" t="e" cm="1">
        <f t="array" aca="1" ref="X431:AB431" ca="1">_xlfn.XLOOKUP(C431,C:C, _xlfn.HSTACK(L:L,K:K,S:S,Product_master!E:E,Product_master!F:F ))</f>
        <v>#NAME?</v>
      </c>
      <c r="Y431" s="29" t="e">
        <f ca="1"/>
        <v>#NAME?</v>
      </c>
      <c r="Z431" s="29" t="e">
        <f ca="1"/>
        <v>#NAME?</v>
      </c>
      <c r="AA431" s="29" t="e">
        <f ca="1"/>
        <v>#NAME?</v>
      </c>
      <c r="AB431" s="41" t="e">
        <f ca="1"/>
        <v>#NAME?</v>
      </c>
    </row>
    <row r="432" spans="1:28">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c r="W432" s="40" t="str">
        <f t="shared" si="6"/>
        <v>P303</v>
      </c>
      <c r="X432" s="29" t="e" cm="1">
        <f t="array" aca="1" ref="X432:AB432" ca="1">_xlfn.XLOOKUP(C432,C:C, _xlfn.HSTACK(L:L,K:K,S:S,Product_master!E:E,Product_master!F:F ))</f>
        <v>#NAME?</v>
      </c>
      <c r="Y432" s="29" t="e">
        <f ca="1"/>
        <v>#NAME?</v>
      </c>
      <c r="Z432" s="29" t="e">
        <f ca="1"/>
        <v>#NAME?</v>
      </c>
      <c r="AA432" s="29" t="e">
        <f ca="1"/>
        <v>#NAME?</v>
      </c>
      <c r="AB432" s="41" t="e">
        <f ca="1"/>
        <v>#NAME?</v>
      </c>
    </row>
    <row r="433" spans="1:28">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c r="W433" s="40" t="str">
        <f t="shared" si="6"/>
        <v>P104</v>
      </c>
      <c r="X433" s="29" t="e" cm="1">
        <f t="array" aca="1" ref="X433:AB433" ca="1">_xlfn.XLOOKUP(C433,C:C, _xlfn.HSTACK(L:L,K:K,S:S,Product_master!E:E,Product_master!F:F ))</f>
        <v>#NAME?</v>
      </c>
      <c r="Y433" s="29" t="e">
        <f ca="1"/>
        <v>#NAME?</v>
      </c>
      <c r="Z433" s="29" t="e">
        <f ca="1"/>
        <v>#NAME?</v>
      </c>
      <c r="AA433" s="29" t="e">
        <f ca="1"/>
        <v>#NAME?</v>
      </c>
      <c r="AB433" s="41" t="e">
        <f ca="1"/>
        <v>#NAME?</v>
      </c>
    </row>
    <row r="434" spans="1:28">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c r="W434" s="40" t="str">
        <f t="shared" si="6"/>
        <v>P302</v>
      </c>
      <c r="X434" s="29" t="e" cm="1">
        <f t="array" aca="1" ref="X434:AB434" ca="1">_xlfn.XLOOKUP(C434,C:C, _xlfn.HSTACK(L:L,K:K,S:S,Product_master!E:E,Product_master!F:F ))</f>
        <v>#NAME?</v>
      </c>
      <c r="Y434" s="29" t="e">
        <f ca="1"/>
        <v>#NAME?</v>
      </c>
      <c r="Z434" s="29" t="e">
        <f ca="1"/>
        <v>#NAME?</v>
      </c>
      <c r="AA434" s="29" t="e">
        <f ca="1"/>
        <v>#NAME?</v>
      </c>
      <c r="AB434" s="41" t="e">
        <f ca="1"/>
        <v>#NAME?</v>
      </c>
    </row>
    <row r="435" spans="1:28">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c r="W435" s="40" t="str">
        <f t="shared" si="6"/>
        <v>P201</v>
      </c>
      <c r="X435" s="29" t="e" cm="1">
        <f t="array" aca="1" ref="X435:AB435" ca="1">_xlfn.XLOOKUP(C435,C:C, _xlfn.HSTACK(L:L,K:K,S:S,Product_master!E:E,Product_master!F:F ))</f>
        <v>#NAME?</v>
      </c>
      <c r="Y435" s="29" t="e">
        <f ca="1"/>
        <v>#NAME?</v>
      </c>
      <c r="Z435" s="29" t="e">
        <f ca="1"/>
        <v>#NAME?</v>
      </c>
      <c r="AA435" s="29" t="e">
        <f ca="1"/>
        <v>#NAME?</v>
      </c>
      <c r="AB435" s="41" t="e">
        <f ca="1"/>
        <v>#NAME?</v>
      </c>
    </row>
    <row r="436" spans="1:28">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c r="W436" s="40" t="str">
        <f t="shared" si="6"/>
        <v>P203</v>
      </c>
      <c r="X436" s="29" t="e" cm="1">
        <f t="array" aca="1" ref="X436:AB436" ca="1">_xlfn.XLOOKUP(C436,C:C, _xlfn.HSTACK(L:L,K:K,S:S,Product_master!E:E,Product_master!F:F ))</f>
        <v>#NAME?</v>
      </c>
      <c r="Y436" s="29" t="e">
        <f ca="1"/>
        <v>#NAME?</v>
      </c>
      <c r="Z436" s="29" t="e">
        <f ca="1"/>
        <v>#NAME?</v>
      </c>
      <c r="AA436" s="29" t="e">
        <f ca="1"/>
        <v>#NAME?</v>
      </c>
      <c r="AB436" s="41" t="e">
        <f ca="1"/>
        <v>#NAME?</v>
      </c>
    </row>
    <row r="437" spans="1:28">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c r="W437" s="40" t="str">
        <f t="shared" si="6"/>
        <v>P301</v>
      </c>
      <c r="X437" s="29" t="e" cm="1">
        <f t="array" aca="1" ref="X437:AB437" ca="1">_xlfn.XLOOKUP(C437,C:C, _xlfn.HSTACK(L:L,K:K,S:S,Product_master!E:E,Product_master!F:F ))</f>
        <v>#NAME?</v>
      </c>
      <c r="Y437" s="29" t="e">
        <f ca="1"/>
        <v>#NAME?</v>
      </c>
      <c r="Z437" s="29" t="e">
        <f ca="1"/>
        <v>#NAME?</v>
      </c>
      <c r="AA437" s="29" t="e">
        <f ca="1"/>
        <v>#NAME?</v>
      </c>
      <c r="AB437" s="41" t="e">
        <f ca="1"/>
        <v>#NAME?</v>
      </c>
    </row>
    <row r="438" spans="1:28">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c r="W438" s="40" t="str">
        <f t="shared" si="6"/>
        <v>P301</v>
      </c>
      <c r="X438" s="29" t="e" cm="1">
        <f t="array" aca="1" ref="X438:AB438" ca="1">_xlfn.XLOOKUP(C438,C:C, _xlfn.HSTACK(L:L,K:K,S:S,Product_master!E:E,Product_master!F:F ))</f>
        <v>#NAME?</v>
      </c>
      <c r="Y438" s="29" t="e">
        <f ca="1"/>
        <v>#NAME?</v>
      </c>
      <c r="Z438" s="29" t="e">
        <f ca="1"/>
        <v>#NAME?</v>
      </c>
      <c r="AA438" s="29" t="e">
        <f ca="1"/>
        <v>#NAME?</v>
      </c>
      <c r="AB438" s="41" t="e">
        <f ca="1"/>
        <v>#NAME?</v>
      </c>
    </row>
    <row r="439" spans="1:28">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c r="W439" s="40" t="str">
        <f t="shared" si="6"/>
        <v>P102</v>
      </c>
      <c r="X439" s="29" t="e" cm="1">
        <f t="array" aca="1" ref="X439:AB439" ca="1">_xlfn.XLOOKUP(C439,C:C, _xlfn.HSTACK(L:L,K:K,S:S,Product_master!E:E,Product_master!F:F ))</f>
        <v>#NAME?</v>
      </c>
      <c r="Y439" s="29" t="e">
        <f ca="1"/>
        <v>#NAME?</v>
      </c>
      <c r="Z439" s="29" t="e">
        <f ca="1"/>
        <v>#NAME?</v>
      </c>
      <c r="AA439" s="29" t="e">
        <f ca="1"/>
        <v>#NAME?</v>
      </c>
      <c r="AB439" s="41" t="e">
        <f ca="1"/>
        <v>#NAME?</v>
      </c>
    </row>
    <row r="440" spans="1:28">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c r="W440" s="40" t="str">
        <f t="shared" si="6"/>
        <v>P302</v>
      </c>
      <c r="X440" s="29" t="e" cm="1">
        <f t="array" aca="1" ref="X440:AB440" ca="1">_xlfn.XLOOKUP(C440,C:C, _xlfn.HSTACK(L:L,K:K,S:S,Product_master!E:E,Product_master!F:F ))</f>
        <v>#NAME?</v>
      </c>
      <c r="Y440" s="29" t="e">
        <f ca="1"/>
        <v>#NAME?</v>
      </c>
      <c r="Z440" s="29" t="e">
        <f ca="1"/>
        <v>#NAME?</v>
      </c>
      <c r="AA440" s="29" t="e">
        <f ca="1"/>
        <v>#NAME?</v>
      </c>
      <c r="AB440" s="41" t="e">
        <f ca="1"/>
        <v>#NAME?</v>
      </c>
    </row>
    <row r="441" spans="1:28">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c r="W441" s="40" t="str">
        <f t="shared" si="6"/>
        <v>P302</v>
      </c>
      <c r="X441" s="29" t="e" cm="1">
        <f t="array" aca="1" ref="X441:AB441" ca="1">_xlfn.XLOOKUP(C441,C:C, _xlfn.HSTACK(L:L,K:K,S:S,Product_master!E:E,Product_master!F:F ))</f>
        <v>#NAME?</v>
      </c>
      <c r="Y441" s="29" t="e">
        <f ca="1"/>
        <v>#NAME?</v>
      </c>
      <c r="Z441" s="29" t="e">
        <f ca="1"/>
        <v>#NAME?</v>
      </c>
      <c r="AA441" s="29" t="e">
        <f ca="1"/>
        <v>#NAME?</v>
      </c>
      <c r="AB441" s="41" t="e">
        <f ca="1"/>
        <v>#NAME?</v>
      </c>
    </row>
    <row r="442" spans="1:28">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c r="W442" s="40" t="str">
        <f t="shared" si="6"/>
        <v>P201</v>
      </c>
      <c r="X442" s="29" t="e" cm="1">
        <f t="array" aca="1" ref="X442:AB442" ca="1">_xlfn.XLOOKUP(C442,C:C, _xlfn.HSTACK(L:L,K:K,S:S,Product_master!E:E,Product_master!F:F ))</f>
        <v>#NAME?</v>
      </c>
      <c r="Y442" s="29" t="e">
        <f ca="1"/>
        <v>#NAME?</v>
      </c>
      <c r="Z442" s="29" t="e">
        <f ca="1"/>
        <v>#NAME?</v>
      </c>
      <c r="AA442" s="29" t="e">
        <f ca="1"/>
        <v>#NAME?</v>
      </c>
      <c r="AB442" s="41" t="e">
        <f ca="1"/>
        <v>#NAME?</v>
      </c>
    </row>
    <row r="443" spans="1:28">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c r="W443" s="40" t="str">
        <f t="shared" si="6"/>
        <v>P201</v>
      </c>
      <c r="X443" s="29" t="e" cm="1">
        <f t="array" aca="1" ref="X443:AB443" ca="1">_xlfn.XLOOKUP(C443,C:C, _xlfn.HSTACK(L:L,K:K,S:S,Product_master!E:E,Product_master!F:F ))</f>
        <v>#NAME?</v>
      </c>
      <c r="Y443" s="29" t="e">
        <f ca="1"/>
        <v>#NAME?</v>
      </c>
      <c r="Z443" s="29" t="e">
        <f ca="1"/>
        <v>#NAME?</v>
      </c>
      <c r="AA443" s="29" t="e">
        <f ca="1"/>
        <v>#NAME?</v>
      </c>
      <c r="AB443" s="41" t="e">
        <f ca="1"/>
        <v>#NAME?</v>
      </c>
    </row>
    <row r="444" spans="1:28">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c r="W444" s="40" t="str">
        <f t="shared" si="6"/>
        <v>P301</v>
      </c>
      <c r="X444" s="29" t="e" cm="1">
        <f t="array" aca="1" ref="X444:AB444" ca="1">_xlfn.XLOOKUP(C444,C:C, _xlfn.HSTACK(L:L,K:K,S:S,Product_master!E:E,Product_master!F:F ))</f>
        <v>#NAME?</v>
      </c>
      <c r="Y444" s="29" t="e">
        <f ca="1"/>
        <v>#NAME?</v>
      </c>
      <c r="Z444" s="29" t="e">
        <f ca="1"/>
        <v>#NAME?</v>
      </c>
      <c r="AA444" s="29" t="e">
        <f ca="1"/>
        <v>#NAME?</v>
      </c>
      <c r="AB444" s="41" t="e">
        <f ca="1"/>
        <v>#NAME?</v>
      </c>
    </row>
    <row r="445" spans="1:28">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c r="W445" s="40" t="str">
        <f t="shared" si="6"/>
        <v>P103</v>
      </c>
      <c r="X445" s="29" t="e" cm="1">
        <f t="array" aca="1" ref="X445:AB445" ca="1">_xlfn.XLOOKUP(C445,C:C, _xlfn.HSTACK(L:L,K:K,S:S,Product_master!E:E,Product_master!F:F ))</f>
        <v>#NAME?</v>
      </c>
      <c r="Y445" s="29" t="e">
        <f ca="1"/>
        <v>#NAME?</v>
      </c>
      <c r="Z445" s="29" t="e">
        <f ca="1"/>
        <v>#NAME?</v>
      </c>
      <c r="AA445" s="29" t="e">
        <f ca="1"/>
        <v>#NAME?</v>
      </c>
      <c r="AB445" s="41" t="e">
        <f ca="1"/>
        <v>#NAME?</v>
      </c>
    </row>
    <row r="446" spans="1:28">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c r="W446" s="40" t="str">
        <f t="shared" si="6"/>
        <v>P101</v>
      </c>
      <c r="X446" s="29" t="e" cm="1">
        <f t="array" aca="1" ref="X446:AB446" ca="1">_xlfn.XLOOKUP(C446,C:C, _xlfn.HSTACK(L:L,K:K,S:S,Product_master!E:E,Product_master!F:F ))</f>
        <v>#NAME?</v>
      </c>
      <c r="Y446" s="29" t="e">
        <f ca="1"/>
        <v>#NAME?</v>
      </c>
      <c r="Z446" s="29" t="e">
        <f ca="1"/>
        <v>#NAME?</v>
      </c>
      <c r="AA446" s="29" t="e">
        <f ca="1"/>
        <v>#NAME?</v>
      </c>
      <c r="AB446" s="41" t="e">
        <f ca="1"/>
        <v>#NAME?</v>
      </c>
    </row>
    <row r="447" spans="1:28">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c r="W447" s="40" t="str">
        <f t="shared" si="6"/>
        <v>P303</v>
      </c>
      <c r="X447" s="29" t="e" cm="1">
        <f t="array" aca="1" ref="X447:AB447" ca="1">_xlfn.XLOOKUP(C447,C:C, _xlfn.HSTACK(L:L,K:K,S:S,Product_master!E:E,Product_master!F:F ))</f>
        <v>#NAME?</v>
      </c>
      <c r="Y447" s="29" t="e">
        <f ca="1"/>
        <v>#NAME?</v>
      </c>
      <c r="Z447" s="29" t="e">
        <f ca="1"/>
        <v>#NAME?</v>
      </c>
      <c r="AA447" s="29" t="e">
        <f ca="1"/>
        <v>#NAME?</v>
      </c>
      <c r="AB447" s="41" t="e">
        <f ca="1"/>
        <v>#NAME?</v>
      </c>
    </row>
    <row r="448" spans="1:28">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c r="W448" s="40" t="str">
        <f t="shared" si="6"/>
        <v>P302</v>
      </c>
      <c r="X448" s="29" t="e" cm="1">
        <f t="array" aca="1" ref="X448:AB448" ca="1">_xlfn.XLOOKUP(C448,C:C, _xlfn.HSTACK(L:L,K:K,S:S,Product_master!E:E,Product_master!F:F ))</f>
        <v>#NAME?</v>
      </c>
      <c r="Y448" s="29" t="e">
        <f ca="1"/>
        <v>#NAME?</v>
      </c>
      <c r="Z448" s="29" t="e">
        <f ca="1"/>
        <v>#NAME?</v>
      </c>
      <c r="AA448" s="29" t="e">
        <f ca="1"/>
        <v>#NAME?</v>
      </c>
      <c r="AB448" s="41" t="e">
        <f ca="1"/>
        <v>#NAME?</v>
      </c>
    </row>
    <row r="449" spans="1:28">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c r="W449" s="40" t="str">
        <f t="shared" si="6"/>
        <v>P101</v>
      </c>
      <c r="X449" s="29" t="e" cm="1">
        <f t="array" aca="1" ref="X449:AB449" ca="1">_xlfn.XLOOKUP(C449,C:C, _xlfn.HSTACK(L:L,K:K,S:S,Product_master!E:E,Product_master!F:F ))</f>
        <v>#NAME?</v>
      </c>
      <c r="Y449" s="29" t="e">
        <f ca="1"/>
        <v>#NAME?</v>
      </c>
      <c r="Z449" s="29" t="e">
        <f ca="1"/>
        <v>#NAME?</v>
      </c>
      <c r="AA449" s="29" t="e">
        <f ca="1"/>
        <v>#NAME?</v>
      </c>
      <c r="AB449" s="41" t="e">
        <f ca="1"/>
        <v>#NAME?</v>
      </c>
    </row>
    <row r="450" spans="1:28">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c r="W450" s="40" t="str">
        <f t="shared" si="6"/>
        <v>P103</v>
      </c>
      <c r="X450" s="29" t="e" cm="1">
        <f t="array" aca="1" ref="X450:AB450" ca="1">_xlfn.XLOOKUP(C450,C:C, _xlfn.HSTACK(L:L,K:K,S:S,Product_master!E:E,Product_master!F:F ))</f>
        <v>#NAME?</v>
      </c>
      <c r="Y450" s="29" t="e">
        <f ca="1"/>
        <v>#NAME?</v>
      </c>
      <c r="Z450" s="29" t="e">
        <f ca="1"/>
        <v>#NAME?</v>
      </c>
      <c r="AA450" s="29" t="e">
        <f ca="1"/>
        <v>#NAME?</v>
      </c>
      <c r="AB450" s="41" t="e">
        <f ca="1"/>
        <v>#NAME?</v>
      </c>
    </row>
    <row r="451" spans="1:28">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c r="W451" s="40" t="str">
        <f t="shared" ref="W451:W501" si="7">C451</f>
        <v>P203</v>
      </c>
      <c r="X451" s="29" t="e" cm="1">
        <f t="array" aca="1" ref="X451:AB451" ca="1">_xlfn.XLOOKUP(C451,C:C, _xlfn.HSTACK(L:L,K:K,S:S,Product_master!E:E,Product_master!F:F ))</f>
        <v>#NAME?</v>
      </c>
      <c r="Y451" s="29" t="e">
        <f ca="1"/>
        <v>#NAME?</v>
      </c>
      <c r="Z451" s="29" t="e">
        <f ca="1"/>
        <v>#NAME?</v>
      </c>
      <c r="AA451" s="29" t="e">
        <f ca="1"/>
        <v>#NAME?</v>
      </c>
      <c r="AB451" s="41" t="e">
        <f ca="1"/>
        <v>#NAME?</v>
      </c>
    </row>
    <row r="452" spans="1:28">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c r="W452" s="40" t="str">
        <f t="shared" si="7"/>
        <v>P303</v>
      </c>
      <c r="X452" s="29" t="e" cm="1">
        <f t="array" aca="1" ref="X452:AB452" ca="1">_xlfn.XLOOKUP(C452,C:C, _xlfn.HSTACK(L:L,K:K,S:S,Product_master!E:E,Product_master!F:F ))</f>
        <v>#NAME?</v>
      </c>
      <c r="Y452" s="29" t="e">
        <f ca="1"/>
        <v>#NAME?</v>
      </c>
      <c r="Z452" s="29" t="e">
        <f ca="1"/>
        <v>#NAME?</v>
      </c>
      <c r="AA452" s="29" t="e">
        <f ca="1"/>
        <v>#NAME?</v>
      </c>
      <c r="AB452" s="41" t="e">
        <f ca="1"/>
        <v>#NAME?</v>
      </c>
    </row>
    <row r="453" spans="1:28">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c r="W453" s="40" t="str">
        <f t="shared" si="7"/>
        <v>P101</v>
      </c>
      <c r="X453" s="29" t="e" cm="1">
        <f t="array" aca="1" ref="X453:AB453" ca="1">_xlfn.XLOOKUP(C453,C:C, _xlfn.HSTACK(L:L,K:K,S:S,Product_master!E:E,Product_master!F:F ))</f>
        <v>#NAME?</v>
      </c>
      <c r="Y453" s="29" t="e">
        <f ca="1"/>
        <v>#NAME?</v>
      </c>
      <c r="Z453" s="29" t="e">
        <f ca="1"/>
        <v>#NAME?</v>
      </c>
      <c r="AA453" s="29" t="e">
        <f ca="1"/>
        <v>#NAME?</v>
      </c>
      <c r="AB453" s="41" t="e">
        <f ca="1"/>
        <v>#NAME?</v>
      </c>
    </row>
    <row r="454" spans="1:28">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c r="W454" s="40" t="str">
        <f t="shared" si="7"/>
        <v>P102</v>
      </c>
      <c r="X454" s="29" t="e" cm="1">
        <f t="array" aca="1" ref="X454:AB454" ca="1">_xlfn.XLOOKUP(C454,C:C, _xlfn.HSTACK(L:L,K:K,S:S,Product_master!E:E,Product_master!F:F ))</f>
        <v>#NAME?</v>
      </c>
      <c r="Y454" s="29" t="e">
        <f ca="1"/>
        <v>#NAME?</v>
      </c>
      <c r="Z454" s="29" t="e">
        <f ca="1"/>
        <v>#NAME?</v>
      </c>
      <c r="AA454" s="29" t="e">
        <f ca="1"/>
        <v>#NAME?</v>
      </c>
      <c r="AB454" s="41" t="e">
        <f ca="1"/>
        <v>#NAME?</v>
      </c>
    </row>
    <row r="455" spans="1:28">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c r="W455" s="40" t="str">
        <f t="shared" si="7"/>
        <v>P103</v>
      </c>
      <c r="X455" s="29" t="e" cm="1">
        <f t="array" aca="1" ref="X455:AB455" ca="1">_xlfn.XLOOKUP(C455,C:C, _xlfn.HSTACK(L:L,K:K,S:S,Product_master!E:E,Product_master!F:F ))</f>
        <v>#NAME?</v>
      </c>
      <c r="Y455" s="29" t="e">
        <f ca="1"/>
        <v>#NAME?</v>
      </c>
      <c r="Z455" s="29" t="e">
        <f ca="1"/>
        <v>#NAME?</v>
      </c>
      <c r="AA455" s="29" t="e">
        <f ca="1"/>
        <v>#NAME?</v>
      </c>
      <c r="AB455" s="41" t="e">
        <f ca="1"/>
        <v>#NAME?</v>
      </c>
    </row>
    <row r="456" spans="1:28">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c r="W456" s="40" t="str">
        <f t="shared" si="7"/>
        <v>P201</v>
      </c>
      <c r="X456" s="29" t="e" cm="1">
        <f t="array" aca="1" ref="X456:AB456" ca="1">_xlfn.XLOOKUP(C456,C:C, _xlfn.HSTACK(L:L,K:K,S:S,Product_master!E:E,Product_master!F:F ))</f>
        <v>#NAME?</v>
      </c>
      <c r="Y456" s="29" t="e">
        <f ca="1"/>
        <v>#NAME?</v>
      </c>
      <c r="Z456" s="29" t="e">
        <f ca="1"/>
        <v>#NAME?</v>
      </c>
      <c r="AA456" s="29" t="e">
        <f ca="1"/>
        <v>#NAME?</v>
      </c>
      <c r="AB456" s="41" t="e">
        <f ca="1"/>
        <v>#NAME?</v>
      </c>
    </row>
    <row r="457" spans="1:28">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c r="W457" s="40" t="str">
        <f t="shared" si="7"/>
        <v>P101</v>
      </c>
      <c r="X457" s="29" t="e" cm="1">
        <f t="array" aca="1" ref="X457:AB457" ca="1">_xlfn.XLOOKUP(C457,C:C, _xlfn.HSTACK(L:L,K:K,S:S,Product_master!E:E,Product_master!F:F ))</f>
        <v>#NAME?</v>
      </c>
      <c r="Y457" s="29" t="e">
        <f ca="1"/>
        <v>#NAME?</v>
      </c>
      <c r="Z457" s="29" t="e">
        <f ca="1"/>
        <v>#NAME?</v>
      </c>
      <c r="AA457" s="29" t="e">
        <f ca="1"/>
        <v>#NAME?</v>
      </c>
      <c r="AB457" s="41" t="e">
        <f ca="1"/>
        <v>#NAME?</v>
      </c>
    </row>
    <row r="458" spans="1:28">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c r="W458" s="40" t="str">
        <f t="shared" si="7"/>
        <v>P104</v>
      </c>
      <c r="X458" s="29" t="e" cm="1">
        <f t="array" aca="1" ref="X458:AB458" ca="1">_xlfn.XLOOKUP(C458,C:C, _xlfn.HSTACK(L:L,K:K,S:S,Product_master!E:E,Product_master!F:F ))</f>
        <v>#NAME?</v>
      </c>
      <c r="Y458" s="29" t="e">
        <f ca="1"/>
        <v>#NAME?</v>
      </c>
      <c r="Z458" s="29" t="e">
        <f ca="1"/>
        <v>#NAME?</v>
      </c>
      <c r="AA458" s="29" t="e">
        <f ca="1"/>
        <v>#NAME?</v>
      </c>
      <c r="AB458" s="41" t="e">
        <f ca="1"/>
        <v>#NAME?</v>
      </c>
    </row>
    <row r="459" spans="1:28">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c r="W459" s="40" t="str">
        <f t="shared" si="7"/>
        <v>P301</v>
      </c>
      <c r="X459" s="29" t="e" cm="1">
        <f t="array" aca="1" ref="X459:AB459" ca="1">_xlfn.XLOOKUP(C459,C:C, _xlfn.HSTACK(L:L,K:K,S:S,Product_master!E:E,Product_master!F:F ))</f>
        <v>#NAME?</v>
      </c>
      <c r="Y459" s="29" t="e">
        <f ca="1"/>
        <v>#NAME?</v>
      </c>
      <c r="Z459" s="29" t="e">
        <f ca="1"/>
        <v>#NAME?</v>
      </c>
      <c r="AA459" s="29" t="e">
        <f ca="1"/>
        <v>#NAME?</v>
      </c>
      <c r="AB459" s="41" t="e">
        <f ca="1"/>
        <v>#NAME?</v>
      </c>
    </row>
    <row r="460" spans="1:28">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c r="W460" s="40" t="str">
        <f t="shared" si="7"/>
        <v>P202</v>
      </c>
      <c r="X460" s="29" t="e" cm="1">
        <f t="array" aca="1" ref="X460:AB460" ca="1">_xlfn.XLOOKUP(C460,C:C, _xlfn.HSTACK(L:L,K:K,S:S,Product_master!E:E,Product_master!F:F ))</f>
        <v>#NAME?</v>
      </c>
      <c r="Y460" s="29" t="e">
        <f ca="1"/>
        <v>#NAME?</v>
      </c>
      <c r="Z460" s="29" t="e">
        <f ca="1"/>
        <v>#NAME?</v>
      </c>
      <c r="AA460" s="29" t="e">
        <f ca="1"/>
        <v>#NAME?</v>
      </c>
      <c r="AB460" s="41" t="e">
        <f ca="1"/>
        <v>#NAME?</v>
      </c>
    </row>
    <row r="461" spans="1:28">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c r="W461" s="40" t="str">
        <f t="shared" si="7"/>
        <v>P102</v>
      </c>
      <c r="X461" s="29" t="e" cm="1">
        <f t="array" aca="1" ref="X461:AB461" ca="1">_xlfn.XLOOKUP(C461,C:C, _xlfn.HSTACK(L:L,K:K,S:S,Product_master!E:E,Product_master!F:F ))</f>
        <v>#NAME?</v>
      </c>
      <c r="Y461" s="29" t="e">
        <f ca="1"/>
        <v>#NAME?</v>
      </c>
      <c r="Z461" s="29" t="e">
        <f ca="1"/>
        <v>#NAME?</v>
      </c>
      <c r="AA461" s="29" t="e">
        <f ca="1"/>
        <v>#NAME?</v>
      </c>
      <c r="AB461" s="41" t="e">
        <f ca="1"/>
        <v>#NAME?</v>
      </c>
    </row>
    <row r="462" spans="1:28">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c r="W462" s="40" t="str">
        <f t="shared" si="7"/>
        <v>P101</v>
      </c>
      <c r="X462" s="29" t="e" cm="1">
        <f t="array" aca="1" ref="X462:AB462" ca="1">_xlfn.XLOOKUP(C462,C:C, _xlfn.HSTACK(L:L,K:K,S:S,Product_master!E:E,Product_master!F:F ))</f>
        <v>#NAME?</v>
      </c>
      <c r="Y462" s="29" t="e">
        <f ca="1"/>
        <v>#NAME?</v>
      </c>
      <c r="Z462" s="29" t="e">
        <f ca="1"/>
        <v>#NAME?</v>
      </c>
      <c r="AA462" s="29" t="e">
        <f ca="1"/>
        <v>#NAME?</v>
      </c>
      <c r="AB462" s="41" t="e">
        <f ca="1"/>
        <v>#NAME?</v>
      </c>
    </row>
    <row r="463" spans="1:28">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c r="W463" s="40" t="str">
        <f t="shared" si="7"/>
        <v>P301</v>
      </c>
      <c r="X463" s="29" t="e" cm="1">
        <f t="array" aca="1" ref="X463:AB463" ca="1">_xlfn.XLOOKUP(C463,C:C, _xlfn.HSTACK(L:L,K:K,S:S,Product_master!E:E,Product_master!F:F ))</f>
        <v>#NAME?</v>
      </c>
      <c r="Y463" s="29" t="e">
        <f ca="1"/>
        <v>#NAME?</v>
      </c>
      <c r="Z463" s="29" t="e">
        <f ca="1"/>
        <v>#NAME?</v>
      </c>
      <c r="AA463" s="29" t="e">
        <f ca="1"/>
        <v>#NAME?</v>
      </c>
      <c r="AB463" s="41" t="e">
        <f ca="1"/>
        <v>#NAME?</v>
      </c>
    </row>
    <row r="464" spans="1:28">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c r="W464" s="40" t="str">
        <f t="shared" si="7"/>
        <v>P201</v>
      </c>
      <c r="X464" s="29" t="e" cm="1">
        <f t="array" aca="1" ref="X464:AB464" ca="1">_xlfn.XLOOKUP(C464,C:C, _xlfn.HSTACK(L:L,K:K,S:S,Product_master!E:E,Product_master!F:F ))</f>
        <v>#NAME?</v>
      </c>
      <c r="Y464" s="29" t="e">
        <f ca="1"/>
        <v>#NAME?</v>
      </c>
      <c r="Z464" s="29" t="e">
        <f ca="1"/>
        <v>#NAME?</v>
      </c>
      <c r="AA464" s="29" t="e">
        <f ca="1"/>
        <v>#NAME?</v>
      </c>
      <c r="AB464" s="41" t="e">
        <f ca="1"/>
        <v>#NAME?</v>
      </c>
    </row>
    <row r="465" spans="1:28">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c r="W465" s="40" t="str">
        <f t="shared" si="7"/>
        <v>P302</v>
      </c>
      <c r="X465" s="29" t="e" cm="1">
        <f t="array" aca="1" ref="X465:AB465" ca="1">_xlfn.XLOOKUP(C465,C:C, _xlfn.HSTACK(L:L,K:K,S:S,Product_master!E:E,Product_master!F:F ))</f>
        <v>#NAME?</v>
      </c>
      <c r="Y465" s="29" t="e">
        <f ca="1"/>
        <v>#NAME?</v>
      </c>
      <c r="Z465" s="29" t="e">
        <f ca="1"/>
        <v>#NAME?</v>
      </c>
      <c r="AA465" s="29" t="e">
        <f ca="1"/>
        <v>#NAME?</v>
      </c>
      <c r="AB465" s="41" t="e">
        <f ca="1"/>
        <v>#NAME?</v>
      </c>
    </row>
    <row r="466" spans="1:28">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c r="W466" s="40" t="str">
        <f t="shared" si="7"/>
        <v>P202</v>
      </c>
      <c r="X466" s="29" t="e" cm="1">
        <f t="array" aca="1" ref="X466:AB466" ca="1">_xlfn.XLOOKUP(C466,C:C, _xlfn.HSTACK(L:L,K:K,S:S,Product_master!E:E,Product_master!F:F ))</f>
        <v>#NAME?</v>
      </c>
      <c r="Y466" s="29" t="e">
        <f ca="1"/>
        <v>#NAME?</v>
      </c>
      <c r="Z466" s="29" t="e">
        <f ca="1"/>
        <v>#NAME?</v>
      </c>
      <c r="AA466" s="29" t="e">
        <f ca="1"/>
        <v>#NAME?</v>
      </c>
      <c r="AB466" s="41" t="e">
        <f ca="1"/>
        <v>#NAME?</v>
      </c>
    </row>
    <row r="467" spans="1:28">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c r="W467" s="40" t="str">
        <f t="shared" si="7"/>
        <v>P101</v>
      </c>
      <c r="X467" s="29" t="e" cm="1">
        <f t="array" aca="1" ref="X467:AB467" ca="1">_xlfn.XLOOKUP(C467,C:C, _xlfn.HSTACK(L:L,K:K,S:S,Product_master!E:E,Product_master!F:F ))</f>
        <v>#NAME?</v>
      </c>
      <c r="Y467" s="29" t="e">
        <f ca="1"/>
        <v>#NAME?</v>
      </c>
      <c r="Z467" s="29" t="e">
        <f ca="1"/>
        <v>#NAME?</v>
      </c>
      <c r="AA467" s="29" t="e">
        <f ca="1"/>
        <v>#NAME?</v>
      </c>
      <c r="AB467" s="41" t="e">
        <f ca="1"/>
        <v>#NAME?</v>
      </c>
    </row>
    <row r="468" spans="1:28">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c r="W468" s="40" t="str">
        <f t="shared" si="7"/>
        <v>P202</v>
      </c>
      <c r="X468" s="29" t="e" cm="1">
        <f t="array" aca="1" ref="X468:AB468" ca="1">_xlfn.XLOOKUP(C468,C:C, _xlfn.HSTACK(L:L,K:K,S:S,Product_master!E:E,Product_master!F:F ))</f>
        <v>#NAME?</v>
      </c>
      <c r="Y468" s="29" t="e">
        <f ca="1"/>
        <v>#NAME?</v>
      </c>
      <c r="Z468" s="29" t="e">
        <f ca="1"/>
        <v>#NAME?</v>
      </c>
      <c r="AA468" s="29" t="e">
        <f ca="1"/>
        <v>#NAME?</v>
      </c>
      <c r="AB468" s="41" t="e">
        <f ca="1"/>
        <v>#NAME?</v>
      </c>
    </row>
    <row r="469" spans="1:28">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c r="W469" s="40" t="str">
        <f t="shared" si="7"/>
        <v>P303</v>
      </c>
      <c r="X469" s="29" t="e" cm="1">
        <f t="array" aca="1" ref="X469:AB469" ca="1">_xlfn.XLOOKUP(C469,C:C, _xlfn.HSTACK(L:L,K:K,S:S,Product_master!E:E,Product_master!F:F ))</f>
        <v>#NAME?</v>
      </c>
      <c r="Y469" s="29" t="e">
        <f ca="1"/>
        <v>#NAME?</v>
      </c>
      <c r="Z469" s="29" t="e">
        <f ca="1"/>
        <v>#NAME?</v>
      </c>
      <c r="AA469" s="29" t="e">
        <f ca="1"/>
        <v>#NAME?</v>
      </c>
      <c r="AB469" s="41" t="e">
        <f ca="1"/>
        <v>#NAME?</v>
      </c>
    </row>
    <row r="470" spans="1:28">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c r="W470" s="40" t="str">
        <f t="shared" si="7"/>
        <v>P301</v>
      </c>
      <c r="X470" s="29" t="e" cm="1">
        <f t="array" aca="1" ref="X470:AB470" ca="1">_xlfn.XLOOKUP(C470,C:C, _xlfn.HSTACK(L:L,K:K,S:S,Product_master!E:E,Product_master!F:F ))</f>
        <v>#NAME?</v>
      </c>
      <c r="Y470" s="29" t="e">
        <f ca="1"/>
        <v>#NAME?</v>
      </c>
      <c r="Z470" s="29" t="e">
        <f ca="1"/>
        <v>#NAME?</v>
      </c>
      <c r="AA470" s="29" t="e">
        <f ca="1"/>
        <v>#NAME?</v>
      </c>
      <c r="AB470" s="41" t="e">
        <f ca="1"/>
        <v>#NAME?</v>
      </c>
    </row>
    <row r="471" spans="1:28">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c r="W471" s="40" t="str">
        <f t="shared" si="7"/>
        <v>P101</v>
      </c>
      <c r="X471" s="29" t="e" cm="1">
        <f t="array" aca="1" ref="X471:AB471" ca="1">_xlfn.XLOOKUP(C471,C:C, _xlfn.HSTACK(L:L,K:K,S:S,Product_master!E:E,Product_master!F:F ))</f>
        <v>#NAME?</v>
      </c>
      <c r="Y471" s="29" t="e">
        <f ca="1"/>
        <v>#NAME?</v>
      </c>
      <c r="Z471" s="29" t="e">
        <f ca="1"/>
        <v>#NAME?</v>
      </c>
      <c r="AA471" s="29" t="e">
        <f ca="1"/>
        <v>#NAME?</v>
      </c>
      <c r="AB471" s="41" t="e">
        <f ca="1"/>
        <v>#NAME?</v>
      </c>
    </row>
    <row r="472" spans="1:28">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c r="W472" s="40" t="str">
        <f t="shared" si="7"/>
        <v>P103</v>
      </c>
      <c r="X472" s="29" t="e" cm="1">
        <f t="array" aca="1" ref="X472:AB472" ca="1">_xlfn.XLOOKUP(C472,C:C, _xlfn.HSTACK(L:L,K:K,S:S,Product_master!E:E,Product_master!F:F ))</f>
        <v>#NAME?</v>
      </c>
      <c r="Y472" s="29" t="e">
        <f ca="1"/>
        <v>#NAME?</v>
      </c>
      <c r="Z472" s="29" t="e">
        <f ca="1"/>
        <v>#NAME?</v>
      </c>
      <c r="AA472" s="29" t="e">
        <f ca="1"/>
        <v>#NAME?</v>
      </c>
      <c r="AB472" s="41" t="e">
        <f ca="1"/>
        <v>#NAME?</v>
      </c>
    </row>
    <row r="473" spans="1:28">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c r="W473" s="40" t="str">
        <f t="shared" si="7"/>
        <v>P101</v>
      </c>
      <c r="X473" s="29" t="e" cm="1">
        <f t="array" aca="1" ref="X473:AB473" ca="1">_xlfn.XLOOKUP(C473,C:C, _xlfn.HSTACK(L:L,K:K,S:S,Product_master!E:E,Product_master!F:F ))</f>
        <v>#NAME?</v>
      </c>
      <c r="Y473" s="29" t="e">
        <f ca="1"/>
        <v>#NAME?</v>
      </c>
      <c r="Z473" s="29" t="e">
        <f ca="1"/>
        <v>#NAME?</v>
      </c>
      <c r="AA473" s="29" t="e">
        <f ca="1"/>
        <v>#NAME?</v>
      </c>
      <c r="AB473" s="41" t="e">
        <f ca="1"/>
        <v>#NAME?</v>
      </c>
    </row>
    <row r="474" spans="1:28">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c r="W474" s="40" t="str">
        <f t="shared" si="7"/>
        <v>P102</v>
      </c>
      <c r="X474" s="29" t="e" cm="1">
        <f t="array" aca="1" ref="X474:AB474" ca="1">_xlfn.XLOOKUP(C474,C:C, _xlfn.HSTACK(L:L,K:K,S:S,Product_master!E:E,Product_master!F:F ))</f>
        <v>#NAME?</v>
      </c>
      <c r="Y474" s="29" t="e">
        <f ca="1"/>
        <v>#NAME?</v>
      </c>
      <c r="Z474" s="29" t="e">
        <f ca="1"/>
        <v>#NAME?</v>
      </c>
      <c r="AA474" s="29" t="e">
        <f ca="1"/>
        <v>#NAME?</v>
      </c>
      <c r="AB474" s="41" t="e">
        <f ca="1"/>
        <v>#NAME?</v>
      </c>
    </row>
    <row r="475" spans="1:28">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c r="W475" s="40" t="str">
        <f t="shared" si="7"/>
        <v>P302</v>
      </c>
      <c r="X475" s="29" t="e" cm="1">
        <f t="array" aca="1" ref="X475:AB475" ca="1">_xlfn.XLOOKUP(C475,C:C, _xlfn.HSTACK(L:L,K:K,S:S,Product_master!E:E,Product_master!F:F ))</f>
        <v>#NAME?</v>
      </c>
      <c r="Y475" s="29" t="e">
        <f ca="1"/>
        <v>#NAME?</v>
      </c>
      <c r="Z475" s="29" t="e">
        <f ca="1"/>
        <v>#NAME?</v>
      </c>
      <c r="AA475" s="29" t="e">
        <f ca="1"/>
        <v>#NAME?</v>
      </c>
      <c r="AB475" s="41" t="e">
        <f ca="1"/>
        <v>#NAME?</v>
      </c>
    </row>
    <row r="476" spans="1:28">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c r="W476" s="40" t="str">
        <f t="shared" si="7"/>
        <v>P101</v>
      </c>
      <c r="X476" s="29" t="e" cm="1">
        <f t="array" aca="1" ref="X476:AB476" ca="1">_xlfn.XLOOKUP(C476,C:C, _xlfn.HSTACK(L:L,K:K,S:S,Product_master!E:E,Product_master!F:F ))</f>
        <v>#NAME?</v>
      </c>
      <c r="Y476" s="29" t="e">
        <f ca="1"/>
        <v>#NAME?</v>
      </c>
      <c r="Z476" s="29" t="e">
        <f ca="1"/>
        <v>#NAME?</v>
      </c>
      <c r="AA476" s="29" t="e">
        <f ca="1"/>
        <v>#NAME?</v>
      </c>
      <c r="AB476" s="41" t="e">
        <f ca="1"/>
        <v>#NAME?</v>
      </c>
    </row>
    <row r="477" spans="1:28">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c r="W477" s="40" t="str">
        <f t="shared" si="7"/>
        <v>P101</v>
      </c>
      <c r="X477" s="29" t="e" cm="1">
        <f t="array" aca="1" ref="X477:AB477" ca="1">_xlfn.XLOOKUP(C477,C:C, _xlfn.HSTACK(L:L,K:K,S:S,Product_master!E:E,Product_master!F:F ))</f>
        <v>#NAME?</v>
      </c>
      <c r="Y477" s="29" t="e">
        <f ca="1"/>
        <v>#NAME?</v>
      </c>
      <c r="Z477" s="29" t="e">
        <f ca="1"/>
        <v>#NAME?</v>
      </c>
      <c r="AA477" s="29" t="e">
        <f ca="1"/>
        <v>#NAME?</v>
      </c>
      <c r="AB477" s="41" t="e">
        <f ca="1"/>
        <v>#NAME?</v>
      </c>
    </row>
    <row r="478" spans="1:28">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c r="W478" s="40" t="str">
        <f t="shared" si="7"/>
        <v>P303</v>
      </c>
      <c r="X478" s="29" t="e" cm="1">
        <f t="array" aca="1" ref="X478:AB478" ca="1">_xlfn.XLOOKUP(C478,C:C, _xlfn.HSTACK(L:L,K:K,S:S,Product_master!E:E,Product_master!F:F ))</f>
        <v>#NAME?</v>
      </c>
      <c r="Y478" s="29" t="e">
        <f ca="1"/>
        <v>#NAME?</v>
      </c>
      <c r="Z478" s="29" t="e">
        <f ca="1"/>
        <v>#NAME?</v>
      </c>
      <c r="AA478" s="29" t="e">
        <f ca="1"/>
        <v>#NAME?</v>
      </c>
      <c r="AB478" s="41" t="e">
        <f ca="1"/>
        <v>#NAME?</v>
      </c>
    </row>
    <row r="479" spans="1:28">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c r="W479" s="40" t="str">
        <f t="shared" si="7"/>
        <v>P103</v>
      </c>
      <c r="X479" s="29" t="e" cm="1">
        <f t="array" aca="1" ref="X479:AB479" ca="1">_xlfn.XLOOKUP(C479,C:C, _xlfn.HSTACK(L:L,K:K,S:S,Product_master!E:E,Product_master!F:F ))</f>
        <v>#NAME?</v>
      </c>
      <c r="Y479" s="29" t="e">
        <f ca="1"/>
        <v>#NAME?</v>
      </c>
      <c r="Z479" s="29" t="e">
        <f ca="1"/>
        <v>#NAME?</v>
      </c>
      <c r="AA479" s="29" t="e">
        <f ca="1"/>
        <v>#NAME?</v>
      </c>
      <c r="AB479" s="41" t="e">
        <f ca="1"/>
        <v>#NAME?</v>
      </c>
    </row>
    <row r="480" spans="1:28">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c r="W480" s="40" t="str">
        <f t="shared" si="7"/>
        <v>P303</v>
      </c>
      <c r="X480" s="29" t="e" cm="1">
        <f t="array" aca="1" ref="X480:AB480" ca="1">_xlfn.XLOOKUP(C480,C:C, _xlfn.HSTACK(L:L,K:K,S:S,Product_master!E:E,Product_master!F:F ))</f>
        <v>#NAME?</v>
      </c>
      <c r="Y480" s="29" t="e">
        <f ca="1"/>
        <v>#NAME?</v>
      </c>
      <c r="Z480" s="29" t="e">
        <f ca="1"/>
        <v>#NAME?</v>
      </c>
      <c r="AA480" s="29" t="e">
        <f ca="1"/>
        <v>#NAME?</v>
      </c>
      <c r="AB480" s="41" t="e">
        <f ca="1"/>
        <v>#NAME?</v>
      </c>
    </row>
    <row r="481" spans="1:28">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c r="W481" s="40" t="str">
        <f t="shared" si="7"/>
        <v>P104</v>
      </c>
      <c r="X481" s="29" t="e" cm="1">
        <f t="array" aca="1" ref="X481:AB481" ca="1">_xlfn.XLOOKUP(C481,C:C, _xlfn.HSTACK(L:L,K:K,S:S,Product_master!E:E,Product_master!F:F ))</f>
        <v>#NAME?</v>
      </c>
      <c r="Y481" s="29" t="e">
        <f ca="1"/>
        <v>#NAME?</v>
      </c>
      <c r="Z481" s="29" t="e">
        <f ca="1"/>
        <v>#NAME?</v>
      </c>
      <c r="AA481" s="29" t="e">
        <f ca="1"/>
        <v>#NAME?</v>
      </c>
      <c r="AB481" s="41" t="e">
        <f ca="1"/>
        <v>#NAME?</v>
      </c>
    </row>
    <row r="482" spans="1:28">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c r="W482" s="40" t="str">
        <f t="shared" si="7"/>
        <v>P104</v>
      </c>
      <c r="X482" s="29" t="e" cm="1">
        <f t="array" aca="1" ref="X482:AB482" ca="1">_xlfn.XLOOKUP(C482,C:C, _xlfn.HSTACK(L:L,K:K,S:S,Product_master!E:E,Product_master!F:F ))</f>
        <v>#NAME?</v>
      </c>
      <c r="Y482" s="29" t="e">
        <f ca="1"/>
        <v>#NAME?</v>
      </c>
      <c r="Z482" s="29" t="e">
        <f ca="1"/>
        <v>#NAME?</v>
      </c>
      <c r="AA482" s="29" t="e">
        <f ca="1"/>
        <v>#NAME?</v>
      </c>
      <c r="AB482" s="41" t="e">
        <f ca="1"/>
        <v>#NAME?</v>
      </c>
    </row>
    <row r="483" spans="1:28">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c r="W483" s="40" t="str">
        <f t="shared" si="7"/>
        <v>P203</v>
      </c>
      <c r="X483" s="29" t="e" cm="1">
        <f t="array" aca="1" ref="X483:AB483" ca="1">_xlfn.XLOOKUP(C483,C:C, _xlfn.HSTACK(L:L,K:K,S:S,Product_master!E:E,Product_master!F:F ))</f>
        <v>#NAME?</v>
      </c>
      <c r="Y483" s="29" t="e">
        <f ca="1"/>
        <v>#NAME?</v>
      </c>
      <c r="Z483" s="29" t="e">
        <f ca="1"/>
        <v>#NAME?</v>
      </c>
      <c r="AA483" s="29" t="e">
        <f ca="1"/>
        <v>#NAME?</v>
      </c>
      <c r="AB483" s="41" t="e">
        <f ca="1"/>
        <v>#NAME?</v>
      </c>
    </row>
    <row r="484" spans="1:28">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c r="W484" s="40" t="str">
        <f t="shared" si="7"/>
        <v>P102</v>
      </c>
      <c r="X484" s="29" t="e" cm="1">
        <f t="array" aca="1" ref="X484:AB484" ca="1">_xlfn.XLOOKUP(C484,C:C, _xlfn.HSTACK(L:L,K:K,S:S,Product_master!E:E,Product_master!F:F ))</f>
        <v>#NAME?</v>
      </c>
      <c r="Y484" s="29" t="e">
        <f ca="1"/>
        <v>#NAME?</v>
      </c>
      <c r="Z484" s="29" t="e">
        <f ca="1"/>
        <v>#NAME?</v>
      </c>
      <c r="AA484" s="29" t="e">
        <f ca="1"/>
        <v>#NAME?</v>
      </c>
      <c r="AB484" s="41" t="e">
        <f ca="1"/>
        <v>#NAME?</v>
      </c>
    </row>
    <row r="485" spans="1:28">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c r="W485" s="40" t="str">
        <f t="shared" si="7"/>
        <v>P102</v>
      </c>
      <c r="X485" s="29" t="e" cm="1">
        <f t="array" aca="1" ref="X485:AB485" ca="1">_xlfn.XLOOKUP(C485,C:C, _xlfn.HSTACK(L:L,K:K,S:S,Product_master!E:E,Product_master!F:F ))</f>
        <v>#NAME?</v>
      </c>
      <c r="Y485" s="29" t="e">
        <f ca="1"/>
        <v>#NAME?</v>
      </c>
      <c r="Z485" s="29" t="e">
        <f ca="1"/>
        <v>#NAME?</v>
      </c>
      <c r="AA485" s="29" t="e">
        <f ca="1"/>
        <v>#NAME?</v>
      </c>
      <c r="AB485" s="41" t="e">
        <f ca="1"/>
        <v>#NAME?</v>
      </c>
    </row>
    <row r="486" spans="1:28">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c r="W486" s="40" t="str">
        <f t="shared" si="7"/>
        <v>P103</v>
      </c>
      <c r="X486" s="29" t="e" cm="1">
        <f t="array" aca="1" ref="X486:AB486" ca="1">_xlfn.XLOOKUP(C486,C:C, _xlfn.HSTACK(L:L,K:K,S:S,Product_master!E:E,Product_master!F:F ))</f>
        <v>#NAME?</v>
      </c>
      <c r="Y486" s="29" t="e">
        <f ca="1"/>
        <v>#NAME?</v>
      </c>
      <c r="Z486" s="29" t="e">
        <f ca="1"/>
        <v>#NAME?</v>
      </c>
      <c r="AA486" s="29" t="e">
        <f ca="1"/>
        <v>#NAME?</v>
      </c>
      <c r="AB486" s="41" t="e">
        <f ca="1"/>
        <v>#NAME?</v>
      </c>
    </row>
    <row r="487" spans="1:28">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c r="W487" s="40" t="str">
        <f t="shared" si="7"/>
        <v>P101</v>
      </c>
      <c r="X487" s="29" t="e" cm="1">
        <f t="array" aca="1" ref="X487:AB487" ca="1">_xlfn.XLOOKUP(C487,C:C, _xlfn.HSTACK(L:L,K:K,S:S,Product_master!E:E,Product_master!F:F ))</f>
        <v>#NAME?</v>
      </c>
      <c r="Y487" s="29" t="e">
        <f ca="1"/>
        <v>#NAME?</v>
      </c>
      <c r="Z487" s="29" t="e">
        <f ca="1"/>
        <v>#NAME?</v>
      </c>
      <c r="AA487" s="29" t="e">
        <f ca="1"/>
        <v>#NAME?</v>
      </c>
      <c r="AB487" s="41" t="e">
        <f ca="1"/>
        <v>#NAME?</v>
      </c>
    </row>
    <row r="488" spans="1:28">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c r="W488" s="40" t="str">
        <f t="shared" si="7"/>
        <v>P103</v>
      </c>
      <c r="X488" s="29" t="e" cm="1">
        <f t="array" aca="1" ref="X488:AB488" ca="1">_xlfn.XLOOKUP(C488,C:C, _xlfn.HSTACK(L:L,K:K,S:S,Product_master!E:E,Product_master!F:F ))</f>
        <v>#NAME?</v>
      </c>
      <c r="Y488" s="29" t="e">
        <f ca="1"/>
        <v>#NAME?</v>
      </c>
      <c r="Z488" s="29" t="e">
        <f ca="1"/>
        <v>#NAME?</v>
      </c>
      <c r="AA488" s="29" t="e">
        <f ca="1"/>
        <v>#NAME?</v>
      </c>
      <c r="AB488" s="41" t="e">
        <f ca="1"/>
        <v>#NAME?</v>
      </c>
    </row>
    <row r="489" spans="1:28">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c r="W489" s="40" t="str">
        <f t="shared" si="7"/>
        <v>P302</v>
      </c>
      <c r="X489" s="29" t="e" cm="1">
        <f t="array" aca="1" ref="X489:AB489" ca="1">_xlfn.XLOOKUP(C489,C:C, _xlfn.HSTACK(L:L,K:K,S:S,Product_master!E:E,Product_master!F:F ))</f>
        <v>#NAME?</v>
      </c>
      <c r="Y489" s="29" t="e">
        <f ca="1"/>
        <v>#NAME?</v>
      </c>
      <c r="Z489" s="29" t="e">
        <f ca="1"/>
        <v>#NAME?</v>
      </c>
      <c r="AA489" s="29" t="e">
        <f ca="1"/>
        <v>#NAME?</v>
      </c>
      <c r="AB489" s="41" t="e">
        <f ca="1"/>
        <v>#NAME?</v>
      </c>
    </row>
    <row r="490" spans="1:28">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c r="W490" s="40" t="str">
        <f t="shared" si="7"/>
        <v>P104</v>
      </c>
      <c r="X490" s="29" t="e" cm="1">
        <f t="array" aca="1" ref="X490:AB490" ca="1">_xlfn.XLOOKUP(C490,C:C, _xlfn.HSTACK(L:L,K:K,S:S,Product_master!E:E,Product_master!F:F ))</f>
        <v>#NAME?</v>
      </c>
      <c r="Y490" s="29" t="e">
        <f ca="1"/>
        <v>#NAME?</v>
      </c>
      <c r="Z490" s="29" t="e">
        <f ca="1"/>
        <v>#NAME?</v>
      </c>
      <c r="AA490" s="29" t="e">
        <f ca="1"/>
        <v>#NAME?</v>
      </c>
      <c r="AB490" s="41" t="e">
        <f ca="1"/>
        <v>#NAME?</v>
      </c>
    </row>
    <row r="491" spans="1:28">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c r="W491" s="40" t="str">
        <f t="shared" si="7"/>
        <v>P203</v>
      </c>
      <c r="X491" s="29" t="e" cm="1">
        <f t="array" aca="1" ref="X491:AB491" ca="1">_xlfn.XLOOKUP(C491,C:C, _xlfn.HSTACK(L:L,K:K,S:S,Product_master!E:E,Product_master!F:F ))</f>
        <v>#NAME?</v>
      </c>
      <c r="Y491" s="29" t="e">
        <f ca="1"/>
        <v>#NAME?</v>
      </c>
      <c r="Z491" s="29" t="e">
        <f ca="1"/>
        <v>#NAME?</v>
      </c>
      <c r="AA491" s="29" t="e">
        <f ca="1"/>
        <v>#NAME?</v>
      </c>
      <c r="AB491" s="41" t="e">
        <f ca="1"/>
        <v>#NAME?</v>
      </c>
    </row>
    <row r="492" spans="1:28">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c r="W492" s="40" t="str">
        <f t="shared" si="7"/>
        <v>P202</v>
      </c>
      <c r="X492" s="29" t="e" cm="1">
        <f t="array" aca="1" ref="X492:AB492" ca="1">_xlfn.XLOOKUP(C492,C:C, _xlfn.HSTACK(L:L,K:K,S:S,Product_master!E:E,Product_master!F:F ))</f>
        <v>#NAME?</v>
      </c>
      <c r="Y492" s="29" t="e">
        <f ca="1"/>
        <v>#NAME?</v>
      </c>
      <c r="Z492" s="29" t="e">
        <f ca="1"/>
        <v>#NAME?</v>
      </c>
      <c r="AA492" s="29" t="e">
        <f ca="1"/>
        <v>#NAME?</v>
      </c>
      <c r="AB492" s="41" t="e">
        <f ca="1"/>
        <v>#NAME?</v>
      </c>
    </row>
    <row r="493" spans="1:28">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c r="W493" s="40" t="str">
        <f t="shared" si="7"/>
        <v>P203</v>
      </c>
      <c r="X493" s="29" t="e" cm="1">
        <f t="array" aca="1" ref="X493:AB493" ca="1">_xlfn.XLOOKUP(C493,C:C, _xlfn.HSTACK(L:L,K:K,S:S,Product_master!E:E,Product_master!F:F ))</f>
        <v>#NAME?</v>
      </c>
      <c r="Y493" s="29" t="e">
        <f ca="1"/>
        <v>#NAME?</v>
      </c>
      <c r="Z493" s="29" t="e">
        <f ca="1"/>
        <v>#NAME?</v>
      </c>
      <c r="AA493" s="29" t="e">
        <f ca="1"/>
        <v>#NAME?</v>
      </c>
      <c r="AB493" s="41" t="e">
        <f ca="1"/>
        <v>#NAME?</v>
      </c>
    </row>
    <row r="494" spans="1:28">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c r="W494" s="40" t="str">
        <f t="shared" si="7"/>
        <v>P103</v>
      </c>
      <c r="X494" s="29" t="e" cm="1">
        <f t="array" aca="1" ref="X494:AB494" ca="1">_xlfn.XLOOKUP(C494,C:C, _xlfn.HSTACK(L:L,K:K,S:S,Product_master!E:E,Product_master!F:F ))</f>
        <v>#NAME?</v>
      </c>
      <c r="Y494" s="29" t="e">
        <f ca="1"/>
        <v>#NAME?</v>
      </c>
      <c r="Z494" s="29" t="e">
        <f ca="1"/>
        <v>#NAME?</v>
      </c>
      <c r="AA494" s="29" t="e">
        <f ca="1"/>
        <v>#NAME?</v>
      </c>
      <c r="AB494" s="41" t="e">
        <f ca="1"/>
        <v>#NAME?</v>
      </c>
    </row>
    <row r="495" spans="1:28">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c r="W495" s="40" t="str">
        <f t="shared" si="7"/>
        <v>P102</v>
      </c>
      <c r="X495" s="29" t="e" cm="1">
        <f t="array" aca="1" ref="X495:AB495" ca="1">_xlfn.XLOOKUP(C495,C:C, _xlfn.HSTACK(L:L,K:K,S:S,Product_master!E:E,Product_master!F:F ))</f>
        <v>#NAME?</v>
      </c>
      <c r="Y495" s="29" t="e">
        <f ca="1"/>
        <v>#NAME?</v>
      </c>
      <c r="Z495" s="29" t="e">
        <f ca="1"/>
        <v>#NAME?</v>
      </c>
      <c r="AA495" s="29" t="e">
        <f ca="1"/>
        <v>#NAME?</v>
      </c>
      <c r="AB495" s="41" t="e">
        <f ca="1"/>
        <v>#NAME?</v>
      </c>
    </row>
    <row r="496" spans="1:28">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c r="W496" s="40" t="str">
        <f t="shared" si="7"/>
        <v>P103</v>
      </c>
      <c r="X496" s="29" t="e" cm="1">
        <f t="array" aca="1" ref="X496:AB496" ca="1">_xlfn.XLOOKUP(C496,C:C, _xlfn.HSTACK(L:L,K:K,S:S,Product_master!E:E,Product_master!F:F ))</f>
        <v>#NAME?</v>
      </c>
      <c r="Y496" s="29" t="e">
        <f ca="1"/>
        <v>#NAME?</v>
      </c>
      <c r="Z496" s="29" t="e">
        <f ca="1"/>
        <v>#NAME?</v>
      </c>
      <c r="AA496" s="29" t="e">
        <f ca="1"/>
        <v>#NAME?</v>
      </c>
      <c r="AB496" s="41" t="e">
        <f ca="1"/>
        <v>#NAME?</v>
      </c>
    </row>
    <row r="497" spans="1:28">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c r="W497" s="40" t="str">
        <f t="shared" si="7"/>
        <v>P202</v>
      </c>
      <c r="X497" s="29" t="e" cm="1">
        <f t="array" aca="1" ref="X497:AB497" ca="1">_xlfn.XLOOKUP(C497,C:C, _xlfn.HSTACK(L:L,K:K,S:S,Product_master!E:E,Product_master!F:F ))</f>
        <v>#NAME?</v>
      </c>
      <c r="Y497" s="29" t="e">
        <f ca="1"/>
        <v>#NAME?</v>
      </c>
      <c r="Z497" s="29" t="e">
        <f ca="1"/>
        <v>#NAME?</v>
      </c>
      <c r="AA497" s="29" t="e">
        <f ca="1"/>
        <v>#NAME?</v>
      </c>
      <c r="AB497" s="41" t="e">
        <f ca="1"/>
        <v>#NAME?</v>
      </c>
    </row>
    <row r="498" spans="1:28">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c r="W498" s="40" t="str">
        <f t="shared" si="7"/>
        <v>P104</v>
      </c>
      <c r="X498" s="29" t="e" cm="1">
        <f t="array" aca="1" ref="X498:AB498" ca="1">_xlfn.XLOOKUP(C498,C:C, _xlfn.HSTACK(L:L,K:K,S:S,Product_master!E:E,Product_master!F:F ))</f>
        <v>#NAME?</v>
      </c>
      <c r="Y498" s="29" t="e">
        <f ca="1"/>
        <v>#NAME?</v>
      </c>
      <c r="Z498" s="29" t="e">
        <f ca="1"/>
        <v>#NAME?</v>
      </c>
      <c r="AA498" s="29" t="e">
        <f ca="1"/>
        <v>#NAME?</v>
      </c>
      <c r="AB498" s="41" t="e">
        <f ca="1"/>
        <v>#NAME?</v>
      </c>
    </row>
    <row r="499" spans="1:28">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c r="W499" s="40" t="str">
        <f t="shared" si="7"/>
        <v>P103</v>
      </c>
      <c r="X499" s="29" t="e" cm="1">
        <f t="array" aca="1" ref="X499:AB499" ca="1">_xlfn.XLOOKUP(C499,C:C, _xlfn.HSTACK(L:L,K:K,S:S,Product_master!E:E,Product_master!F:F ))</f>
        <v>#NAME?</v>
      </c>
      <c r="Y499" s="29" t="e">
        <f ca="1"/>
        <v>#NAME?</v>
      </c>
      <c r="Z499" s="29" t="e">
        <f ca="1"/>
        <v>#NAME?</v>
      </c>
      <c r="AA499" s="29" t="e">
        <f ca="1"/>
        <v>#NAME?</v>
      </c>
      <c r="AB499" s="41" t="e">
        <f ca="1"/>
        <v>#NAME?</v>
      </c>
    </row>
    <row r="500" spans="1:28">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c r="W500" s="40" t="str">
        <f t="shared" si="7"/>
        <v>P101</v>
      </c>
      <c r="X500" s="29" t="e" cm="1">
        <f t="array" aca="1" ref="X500:AB500" ca="1">_xlfn.XLOOKUP(C500,C:C, _xlfn.HSTACK(L:L,K:K,S:S,Product_master!E:E,Product_master!F:F ))</f>
        <v>#NAME?</v>
      </c>
      <c r="Y500" s="29" t="e">
        <f ca="1"/>
        <v>#NAME?</v>
      </c>
      <c r="Z500" s="29" t="e">
        <f ca="1"/>
        <v>#NAME?</v>
      </c>
      <c r="AA500" s="29" t="e">
        <f ca="1"/>
        <v>#NAME?</v>
      </c>
      <c r="AB500" s="41" t="e">
        <f ca="1"/>
        <v>#NAME?</v>
      </c>
    </row>
    <row r="501" spans="1:28">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c r="W501" s="40" t="str">
        <f t="shared" si="7"/>
        <v>P201</v>
      </c>
      <c r="X501" s="29" t="e" cm="1">
        <f t="array" aca="1" ref="X501:AB501" ca="1">_xlfn.XLOOKUP(C501,C:C, _xlfn.HSTACK(L:L,K:K,S:S,Product_master!E:E,Product_master!F:F ))</f>
        <v>#NAME?</v>
      </c>
      <c r="Y501" s="29" t="e">
        <f ca="1"/>
        <v>#NAME?</v>
      </c>
      <c r="Z501" s="29" t="e">
        <f ca="1"/>
        <v>#NAME?</v>
      </c>
      <c r="AA501" s="29" t="e">
        <f ca="1"/>
        <v>#NAME?</v>
      </c>
      <c r="AB501" s="41" t="e">
        <f ca="1"/>
        <v>#NAME?</v>
      </c>
    </row>
  </sheetData>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topLeftCell="K11" workbookViewId="0">
      <selection activeCell="Z16" sqref="Z16:Z17"/>
    </sheetView>
  </sheetViews>
  <sheetFormatPr defaultRowHeight="14.25"/>
  <cols>
    <col min="15" max="15" width="11.625" bestFit="1" customWidth="1"/>
    <col min="16" max="16" width="8.75" bestFit="1" customWidth="1"/>
    <col min="18" max="18" width="14.875" bestFit="1" customWidth="1"/>
    <col min="20" max="20" width="27" bestFit="1" customWidth="1"/>
    <col min="21" max="21" width="12" bestFit="1" customWidth="1"/>
    <col min="22" max="22" width="12.75" bestFit="1" customWidth="1"/>
    <col min="24" max="24" width="9.125" style="40"/>
    <col min="25" max="25" width="9.125" style="29"/>
    <col min="26" max="26" width="9.125" style="41"/>
  </cols>
  <sheetData>
    <row r="1" spans="1:26" s="36" customFormat="1"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c r="X1" s="42"/>
      <c r="Y1" s="43"/>
      <c r="Z1" s="44"/>
    </row>
    <row r="2" spans="1:26">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row>
    <row r="3" spans="1:26">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row>
    <row r="4" spans="1:26">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X4" s="93" t="s">
        <v>2103</v>
      </c>
      <c r="Y4" s="94"/>
      <c r="Z4" s="103">
        <f>SUMIFS(P2:P501, K2:K501, "Electronics", V2:V501, "completed")</f>
        <v>7222090</v>
      </c>
    </row>
    <row r="5" spans="1:26">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X5" s="95"/>
      <c r="Y5" s="96"/>
      <c r="Z5" s="104"/>
    </row>
    <row r="6" spans="1:26">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Z6" s="45"/>
    </row>
    <row r="7" spans="1:26">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Z7" s="45"/>
    </row>
    <row r="8" spans="1:26">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X8" s="97" t="s">
        <v>2104</v>
      </c>
      <c r="Y8" s="98"/>
      <c r="Z8" s="101">
        <f>SUMIFS(P2:P501, S2:S501, "Neha", J2:J501, "North")</f>
        <v>1550369.25</v>
      </c>
    </row>
    <row r="9" spans="1:26">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c r="X9" s="99"/>
      <c r="Y9" s="100"/>
      <c r="Z9" s="102"/>
    </row>
    <row r="10" spans="1:26">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Z10" s="45"/>
    </row>
    <row r="11" spans="1:26">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Z11" s="45"/>
    </row>
    <row r="12" spans="1:26">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c r="X12" s="105" t="s">
        <v>2105</v>
      </c>
      <c r="Y12" s="106"/>
      <c r="Z12" s="109">
        <f>COUNTIFS(O2:O501, "&gt;=15", R2:R501, "UPI")</f>
        <v>45</v>
      </c>
    </row>
    <row r="13" spans="1:26">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X13" s="107"/>
      <c r="Y13" s="108"/>
      <c r="Z13" s="110"/>
    </row>
    <row r="14" spans="1:26">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Z14" s="45"/>
    </row>
    <row r="15" spans="1:26" ht="15" customHeight="1">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row>
    <row r="16" spans="1:26" ht="16.5" customHeight="1">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X16" s="89" t="s">
        <v>2106</v>
      </c>
      <c r="Y16" s="90"/>
      <c r="Z16" s="111">
        <f>COUNTIFS(Q2:Q501, "5", V2:V501, "Completed")</f>
        <v>27</v>
      </c>
    </row>
    <row r="17" spans="1:26">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X17" s="91"/>
      <c r="Y17" s="92"/>
      <c r="Z17" s="112"/>
    </row>
    <row r="18" spans="1:26">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row>
    <row r="19" spans="1:26">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row>
    <row r="20" spans="1:26">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c r="X20" s="83" t="s">
        <v>2107</v>
      </c>
      <c r="Y20" s="84"/>
      <c r="Z20" s="87">
        <f>AVERAGEIFS(P2:P501,J2:J501, "West", M2:M501, "&gt;5")</f>
        <v>82824.450657894733</v>
      </c>
    </row>
    <row r="21" spans="1:26">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c r="X21" s="85"/>
      <c r="Y21" s="86"/>
      <c r="Z21" s="88"/>
    </row>
    <row r="22" spans="1:26">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row>
    <row r="23" spans="1:26">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row>
    <row r="24" spans="1:26">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row>
    <row r="25" spans="1:26">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row>
    <row r="26" spans="1:26">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row>
    <row r="27" spans="1:26">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row>
    <row r="28" spans="1:26">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row>
    <row r="29" spans="1:26">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row>
    <row r="30" spans="1:26">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row>
    <row r="31" spans="1:26">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row>
    <row r="32" spans="1:26">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row>
    <row r="33" spans="1:22">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row>
    <row r="34" spans="1:22">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row>
    <row r="35" spans="1:22">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row>
    <row r="36" spans="1:22">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row>
    <row r="37" spans="1:22">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row>
    <row r="38" spans="1:22">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row>
    <row r="39" spans="1:22">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row>
    <row r="40" spans="1:22">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row>
    <row r="41" spans="1:22">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row>
    <row r="42" spans="1:22">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row>
    <row r="43" spans="1:22">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row>
    <row r="44" spans="1:22">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row>
    <row r="45" spans="1:22">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row>
    <row r="46" spans="1:22">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row>
    <row r="47" spans="1:22">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row>
    <row r="48" spans="1:22">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row>
    <row r="49" spans="1:22">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row>
    <row r="50" spans="1:22">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row>
    <row r="51" spans="1:22">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row>
    <row r="52" spans="1:22">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row>
    <row r="53" spans="1:22">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row>
    <row r="54" spans="1:22">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row>
    <row r="55" spans="1:22">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row>
    <row r="56" spans="1:22">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row>
    <row r="57" spans="1:22">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row>
    <row r="58" spans="1:22">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row>
    <row r="59" spans="1:22">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row>
    <row r="60" spans="1:22">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row>
    <row r="61" spans="1:22">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row>
    <row r="62" spans="1:22">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row>
    <row r="63" spans="1:22">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row>
    <row r="64" spans="1:22">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row>
    <row r="65" spans="1:22">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row>
    <row r="66" spans="1:22">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row>
    <row r="67" spans="1:22">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row>
    <row r="68" spans="1:22">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row>
    <row r="69" spans="1:22">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row>
    <row r="70" spans="1:22">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row>
    <row r="71" spans="1:22">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row>
    <row r="72" spans="1:22">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row>
    <row r="73" spans="1:22">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row>
    <row r="74" spans="1:22">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row>
    <row r="75" spans="1:22">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row>
    <row r="76" spans="1:22">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row>
    <row r="77" spans="1:22">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row>
    <row r="78" spans="1:22">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row>
    <row r="79" spans="1:22">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row>
    <row r="80" spans="1:22">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row>
    <row r="81" spans="1:22">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row>
    <row r="82" spans="1:22">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row>
    <row r="83" spans="1:22">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row>
    <row r="84" spans="1:22">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row>
    <row r="85" spans="1:22">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row>
    <row r="86" spans="1:22">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row>
    <row r="87" spans="1:22">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row>
    <row r="88" spans="1:22">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row>
    <row r="89" spans="1:22">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row>
    <row r="90" spans="1:22">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row>
    <row r="91" spans="1:22">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row>
    <row r="92" spans="1:22">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row>
    <row r="93" spans="1:22">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row>
    <row r="94" spans="1:22">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row>
    <row r="95" spans="1:22">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row>
    <row r="96" spans="1:22">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row>
    <row r="97" spans="1:22">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row>
    <row r="98" spans="1:22">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row>
    <row r="99" spans="1:22">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row>
    <row r="100" spans="1:22">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row>
    <row r="101" spans="1:22">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row>
    <row r="102" spans="1:22">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row>
    <row r="103" spans="1:22">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row>
    <row r="104" spans="1:22">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row>
    <row r="105" spans="1:22">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row>
    <row r="106" spans="1:22">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row>
    <row r="107" spans="1:22">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row>
    <row r="108" spans="1:22">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row>
    <row r="109" spans="1:22">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row>
    <row r="110" spans="1:22">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row>
    <row r="111" spans="1:22">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row>
    <row r="112" spans="1:22">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row>
    <row r="113" spans="1:22">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row>
    <row r="114" spans="1:22">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row>
    <row r="115" spans="1:22">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row>
    <row r="116" spans="1:22">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row>
    <row r="117" spans="1:22">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row>
    <row r="118" spans="1:22">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row>
    <row r="119" spans="1:22">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row>
    <row r="120" spans="1:22">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row>
    <row r="121" spans="1:22">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row>
    <row r="122" spans="1:22">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row>
    <row r="123" spans="1:22">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row>
    <row r="124" spans="1:22">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row>
    <row r="125" spans="1:22">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row>
    <row r="126" spans="1:22">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row>
    <row r="127" spans="1:22">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row>
    <row r="128" spans="1:22">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row>
    <row r="129" spans="1:22">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row>
    <row r="130" spans="1:22">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row>
    <row r="131" spans="1:22">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row>
    <row r="132" spans="1:22">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row>
    <row r="133" spans="1:22">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row>
    <row r="134" spans="1:22">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row>
    <row r="135" spans="1:22">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row>
    <row r="136" spans="1:22">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row>
    <row r="137" spans="1:22">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row>
    <row r="138" spans="1:22">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row>
    <row r="139" spans="1:22">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row>
    <row r="140" spans="1:22">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row>
    <row r="141" spans="1:22">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row>
    <row r="142" spans="1:22">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row>
    <row r="143" spans="1:22">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row>
    <row r="144" spans="1:22">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row>
    <row r="145" spans="1:22">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row>
    <row r="146" spans="1:22">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row>
    <row r="147" spans="1:22">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row>
    <row r="148" spans="1:22">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row>
    <row r="149" spans="1:22">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row>
    <row r="150" spans="1:22">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row>
    <row r="151" spans="1:22">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row>
    <row r="152" spans="1:22">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row>
    <row r="153" spans="1:22">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row>
    <row r="154" spans="1:22">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row>
    <row r="155" spans="1:22">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row>
    <row r="156" spans="1:22">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row>
    <row r="157" spans="1:22">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row>
    <row r="158" spans="1:22">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row>
    <row r="159" spans="1:22">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row>
    <row r="160" spans="1:22">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row>
    <row r="161" spans="1:22">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row>
    <row r="162" spans="1:22">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row>
    <row r="163" spans="1:22">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row>
    <row r="164" spans="1:22">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row>
    <row r="165" spans="1:22">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row>
    <row r="166" spans="1:22">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row>
    <row r="167" spans="1:22">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row>
    <row r="168" spans="1:22">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row>
    <row r="169" spans="1:22">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row>
    <row r="170" spans="1:22">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row>
    <row r="171" spans="1:22">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row>
    <row r="172" spans="1:22">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row>
    <row r="173" spans="1:22">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row>
    <row r="174" spans="1:22">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row>
    <row r="175" spans="1:22">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row>
    <row r="176" spans="1:22">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row>
    <row r="177" spans="1:22">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row>
    <row r="178" spans="1:22">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row>
    <row r="179" spans="1:22">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row>
    <row r="180" spans="1:22">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row>
    <row r="181" spans="1:22">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row>
    <row r="182" spans="1:22">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row>
    <row r="183" spans="1:22">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row>
    <row r="184" spans="1:22">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row>
    <row r="185" spans="1:22">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row>
    <row r="186" spans="1:22">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row>
    <row r="187" spans="1:22">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row>
    <row r="188" spans="1:22">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row>
    <row r="189" spans="1:22">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row>
    <row r="190" spans="1:22">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row>
    <row r="191" spans="1:22">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row>
    <row r="192" spans="1:22">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row>
    <row r="193" spans="1:22">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row>
    <row r="194" spans="1:22">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row>
    <row r="195" spans="1:22">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row>
    <row r="196" spans="1:22">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row>
    <row r="197" spans="1:22">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row>
    <row r="198" spans="1:22">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row>
    <row r="199" spans="1:22">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row>
    <row r="200" spans="1:22">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row>
    <row r="201" spans="1:22">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row>
    <row r="202" spans="1:22">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row>
    <row r="203" spans="1:22">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row>
    <row r="204" spans="1:22">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row>
    <row r="205" spans="1:22">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row>
    <row r="206" spans="1:22">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row>
    <row r="207" spans="1:22">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row>
    <row r="208" spans="1:22">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row>
    <row r="209" spans="1:22">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row>
    <row r="210" spans="1:22">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row>
    <row r="211" spans="1:22">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row>
    <row r="212" spans="1:22">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row>
    <row r="213" spans="1:22">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row>
    <row r="214" spans="1:22">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row>
    <row r="215" spans="1:22">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row>
    <row r="216" spans="1:22">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row>
    <row r="217" spans="1:22">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row>
    <row r="218" spans="1:22">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row>
    <row r="219" spans="1:22">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row>
    <row r="220" spans="1:22">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row>
    <row r="221" spans="1:22">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row>
    <row r="222" spans="1:22">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row>
    <row r="223" spans="1:22">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row>
    <row r="224" spans="1:22">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row>
    <row r="225" spans="1:22">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row>
    <row r="226" spans="1:22">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row>
    <row r="227" spans="1:22">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row>
    <row r="228" spans="1:22">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row>
    <row r="229" spans="1:22">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row>
    <row r="230" spans="1:22">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row>
    <row r="231" spans="1:22">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row>
    <row r="232" spans="1:22">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row>
    <row r="233" spans="1:22">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row>
    <row r="234" spans="1:22">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row>
    <row r="235" spans="1:22">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row>
    <row r="236" spans="1:22">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row>
    <row r="237" spans="1:22">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row>
    <row r="238" spans="1:22">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row>
    <row r="239" spans="1:22">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row>
    <row r="240" spans="1:22">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row>
    <row r="241" spans="1:22">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row>
    <row r="242" spans="1:22">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row>
    <row r="243" spans="1:22">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row>
    <row r="244" spans="1:22">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row>
    <row r="245" spans="1:22">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row>
    <row r="246" spans="1:22">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row>
    <row r="247" spans="1:22">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row>
    <row r="248" spans="1:22">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row>
    <row r="249" spans="1:22">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row>
    <row r="250" spans="1:22">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row>
    <row r="251" spans="1:22">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row>
    <row r="252" spans="1:22">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row>
    <row r="253" spans="1:22">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row>
    <row r="254" spans="1:22">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row>
    <row r="255" spans="1:22">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row>
    <row r="256" spans="1:22">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row>
    <row r="257" spans="1:22">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row>
    <row r="258" spans="1:22">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row>
    <row r="259" spans="1:22">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row>
    <row r="260" spans="1:22">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row>
    <row r="261" spans="1:22">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row>
    <row r="262" spans="1:22">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row>
    <row r="263" spans="1:22">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row>
    <row r="264" spans="1:22">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row>
    <row r="265" spans="1:22">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row>
    <row r="266" spans="1:22">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row>
    <row r="267" spans="1:22">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row>
    <row r="268" spans="1:22">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row>
    <row r="269" spans="1:22">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row>
    <row r="270" spans="1:22">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row>
    <row r="271" spans="1:22">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row>
    <row r="272" spans="1:22">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row>
    <row r="273" spans="1:22">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row>
    <row r="274" spans="1:22">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row>
    <row r="275" spans="1:22">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row>
    <row r="276" spans="1:22">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row>
    <row r="277" spans="1:22">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row>
    <row r="278" spans="1:22">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row>
    <row r="279" spans="1:22">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row>
    <row r="280" spans="1:22">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row>
    <row r="281" spans="1:22">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row>
    <row r="282" spans="1:22">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row>
    <row r="283" spans="1:22">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row>
    <row r="284" spans="1:22">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row>
    <row r="285" spans="1:22">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row>
    <row r="286" spans="1:22">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row>
    <row r="287" spans="1:22">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row>
    <row r="288" spans="1:22">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row>
    <row r="289" spans="1:22">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row>
    <row r="290" spans="1:22">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row>
    <row r="291" spans="1:22">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row>
    <row r="292" spans="1:22">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row>
    <row r="293" spans="1:22">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row>
    <row r="294" spans="1:22">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row>
    <row r="295" spans="1:22">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row>
    <row r="296" spans="1:22">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row>
    <row r="297" spans="1:22">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row>
    <row r="298" spans="1:22">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row>
    <row r="299" spans="1:22">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row>
    <row r="300" spans="1:22">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row>
    <row r="301" spans="1:22">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row>
    <row r="302" spans="1:22">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row>
    <row r="303" spans="1:22">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row>
    <row r="304" spans="1:22">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row>
    <row r="305" spans="1:22">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row>
    <row r="306" spans="1:22">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row>
    <row r="307" spans="1:22">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row>
    <row r="308" spans="1:22">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row>
    <row r="309" spans="1:22">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row>
    <row r="310" spans="1:22">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row>
    <row r="311" spans="1:22">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row>
    <row r="312" spans="1:22">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row>
    <row r="313" spans="1:22">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row>
    <row r="314" spans="1:22">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row>
    <row r="315" spans="1:22">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row>
    <row r="316" spans="1:22">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row>
    <row r="317" spans="1:22">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row>
    <row r="318" spans="1:22">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row>
    <row r="319" spans="1:22">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row>
    <row r="320" spans="1:22">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row>
    <row r="321" spans="1:22">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row>
    <row r="322" spans="1:22">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row>
    <row r="323" spans="1:22">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row>
    <row r="324" spans="1:22">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row>
    <row r="325" spans="1:22">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row>
    <row r="326" spans="1:22">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row>
    <row r="327" spans="1:22">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row>
    <row r="328" spans="1:22">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row>
    <row r="329" spans="1:22">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row>
    <row r="330" spans="1:22">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row>
    <row r="331" spans="1:22">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row>
    <row r="332" spans="1:22">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row>
    <row r="333" spans="1:22">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row>
    <row r="334" spans="1:22">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row>
    <row r="335" spans="1:22">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row>
    <row r="336" spans="1:22">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row>
    <row r="337" spans="1:22">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row>
    <row r="338" spans="1:22">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row>
    <row r="339" spans="1:22">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row>
    <row r="340" spans="1:22">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row>
    <row r="341" spans="1:22">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row>
    <row r="342" spans="1:22">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row>
    <row r="343" spans="1:22">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row>
    <row r="344" spans="1:22">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row>
    <row r="345" spans="1:22">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row>
    <row r="346" spans="1:22">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row>
    <row r="347" spans="1:22">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row>
    <row r="348" spans="1:22">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row>
    <row r="349" spans="1:22">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row>
    <row r="350" spans="1:22">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row>
    <row r="351" spans="1:22">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row>
    <row r="352" spans="1:22">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row>
    <row r="353" spans="1:22">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row>
    <row r="354" spans="1:22">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row>
    <row r="355" spans="1:22">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row>
    <row r="356" spans="1:22">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row>
    <row r="357" spans="1:22">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row>
    <row r="358" spans="1:22">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row>
    <row r="359" spans="1:22">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row>
    <row r="360" spans="1:22">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row>
    <row r="361" spans="1:22">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row>
    <row r="362" spans="1:22">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row>
    <row r="363" spans="1:22">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row>
    <row r="364" spans="1:22">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row>
    <row r="365" spans="1:22">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row>
    <row r="366" spans="1:22">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row>
    <row r="367" spans="1:22">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row>
    <row r="368" spans="1:22">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row>
    <row r="369" spans="1:22">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row>
    <row r="370" spans="1:22">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row>
    <row r="371" spans="1:22">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row>
    <row r="372" spans="1:22">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row>
    <row r="373" spans="1:22">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row>
    <row r="374" spans="1:22">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row>
    <row r="375" spans="1:22">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row>
    <row r="376" spans="1:22">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row>
    <row r="377" spans="1:22">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row>
    <row r="378" spans="1:22">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row>
    <row r="379" spans="1:22">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row>
    <row r="380" spans="1:22">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row>
    <row r="381" spans="1:22">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row>
    <row r="382" spans="1:22">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row>
    <row r="383" spans="1:22">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row>
    <row r="384" spans="1:22">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row>
    <row r="385" spans="1:22">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row>
    <row r="386" spans="1:22">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row>
    <row r="387" spans="1:22">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row>
    <row r="388" spans="1:22">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row>
    <row r="389" spans="1:22">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row>
    <row r="390" spans="1:22">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row>
    <row r="391" spans="1:22">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row>
    <row r="392" spans="1:22">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row>
    <row r="393" spans="1:22">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row>
    <row r="394" spans="1:22">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row>
    <row r="395" spans="1:22">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row>
    <row r="396" spans="1:22">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row>
    <row r="397" spans="1:22">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row>
    <row r="398" spans="1:22">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row>
    <row r="399" spans="1:22">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row>
    <row r="400" spans="1:22">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row>
    <row r="401" spans="1:22">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row>
    <row r="402" spans="1:22">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row>
    <row r="403" spans="1:22">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row>
    <row r="404" spans="1:22">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row>
    <row r="405" spans="1:22">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row>
    <row r="406" spans="1:22">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row>
    <row r="407" spans="1:22">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row>
    <row r="408" spans="1:22">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row>
    <row r="409" spans="1:22">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row>
    <row r="410" spans="1:22">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row>
    <row r="411" spans="1:22">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row>
    <row r="412" spans="1:22">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row>
    <row r="413" spans="1:22">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row>
    <row r="414" spans="1:22">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row>
    <row r="415" spans="1:22">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row>
    <row r="416" spans="1:22">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row>
    <row r="417" spans="1:22">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row>
    <row r="418" spans="1:22">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row>
    <row r="419" spans="1:22">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row>
    <row r="420" spans="1:22">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row>
    <row r="421" spans="1:22">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row>
    <row r="422" spans="1:22">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row>
    <row r="423" spans="1:22">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row>
    <row r="424" spans="1:22">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row>
    <row r="425" spans="1:22">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row>
    <row r="426" spans="1:22">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row>
    <row r="427" spans="1:22">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row>
    <row r="428" spans="1:22">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row>
    <row r="429" spans="1:22">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row>
    <row r="430" spans="1:22">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row>
    <row r="431" spans="1:22">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row>
    <row r="432" spans="1:22">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row>
    <row r="433" spans="1:22">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row>
    <row r="434" spans="1:22">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row>
    <row r="435" spans="1:22">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row>
    <row r="436" spans="1:22">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row>
    <row r="437" spans="1:22">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row>
    <row r="438" spans="1:22">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row>
    <row r="439" spans="1:22">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row>
    <row r="440" spans="1:22">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row>
    <row r="441" spans="1:22">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row>
    <row r="442" spans="1:22">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row>
    <row r="443" spans="1:22">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row>
    <row r="444" spans="1:22">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row>
    <row r="445" spans="1:22">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row>
    <row r="446" spans="1:22">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row>
    <row r="447" spans="1:22">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row>
    <row r="448" spans="1:22">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row>
    <row r="449" spans="1:22">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row>
    <row r="450" spans="1:22">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row>
    <row r="451" spans="1:22">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row>
    <row r="452" spans="1:22">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row>
    <row r="453" spans="1:22">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row>
    <row r="454" spans="1:22">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row>
    <row r="455" spans="1:22">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row>
    <row r="456" spans="1:22">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row>
    <row r="457" spans="1:22">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row>
    <row r="458" spans="1:22">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row>
    <row r="459" spans="1:22">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row>
    <row r="460" spans="1:22">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row>
    <row r="461" spans="1:22">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row>
    <row r="462" spans="1:22">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row>
    <row r="463" spans="1:22">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row>
    <row r="464" spans="1:22">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row>
    <row r="465" spans="1:22">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row>
    <row r="466" spans="1:22">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row>
    <row r="467" spans="1:22">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row>
    <row r="468" spans="1:22">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row>
    <row r="469" spans="1:22">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row>
    <row r="470" spans="1:22">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row>
    <row r="471" spans="1:22">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row>
    <row r="472" spans="1:22">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row>
    <row r="473" spans="1:22">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row>
    <row r="474" spans="1:22">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row>
    <row r="475" spans="1:22">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row>
    <row r="476" spans="1:22">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row>
    <row r="477" spans="1:22">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row>
    <row r="478" spans="1:22">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row>
    <row r="479" spans="1:22">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row>
    <row r="480" spans="1:22">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row>
    <row r="481" spans="1:22">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row>
    <row r="482" spans="1:22">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row>
    <row r="483" spans="1:22">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row>
    <row r="484" spans="1:22">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row>
    <row r="485" spans="1:22">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row>
    <row r="486" spans="1:22">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row>
    <row r="487" spans="1:22">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row>
    <row r="488" spans="1:22">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row>
    <row r="489" spans="1:22">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row>
    <row r="490" spans="1:22">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row>
    <row r="491" spans="1:22">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row>
    <row r="492" spans="1:22">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row>
    <row r="493" spans="1:22">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row>
    <row r="494" spans="1:22">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row>
    <row r="495" spans="1:22">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row>
    <row r="496" spans="1:22">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row>
    <row r="497" spans="1:22">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row>
    <row r="498" spans="1:22">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row>
    <row r="499" spans="1:22">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row>
    <row r="500" spans="1:22">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row>
    <row r="501" spans="1:22">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row>
  </sheetData>
  <mergeCells count="10">
    <mergeCell ref="X20:Y21"/>
    <mergeCell ref="Z20:Z21"/>
    <mergeCell ref="X16:Y17"/>
    <mergeCell ref="X4:Y5"/>
    <mergeCell ref="X8:Y9"/>
    <mergeCell ref="Z8:Z9"/>
    <mergeCell ref="Z4:Z5"/>
    <mergeCell ref="X12:Y13"/>
    <mergeCell ref="Z12:Z13"/>
    <mergeCell ref="Z16:Z17"/>
  </mergeCells>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01"/>
  <sheetViews>
    <sheetView topLeftCell="P1" workbookViewId="0">
      <selection activeCell="AE5" sqref="AE5"/>
    </sheetView>
  </sheetViews>
  <sheetFormatPr defaultRowHeight="14.25"/>
  <cols>
    <col min="24" max="24" width="9.125" style="40"/>
    <col min="25" max="25" width="9.125" style="29"/>
    <col min="26" max="26" width="12.25" style="29" customWidth="1"/>
    <col min="27" max="27" width="14.25" style="29" bestFit="1" customWidth="1"/>
    <col min="28" max="28" width="9.125" style="41"/>
  </cols>
  <sheetData>
    <row r="1" spans="1:28"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c r="X1" s="47"/>
      <c r="Y1" s="48"/>
      <c r="Z1" s="48"/>
      <c r="AA1" s="48"/>
      <c r="AB1" s="49"/>
    </row>
    <row r="2" spans="1:28">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c r="Y2" s="50" t="s">
        <v>2108</v>
      </c>
      <c r="Z2" s="50"/>
      <c r="AA2" s="54">
        <f>AVERAGE(P:P)</f>
        <v>69531.875</v>
      </c>
    </row>
    <row r="3" spans="1:28">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c r="AA3" s="64"/>
    </row>
    <row r="4" spans="1:28">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Y4" s="51" t="s">
        <v>2109</v>
      </c>
      <c r="Z4" s="51"/>
      <c r="AA4" s="55">
        <f>MEDIAN(P:P)</f>
        <v>10475</v>
      </c>
    </row>
    <row r="5" spans="1:28">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AA5" s="64"/>
    </row>
    <row r="6" spans="1:28">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Y6" s="52" t="s">
        <v>2110</v>
      </c>
      <c r="Z6" s="52"/>
      <c r="AA6" s="56">
        <f>MAX(P:P)</f>
        <v>1045000</v>
      </c>
    </row>
    <row r="7" spans="1:28">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AA7" s="64"/>
    </row>
    <row r="8" spans="1:28">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Y8" s="53" t="s">
        <v>2111</v>
      </c>
      <c r="Z8" s="53"/>
      <c r="AA8" s="57">
        <f>MIN(P:P)</f>
        <v>19</v>
      </c>
    </row>
    <row r="9" spans="1:28">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row>
    <row r="10" spans="1:28">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Y10" s="113" t="s">
        <v>2112</v>
      </c>
      <c r="Z10" s="113"/>
      <c r="AA10" s="114">
        <f>STDEV(P:P)</f>
        <v>167151.44592393315</v>
      </c>
    </row>
    <row r="11" spans="1:28">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Y11" s="113"/>
      <c r="Z11" s="113"/>
      <c r="AA11" s="114"/>
    </row>
    <row r="12" spans="1:28">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row>
    <row r="13" spans="1:28">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Y13" s="115" t="s">
        <v>2113</v>
      </c>
      <c r="Z13" s="115"/>
      <c r="AA13" s="122">
        <f>_xlfn.PERCENTILE.INC(P:P, 0.9)</f>
        <v>163880.00000000015</v>
      </c>
    </row>
    <row r="14" spans="1:28">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Y14" s="115"/>
      <c r="Z14" s="115"/>
      <c r="AA14" s="122"/>
    </row>
    <row r="15" spans="1:28">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row>
    <row r="16" spans="1:28">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X16" s="116" t="s">
        <v>2114</v>
      </c>
      <c r="Y16" s="117"/>
      <c r="Z16" s="117"/>
      <c r="AA16" s="117"/>
      <c r="AB16" s="118"/>
    </row>
    <row r="17" spans="1:28">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X17" s="119"/>
      <c r="Y17" s="120"/>
      <c r="Z17" s="120"/>
      <c r="AA17" s="120"/>
      <c r="AB17" s="121"/>
    </row>
    <row r="18" spans="1:28">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row>
    <row r="19" spans="1:28">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row>
    <row r="20" spans="1:28">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row>
    <row r="21" spans="1:28">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row>
    <row r="22" spans="1:28">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row>
    <row r="23" spans="1:28">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row>
    <row r="24" spans="1:28">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row>
    <row r="25" spans="1:28">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row>
    <row r="26" spans="1:28">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row>
    <row r="27" spans="1:28">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row>
    <row r="28" spans="1:28">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row>
    <row r="29" spans="1:28">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row>
    <row r="30" spans="1:28">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row>
    <row r="31" spans="1:28">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row>
    <row r="32" spans="1:28">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row>
    <row r="33" spans="1:22">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row>
    <row r="34" spans="1:22">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row>
    <row r="35" spans="1:22">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row>
    <row r="36" spans="1:22">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row>
    <row r="37" spans="1:22">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row>
    <row r="38" spans="1:22">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row>
    <row r="39" spans="1:22">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row>
    <row r="40" spans="1:22">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row>
    <row r="41" spans="1:22">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row>
    <row r="42" spans="1:22">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row>
    <row r="43" spans="1:22">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row>
    <row r="44" spans="1:22">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row>
    <row r="45" spans="1:22">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row>
    <row r="46" spans="1:22">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row>
    <row r="47" spans="1:22">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row>
    <row r="48" spans="1:22">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row>
    <row r="49" spans="1:22">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row>
    <row r="50" spans="1:22">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row>
    <row r="51" spans="1:22">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row>
    <row r="52" spans="1:22">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row>
    <row r="53" spans="1:22">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row>
    <row r="54" spans="1:22">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row>
    <row r="55" spans="1:22">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row>
    <row r="56" spans="1:22">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row>
    <row r="57" spans="1:22">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row>
    <row r="58" spans="1:22">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row>
    <row r="59" spans="1:22">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row>
    <row r="60" spans="1:22">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row>
    <row r="61" spans="1:22">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row>
    <row r="62" spans="1:22">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row>
    <row r="63" spans="1:22">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row>
    <row r="64" spans="1:22">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row>
    <row r="65" spans="1:22">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row>
    <row r="66" spans="1:22">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row>
    <row r="67" spans="1:22">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row>
    <row r="68" spans="1:22">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row>
    <row r="69" spans="1:22">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row>
    <row r="70" spans="1:22">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row>
    <row r="71" spans="1:22">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row>
    <row r="72" spans="1:22">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row>
    <row r="73" spans="1:22">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row>
    <row r="74" spans="1:22">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row>
    <row r="75" spans="1:22">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row>
    <row r="76" spans="1:22">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row>
    <row r="77" spans="1:22">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row>
    <row r="78" spans="1:22">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row>
    <row r="79" spans="1:22">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row>
    <row r="80" spans="1:22">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row>
    <row r="81" spans="1:22">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row>
    <row r="82" spans="1:22">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row>
    <row r="83" spans="1:22">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row>
    <row r="84" spans="1:22">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row>
    <row r="85" spans="1:22">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row>
    <row r="86" spans="1:22">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row>
    <row r="87" spans="1:22">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row>
    <row r="88" spans="1:22">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row>
    <row r="89" spans="1:22">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row>
    <row r="90" spans="1:22">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row>
    <row r="91" spans="1:22">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row>
    <row r="92" spans="1:22">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row>
    <row r="93" spans="1:22">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row>
    <row r="94" spans="1:22">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row>
    <row r="95" spans="1:22">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row>
    <row r="96" spans="1:22">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row>
    <row r="97" spans="1:22">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row>
    <row r="98" spans="1:22">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row>
    <row r="99" spans="1:22">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row>
    <row r="100" spans="1:22">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row>
    <row r="101" spans="1:22">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row>
    <row r="102" spans="1:22">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row>
    <row r="103" spans="1:22">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row>
    <row r="104" spans="1:22">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row>
    <row r="105" spans="1:22">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row>
    <row r="106" spans="1:22">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row>
    <row r="107" spans="1:22">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row>
    <row r="108" spans="1:22">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row>
    <row r="109" spans="1:22">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row>
    <row r="110" spans="1:22">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row>
    <row r="111" spans="1:22">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row>
    <row r="112" spans="1:22">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row>
    <row r="113" spans="1:22">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row>
    <row r="114" spans="1:22">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row>
    <row r="115" spans="1:22">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row>
    <row r="116" spans="1:22">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row>
    <row r="117" spans="1:22">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row>
    <row r="118" spans="1:22">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row>
    <row r="119" spans="1:22">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row>
    <row r="120" spans="1:22">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row>
    <row r="121" spans="1:22">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row>
    <row r="122" spans="1:22">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row>
    <row r="123" spans="1:22">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row>
    <row r="124" spans="1:22">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row>
    <row r="125" spans="1:22">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row>
    <row r="126" spans="1:22">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row>
    <row r="127" spans="1:22">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row>
    <row r="128" spans="1:22">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row>
    <row r="129" spans="1:22">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row>
    <row r="130" spans="1:22">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row>
    <row r="131" spans="1:22">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row>
    <row r="132" spans="1:22">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row>
    <row r="133" spans="1:22">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row>
    <row r="134" spans="1:22">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row>
    <row r="135" spans="1:22">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row>
    <row r="136" spans="1:22">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row>
    <row r="137" spans="1:22">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row>
    <row r="138" spans="1:22">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row>
    <row r="139" spans="1:22">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row>
    <row r="140" spans="1:22">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row>
    <row r="141" spans="1:22">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row>
    <row r="142" spans="1:22">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row>
    <row r="143" spans="1:22">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row>
    <row r="144" spans="1:22">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row>
    <row r="145" spans="1:22">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row>
    <row r="146" spans="1:22">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row>
    <row r="147" spans="1:22">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row>
    <row r="148" spans="1:22">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row>
    <row r="149" spans="1:22">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row>
    <row r="150" spans="1:22">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row>
    <row r="151" spans="1:22">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row>
    <row r="152" spans="1:22">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row>
    <row r="153" spans="1:22">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row>
    <row r="154" spans="1:22">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row>
    <row r="155" spans="1:22">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row>
    <row r="156" spans="1:22">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row>
    <row r="157" spans="1:22">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row>
    <row r="158" spans="1:22">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row>
    <row r="159" spans="1:22">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row>
    <row r="160" spans="1:22">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row>
    <row r="161" spans="1:22">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row>
    <row r="162" spans="1:22">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row>
    <row r="163" spans="1:22">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row>
    <row r="164" spans="1:22">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row>
    <row r="165" spans="1:22">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row>
    <row r="166" spans="1:22">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row>
    <row r="167" spans="1:22">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row>
    <row r="168" spans="1:22">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row>
    <row r="169" spans="1:22">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row>
    <row r="170" spans="1:22">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row>
    <row r="171" spans="1:22">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row>
    <row r="172" spans="1:22">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row>
    <row r="173" spans="1:22">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row>
    <row r="174" spans="1:22">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row>
    <row r="175" spans="1:22">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row>
    <row r="176" spans="1:22">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row>
    <row r="177" spans="1:22">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row>
    <row r="178" spans="1:22">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row>
    <row r="179" spans="1:22">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row>
    <row r="180" spans="1:22">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row>
    <row r="181" spans="1:22">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row>
    <row r="182" spans="1:22">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row>
    <row r="183" spans="1:22">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row>
    <row r="184" spans="1:22">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row>
    <row r="185" spans="1:22">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row>
    <row r="186" spans="1:22">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row>
    <row r="187" spans="1:22">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row>
    <row r="188" spans="1:22">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row>
    <row r="189" spans="1:22">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row>
    <row r="190" spans="1:22">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row>
    <row r="191" spans="1:22">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row>
    <row r="192" spans="1:22">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row>
    <row r="193" spans="1:22">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row>
    <row r="194" spans="1:22">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row>
    <row r="195" spans="1:22">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row>
    <row r="196" spans="1:22">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row>
    <row r="197" spans="1:22">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row>
    <row r="198" spans="1:22">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row>
    <row r="199" spans="1:22">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row>
    <row r="200" spans="1:22">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row>
    <row r="201" spans="1:22">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row>
    <row r="202" spans="1:22">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row>
    <row r="203" spans="1:22">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row>
    <row r="204" spans="1:22">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row>
    <row r="205" spans="1:22">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row>
    <row r="206" spans="1:22">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row>
    <row r="207" spans="1:22">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row>
    <row r="208" spans="1:22">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row>
    <row r="209" spans="1:22">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row>
    <row r="210" spans="1:22">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row>
    <row r="211" spans="1:22">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row>
    <row r="212" spans="1:22">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row>
    <row r="213" spans="1:22">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row>
    <row r="214" spans="1:22">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row>
    <row r="215" spans="1:22">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row>
    <row r="216" spans="1:22">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row>
    <row r="217" spans="1:22">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row>
    <row r="218" spans="1:22">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row>
    <row r="219" spans="1:22">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row>
    <row r="220" spans="1:22">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row>
    <row r="221" spans="1:22">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row>
    <row r="222" spans="1:22">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row>
    <row r="223" spans="1:22">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row>
    <row r="224" spans="1:22">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row>
    <row r="225" spans="1:22">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row>
    <row r="226" spans="1:22">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row>
    <row r="227" spans="1:22">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row>
    <row r="228" spans="1:22">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row>
    <row r="229" spans="1:22">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row>
    <row r="230" spans="1:22">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row>
    <row r="231" spans="1:22">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row>
    <row r="232" spans="1:22">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row>
    <row r="233" spans="1:22">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row>
    <row r="234" spans="1:22">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row>
    <row r="235" spans="1:22">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row>
    <row r="236" spans="1:22">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row>
    <row r="237" spans="1:22">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row>
    <row r="238" spans="1:22">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row>
    <row r="239" spans="1:22">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row>
    <row r="240" spans="1:22">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row>
    <row r="241" spans="1:22">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row>
    <row r="242" spans="1:22">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row>
    <row r="243" spans="1:22">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row>
    <row r="244" spans="1:22">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row>
    <row r="245" spans="1:22">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row>
    <row r="246" spans="1:22">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row>
    <row r="247" spans="1:22">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row>
    <row r="248" spans="1:22">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row>
    <row r="249" spans="1:22">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row>
    <row r="250" spans="1:22">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row>
    <row r="251" spans="1:22">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row>
    <row r="252" spans="1:22">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row>
    <row r="253" spans="1:22">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row>
    <row r="254" spans="1:22">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row>
    <row r="255" spans="1:22">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row>
    <row r="256" spans="1:22">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row>
    <row r="257" spans="1:22">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row>
    <row r="258" spans="1:22">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row>
    <row r="259" spans="1:22">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row>
    <row r="260" spans="1:22">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row>
    <row r="261" spans="1:22">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row>
    <row r="262" spans="1:22">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row>
    <row r="263" spans="1:22">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row>
    <row r="264" spans="1:22">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row>
    <row r="265" spans="1:22">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row>
    <row r="266" spans="1:22">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row>
    <row r="267" spans="1:22">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row>
    <row r="268" spans="1:22">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row>
    <row r="269" spans="1:22">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row>
    <row r="270" spans="1:22">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row>
    <row r="271" spans="1:22">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row>
    <row r="272" spans="1:22">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row>
    <row r="273" spans="1:22">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row>
    <row r="274" spans="1:22">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row>
    <row r="275" spans="1:22">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row>
    <row r="276" spans="1:22">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row>
    <row r="277" spans="1:22">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row>
    <row r="278" spans="1:22">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row>
    <row r="279" spans="1:22">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row>
    <row r="280" spans="1:22">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row>
    <row r="281" spans="1:22">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row>
    <row r="282" spans="1:22">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row>
    <row r="283" spans="1:22">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row>
    <row r="284" spans="1:22">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row>
    <row r="285" spans="1:22">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row>
    <row r="286" spans="1:22">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row>
    <row r="287" spans="1:22">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row>
    <row r="288" spans="1:22">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row>
    <row r="289" spans="1:22">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row>
    <row r="290" spans="1:22">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row>
    <row r="291" spans="1:22">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row>
    <row r="292" spans="1:22">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row>
    <row r="293" spans="1:22">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row>
    <row r="294" spans="1:22">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row>
    <row r="295" spans="1:22">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row>
    <row r="296" spans="1:22">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row>
    <row r="297" spans="1:22">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row>
    <row r="298" spans="1:22">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row>
    <row r="299" spans="1:22">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row>
    <row r="300" spans="1:22">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row>
    <row r="301" spans="1:22">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row>
    <row r="302" spans="1:22">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row>
    <row r="303" spans="1:22">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row>
    <row r="304" spans="1:22">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row>
    <row r="305" spans="1:22">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row>
    <row r="306" spans="1:22">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row>
    <row r="307" spans="1:22">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row>
    <row r="308" spans="1:22">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row>
    <row r="309" spans="1:22">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row>
    <row r="310" spans="1:22">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row>
    <row r="311" spans="1:22">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row>
    <row r="312" spans="1:22">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row>
    <row r="313" spans="1:22">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row>
    <row r="314" spans="1:22">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row>
    <row r="315" spans="1:22">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row>
    <row r="316" spans="1:22">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row>
    <row r="317" spans="1:22">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row>
    <row r="318" spans="1:22">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row>
    <row r="319" spans="1:22">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row>
    <row r="320" spans="1:22">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row>
    <row r="321" spans="1:22">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row>
    <row r="322" spans="1:22">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row>
    <row r="323" spans="1:22">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row>
    <row r="324" spans="1:22">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row>
    <row r="325" spans="1:22">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row>
    <row r="326" spans="1:22">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row>
    <row r="327" spans="1:22">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row>
    <row r="328" spans="1:22">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row>
    <row r="329" spans="1:22">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row>
    <row r="330" spans="1:22">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row>
    <row r="331" spans="1:22">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row>
    <row r="332" spans="1:22">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row>
    <row r="333" spans="1:22">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row>
    <row r="334" spans="1:22">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row>
    <row r="335" spans="1:22">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row>
    <row r="336" spans="1:22">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row>
    <row r="337" spans="1:22">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row>
    <row r="338" spans="1:22">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row>
    <row r="339" spans="1:22">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row>
    <row r="340" spans="1:22">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row>
    <row r="341" spans="1:22">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row>
    <row r="342" spans="1:22">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row>
    <row r="343" spans="1:22">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row>
    <row r="344" spans="1:22">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row>
    <row r="345" spans="1:22">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row>
    <row r="346" spans="1:22">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row>
    <row r="347" spans="1:22">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row>
    <row r="348" spans="1:22">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row>
    <row r="349" spans="1:22">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row>
    <row r="350" spans="1:22">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row>
    <row r="351" spans="1:22">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row>
    <row r="352" spans="1:22">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row>
    <row r="353" spans="1:22">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row>
    <row r="354" spans="1:22">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row>
    <row r="355" spans="1:22">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row>
    <row r="356" spans="1:22">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row>
    <row r="357" spans="1:22">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row>
    <row r="358" spans="1:22">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row>
    <row r="359" spans="1:22">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row>
    <row r="360" spans="1:22">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row>
    <row r="361" spans="1:22">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row>
    <row r="362" spans="1:22">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row>
    <row r="363" spans="1:22">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row>
    <row r="364" spans="1:22">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row>
    <row r="365" spans="1:22">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row>
    <row r="366" spans="1:22">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row>
    <row r="367" spans="1:22">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row>
    <row r="368" spans="1:22">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row>
    <row r="369" spans="1:22">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row>
    <row r="370" spans="1:22">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row>
    <row r="371" spans="1:22">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row>
    <row r="372" spans="1:22">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row>
    <row r="373" spans="1:22">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row>
    <row r="374" spans="1:22">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row>
    <row r="375" spans="1:22">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row>
    <row r="376" spans="1:22">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row>
    <row r="377" spans="1:22">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row>
    <row r="378" spans="1:22">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row>
    <row r="379" spans="1:22">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row>
    <row r="380" spans="1:22">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row>
    <row r="381" spans="1:22">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row>
    <row r="382" spans="1:22">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row>
    <row r="383" spans="1:22">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row>
    <row r="384" spans="1:22">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row>
    <row r="385" spans="1:22">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row>
    <row r="386" spans="1:22">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row>
    <row r="387" spans="1:22">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row>
    <row r="388" spans="1:22">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row>
    <row r="389" spans="1:22">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row>
    <row r="390" spans="1:22">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row>
    <row r="391" spans="1:22">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row>
    <row r="392" spans="1:22">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row>
    <row r="393" spans="1:22">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row>
    <row r="394" spans="1:22">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row>
    <row r="395" spans="1:22">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row>
    <row r="396" spans="1:22">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row>
    <row r="397" spans="1:22">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row>
    <row r="398" spans="1:22">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row>
    <row r="399" spans="1:22">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row>
    <row r="400" spans="1:22">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row>
    <row r="401" spans="1:22">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row>
    <row r="402" spans="1:22">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row>
    <row r="403" spans="1:22">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row>
    <row r="404" spans="1:22">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row>
    <row r="405" spans="1:22">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row>
    <row r="406" spans="1:22">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row>
    <row r="407" spans="1:22">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row>
    <row r="408" spans="1:22">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row>
    <row r="409" spans="1:22">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row>
    <row r="410" spans="1:22">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row>
    <row r="411" spans="1:22">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row>
    <row r="412" spans="1:22">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row>
    <row r="413" spans="1:22">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row>
    <row r="414" spans="1:22">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row>
    <row r="415" spans="1:22">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row>
    <row r="416" spans="1:22">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row>
    <row r="417" spans="1:22">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row>
    <row r="418" spans="1:22">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row>
    <row r="419" spans="1:22">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row>
    <row r="420" spans="1:22">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row>
    <row r="421" spans="1:22">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row>
    <row r="422" spans="1:22">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row>
    <row r="423" spans="1:22">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row>
    <row r="424" spans="1:22">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row>
    <row r="425" spans="1:22">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row>
    <row r="426" spans="1:22">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row>
    <row r="427" spans="1:22">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row>
    <row r="428" spans="1:22">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row>
    <row r="429" spans="1:22">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row>
    <row r="430" spans="1:22">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row>
    <row r="431" spans="1:22">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row>
    <row r="432" spans="1:22">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row>
    <row r="433" spans="1:22">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row>
    <row r="434" spans="1:22">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row>
    <row r="435" spans="1:22">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row>
    <row r="436" spans="1:22">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row>
    <row r="437" spans="1:22">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row>
    <row r="438" spans="1:22">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row>
    <row r="439" spans="1:22">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row>
    <row r="440" spans="1:22">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row>
    <row r="441" spans="1:22">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row>
    <row r="442" spans="1:22">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row>
    <row r="443" spans="1:22">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row>
    <row r="444" spans="1:22">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row>
    <row r="445" spans="1:22">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row>
    <row r="446" spans="1:22">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row>
    <row r="447" spans="1:22">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row>
    <row r="448" spans="1:22">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row>
    <row r="449" spans="1:22">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row>
    <row r="450" spans="1:22">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row>
    <row r="451" spans="1:22">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row>
    <row r="452" spans="1:22">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row>
    <row r="453" spans="1:22">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row>
    <row r="454" spans="1:22">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row>
    <row r="455" spans="1:22">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row>
    <row r="456" spans="1:22">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row>
    <row r="457" spans="1:22">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row>
    <row r="458" spans="1:22">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row>
    <row r="459" spans="1:22">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row>
    <row r="460" spans="1:22">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row>
    <row r="461" spans="1:22">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row>
    <row r="462" spans="1:22">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row>
    <row r="463" spans="1:22">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row>
    <row r="464" spans="1:22">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row>
    <row r="465" spans="1:22">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row>
    <row r="466" spans="1:22">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row>
    <row r="467" spans="1:22">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row>
    <row r="468" spans="1:22">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row>
    <row r="469" spans="1:22">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row>
    <row r="470" spans="1:22">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row>
    <row r="471" spans="1:22">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row>
    <row r="472" spans="1:22">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row>
    <row r="473" spans="1:22">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row>
    <row r="474" spans="1:22">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row>
    <row r="475" spans="1:22">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row>
    <row r="476" spans="1:22">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row>
    <row r="477" spans="1:22">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row>
    <row r="478" spans="1:22">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row>
    <row r="479" spans="1:22">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row>
    <row r="480" spans="1:22">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row>
    <row r="481" spans="1:22">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row>
    <row r="482" spans="1:22">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row>
    <row r="483" spans="1:22">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row>
    <row r="484" spans="1:22">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row>
    <row r="485" spans="1:22">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row>
    <row r="486" spans="1:22">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row>
    <row r="487" spans="1:22">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row>
    <row r="488" spans="1:22">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row>
    <row r="489" spans="1:22">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row>
    <row r="490" spans="1:22">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row>
    <row r="491" spans="1:22">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row>
    <row r="492" spans="1:22">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row>
    <row r="493" spans="1:22">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row>
    <row r="494" spans="1:22">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row>
    <row r="495" spans="1:22">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row>
    <row r="496" spans="1:22">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row>
    <row r="497" spans="1:22">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row>
    <row r="498" spans="1:22">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row>
    <row r="499" spans="1:22">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row>
    <row r="500" spans="1:22">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row>
    <row r="501" spans="1:22">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row>
  </sheetData>
  <mergeCells count="5">
    <mergeCell ref="Y10:Z11"/>
    <mergeCell ref="AA10:AA11"/>
    <mergeCell ref="Y13:Z14"/>
    <mergeCell ref="X16:AB17"/>
    <mergeCell ref="AA13:AA14"/>
  </mergeCells>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01"/>
  <sheetViews>
    <sheetView topLeftCell="T1" workbookViewId="0">
      <selection activeCell="AF2" sqref="AF2"/>
    </sheetView>
  </sheetViews>
  <sheetFormatPr defaultRowHeight="14.25"/>
  <cols>
    <col min="24" max="24" width="15.625" style="58" bestFit="1" customWidth="1"/>
    <col min="25" max="25" width="9.625" customWidth="1"/>
    <col min="26" max="26" width="9.125" style="40"/>
    <col min="27" max="27" width="9.125" style="29"/>
    <col min="28" max="28" width="14.875" style="41" bestFit="1" customWidth="1"/>
    <col min="30" max="30" width="18.625" style="58" bestFit="1" customWidth="1"/>
  </cols>
  <sheetData>
    <row r="1" spans="1:30"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c r="X1" s="62" t="s">
        <v>2115</v>
      </c>
      <c r="Y1" s="36"/>
      <c r="Z1" s="47"/>
      <c r="AA1" s="48"/>
      <c r="AB1" s="49"/>
      <c r="AD1" s="62" t="s">
        <v>2116</v>
      </c>
    </row>
    <row r="2" spans="1:30">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c r="X2" s="61">
        <f>M2*N2</f>
        <v>8800</v>
      </c>
      <c r="AD2" s="61">
        <f>(N2*M2)-(M2*N2)*(O2/100)</f>
        <v>7920</v>
      </c>
    </row>
    <row r="3" spans="1:30" ht="15" customHeight="1">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c r="X3" s="61">
        <f t="shared" ref="X3:X66" si="0">M3*N3</f>
        <v>204000</v>
      </c>
      <c r="Z3" s="123" t="s">
        <v>2117</v>
      </c>
      <c r="AA3" s="124"/>
      <c r="AB3" s="127">
        <f>SUMPRODUCT(N:N,M:M )/SUM(M:M)</f>
        <v>6978.6306460834767</v>
      </c>
      <c r="AD3" s="61">
        <f t="shared" ref="AD3:AD66" si="1">(N3*M3)-(M3*N3)*(O3/100)</f>
        <v>183600</v>
      </c>
    </row>
    <row r="4" spans="1:30">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X4" s="61">
        <f t="shared" si="0"/>
        <v>275000</v>
      </c>
      <c r="Z4" s="125"/>
      <c r="AA4" s="126"/>
      <c r="AB4" s="128"/>
      <c r="AD4" s="61">
        <f t="shared" si="1"/>
        <v>261250</v>
      </c>
    </row>
    <row r="5" spans="1:30">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X5" s="61">
        <f t="shared" si="0"/>
        <v>11000</v>
      </c>
      <c r="AB5" s="59"/>
      <c r="AD5" s="61">
        <f t="shared" si="1"/>
        <v>10450</v>
      </c>
    </row>
    <row r="6" spans="1:30" ht="15">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X6" s="61">
        <f t="shared" si="0"/>
        <v>9600</v>
      </c>
      <c r="Z6" s="133" t="s">
        <v>2118</v>
      </c>
      <c r="AA6" s="134"/>
      <c r="AB6" s="63">
        <f>SUM(P2:P501)</f>
        <v>34765937.5</v>
      </c>
      <c r="AD6" s="61">
        <f t="shared" si="1"/>
        <v>9120</v>
      </c>
    </row>
    <row r="7" spans="1:30">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X7" s="61">
        <f t="shared" si="0"/>
        <v>8800</v>
      </c>
      <c r="AB7" s="60"/>
      <c r="AD7" s="61">
        <f t="shared" si="1"/>
        <v>8800</v>
      </c>
    </row>
    <row r="8" spans="1:30" ht="15">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X8" s="61">
        <f t="shared" si="0"/>
        <v>7000</v>
      </c>
      <c r="Z8" s="133" t="s">
        <v>2119</v>
      </c>
      <c r="AA8" s="134"/>
      <c r="AB8" s="63">
        <f>SUM(X2:X501)</f>
        <v>36622875</v>
      </c>
      <c r="AD8" s="61">
        <f t="shared" si="1"/>
        <v>6650</v>
      </c>
    </row>
    <row r="9" spans="1:30">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c r="X9" s="61">
        <f t="shared" si="0"/>
        <v>168000</v>
      </c>
      <c r="AB9" s="59"/>
      <c r="AD9" s="61">
        <f t="shared" si="1"/>
        <v>142800</v>
      </c>
    </row>
    <row r="10" spans="1:30">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X10" s="61">
        <f t="shared" si="0"/>
        <v>48000</v>
      </c>
      <c r="Z10" s="129" t="s">
        <v>2120</v>
      </c>
      <c r="AA10" s="130"/>
      <c r="AB10" s="127">
        <f>SUM(X2:X501)- AB6</f>
        <v>1856937.5</v>
      </c>
      <c r="AD10" s="61">
        <f t="shared" si="1"/>
        <v>40800</v>
      </c>
    </row>
    <row r="11" spans="1:30">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c r="X11" s="61">
        <f t="shared" si="0"/>
        <v>360</v>
      </c>
      <c r="Z11" s="131"/>
      <c r="AA11" s="132"/>
      <c r="AB11" s="128"/>
      <c r="AD11" s="61">
        <f t="shared" si="1"/>
        <v>360</v>
      </c>
    </row>
    <row r="12" spans="1:30">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c r="X12" s="61">
        <f t="shared" si="0"/>
        <v>-6600</v>
      </c>
      <c r="AD12" s="61">
        <f t="shared" si="1"/>
        <v>-6600</v>
      </c>
    </row>
    <row r="13" spans="1:30">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c r="X13" s="61">
        <f t="shared" si="0"/>
        <v>35000</v>
      </c>
      <c r="AD13" s="61">
        <f t="shared" si="1"/>
        <v>33250</v>
      </c>
    </row>
    <row r="14" spans="1:30">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c r="X14" s="61">
        <f t="shared" si="0"/>
        <v>33000</v>
      </c>
      <c r="AD14" s="61">
        <f t="shared" si="1"/>
        <v>29700</v>
      </c>
    </row>
    <row r="15" spans="1:30">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c r="X15" s="61">
        <f t="shared" si="0"/>
        <v>37400</v>
      </c>
      <c r="AD15" s="61">
        <f t="shared" si="1"/>
        <v>35530</v>
      </c>
    </row>
    <row r="16" spans="1:30">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c r="X16" s="61">
        <f t="shared" si="0"/>
        <v>52500</v>
      </c>
      <c r="AD16" s="61">
        <f t="shared" si="1"/>
        <v>44625</v>
      </c>
    </row>
    <row r="17" spans="1:30">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c r="X17" s="61">
        <f t="shared" si="0"/>
        <v>3600</v>
      </c>
      <c r="AD17" s="61">
        <f t="shared" si="1"/>
        <v>3420</v>
      </c>
    </row>
    <row r="18" spans="1:30">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c r="X18" s="61">
        <f t="shared" si="0"/>
        <v>110500</v>
      </c>
      <c r="AD18" s="61">
        <f t="shared" si="1"/>
        <v>88400</v>
      </c>
    </row>
    <row r="19" spans="1:30">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c r="X19" s="61">
        <f t="shared" si="0"/>
        <v>34000</v>
      </c>
      <c r="AD19" s="61">
        <f t="shared" si="1"/>
        <v>27200</v>
      </c>
    </row>
    <row r="20" spans="1:30">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c r="X20" s="61">
        <f t="shared" si="0"/>
        <v>6300</v>
      </c>
      <c r="AD20" s="61">
        <f t="shared" si="1"/>
        <v>5985</v>
      </c>
    </row>
    <row r="21" spans="1:30">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c r="X21" s="61">
        <f t="shared" si="0"/>
        <v>440000</v>
      </c>
      <c r="AD21" s="61">
        <f t="shared" si="1"/>
        <v>352000</v>
      </c>
    </row>
    <row r="22" spans="1:30">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c r="X22" s="61">
        <f t="shared" si="0"/>
        <v>7000</v>
      </c>
      <c r="AD22" s="61">
        <f t="shared" si="1"/>
        <v>5600</v>
      </c>
    </row>
    <row r="23" spans="1:30">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c r="X23" s="61">
        <f t="shared" si="0"/>
        <v>3500</v>
      </c>
      <c r="AD23" s="61">
        <f t="shared" si="1"/>
        <v>3325</v>
      </c>
    </row>
    <row r="24" spans="1:30">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c r="X24" s="61">
        <f t="shared" si="0"/>
        <v>13300</v>
      </c>
      <c r="AD24" s="61">
        <f t="shared" si="1"/>
        <v>11305</v>
      </c>
    </row>
    <row r="25" spans="1:30">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c r="X25" s="61">
        <f t="shared" si="0"/>
        <v>660000</v>
      </c>
      <c r="AD25" s="61">
        <f t="shared" si="1"/>
        <v>660000</v>
      </c>
    </row>
    <row r="26" spans="1:30">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c r="X26" s="61">
        <f t="shared" si="0"/>
        <v>20</v>
      </c>
      <c r="AD26" s="61">
        <f t="shared" si="1"/>
        <v>19</v>
      </c>
    </row>
    <row r="27" spans="1:30">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c r="X27" s="61">
        <f t="shared" si="0"/>
        <v>40</v>
      </c>
      <c r="AD27" s="61">
        <f t="shared" si="1"/>
        <v>34</v>
      </c>
    </row>
    <row r="28" spans="1:30">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c r="X28" s="61">
        <f t="shared" si="0"/>
        <v>42000</v>
      </c>
      <c r="AD28" s="61">
        <f t="shared" si="1"/>
        <v>35700</v>
      </c>
    </row>
    <row r="29" spans="1:30">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c r="X29" s="61">
        <f t="shared" si="0"/>
        <v>13200</v>
      </c>
      <c r="AD29" s="61">
        <f t="shared" si="1"/>
        <v>13200</v>
      </c>
    </row>
    <row r="30" spans="1:30">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c r="X30" s="61">
        <f t="shared" si="0"/>
        <v>51000</v>
      </c>
      <c r="AD30" s="61">
        <f t="shared" si="1"/>
        <v>17850</v>
      </c>
    </row>
    <row r="31" spans="1:30">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c r="X31" s="61">
        <f t="shared" si="0"/>
        <v>120</v>
      </c>
      <c r="AD31" s="61">
        <f t="shared" si="1"/>
        <v>114</v>
      </c>
    </row>
    <row r="32" spans="1:30">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c r="X32" s="61">
        <f t="shared" si="0"/>
        <v>855</v>
      </c>
      <c r="AD32" s="61">
        <f t="shared" si="1"/>
        <v>684</v>
      </c>
    </row>
    <row r="33" spans="1:30">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c r="X33" s="61">
        <f t="shared" si="0"/>
        <v>132000</v>
      </c>
      <c r="AD33" s="61">
        <f t="shared" si="1"/>
        <v>132000</v>
      </c>
    </row>
    <row r="34" spans="1:30">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c r="X34" s="61">
        <f t="shared" si="0"/>
        <v>44000</v>
      </c>
      <c r="AD34" s="61">
        <f t="shared" si="1"/>
        <v>41800</v>
      </c>
    </row>
    <row r="35" spans="1:30">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c r="X35" s="61">
        <f t="shared" si="0"/>
        <v>60</v>
      </c>
      <c r="AD35" s="61">
        <f t="shared" si="1"/>
        <v>60</v>
      </c>
    </row>
    <row r="36" spans="1:30">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c r="X36" s="61">
        <f t="shared" si="0"/>
        <v>810</v>
      </c>
      <c r="AD36" s="61">
        <f t="shared" si="1"/>
        <v>648</v>
      </c>
    </row>
    <row r="37" spans="1:30">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c r="X37" s="61">
        <f t="shared" si="0"/>
        <v>4800</v>
      </c>
      <c r="AD37" s="61">
        <f t="shared" si="1"/>
        <v>3840</v>
      </c>
    </row>
    <row r="38" spans="1:30">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c r="X38" s="61">
        <f t="shared" si="0"/>
        <v>550000</v>
      </c>
      <c r="AD38" s="61">
        <f t="shared" si="1"/>
        <v>550000</v>
      </c>
    </row>
    <row r="39" spans="1:30">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c r="X39" s="61">
        <f t="shared" si="0"/>
        <v>70000</v>
      </c>
      <c r="AD39" s="61">
        <f t="shared" si="1"/>
        <v>63000</v>
      </c>
    </row>
    <row r="40" spans="1:30">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c r="X40" s="61">
        <f t="shared" si="0"/>
        <v>6000</v>
      </c>
      <c r="AD40" s="61">
        <f t="shared" si="1"/>
        <v>6000</v>
      </c>
    </row>
    <row r="41" spans="1:30">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c r="X41" s="61">
        <f t="shared" si="0"/>
        <v>170000</v>
      </c>
      <c r="AD41" s="61">
        <f t="shared" si="1"/>
        <v>170000</v>
      </c>
    </row>
    <row r="42" spans="1:30">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c r="X42" s="61">
        <f t="shared" si="0"/>
        <v>480</v>
      </c>
      <c r="AD42" s="61">
        <f t="shared" si="1"/>
        <v>408</v>
      </c>
    </row>
    <row r="43" spans="1:30">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c r="X43" s="61">
        <f t="shared" si="0"/>
        <v>28000</v>
      </c>
      <c r="AD43" s="61">
        <f t="shared" si="1"/>
        <v>26600</v>
      </c>
    </row>
    <row r="44" spans="1:30">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c r="X44" s="61">
        <f t="shared" si="0"/>
        <v>8500</v>
      </c>
      <c r="AD44" s="61">
        <f t="shared" si="1"/>
        <v>8500</v>
      </c>
    </row>
    <row r="45" spans="1:30">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c r="X45" s="61">
        <f t="shared" si="0"/>
        <v>360</v>
      </c>
      <c r="AD45" s="61">
        <f t="shared" si="1"/>
        <v>306</v>
      </c>
    </row>
    <row r="46" spans="1:30">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c r="X46" s="61">
        <f t="shared" si="0"/>
        <v>35200</v>
      </c>
      <c r="AD46" s="61">
        <f t="shared" si="1"/>
        <v>33440</v>
      </c>
    </row>
    <row r="47" spans="1:30">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c r="X47" s="61">
        <f t="shared" si="0"/>
        <v>66500</v>
      </c>
      <c r="AD47" s="61">
        <f t="shared" si="1"/>
        <v>53200</v>
      </c>
    </row>
    <row r="48" spans="1:30">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c r="X48" s="61">
        <f t="shared" si="0"/>
        <v>10500</v>
      </c>
      <c r="AD48" s="61">
        <f t="shared" si="1"/>
        <v>8925</v>
      </c>
    </row>
    <row r="49" spans="1:30">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c r="X49" s="61">
        <f t="shared" si="0"/>
        <v>13300</v>
      </c>
      <c r="AD49" s="61">
        <f t="shared" si="1"/>
        <v>10640</v>
      </c>
    </row>
    <row r="50" spans="1:30">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c r="X50" s="61">
        <f t="shared" si="0"/>
        <v>228000</v>
      </c>
      <c r="AD50" s="61">
        <f t="shared" si="1"/>
        <v>228000</v>
      </c>
    </row>
    <row r="51" spans="1:30">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c r="X51" s="61">
        <f t="shared" si="0"/>
        <v>7200</v>
      </c>
      <c r="AD51" s="61">
        <f t="shared" si="1"/>
        <v>6840</v>
      </c>
    </row>
    <row r="52" spans="1:30">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c r="X52" s="61">
        <f t="shared" si="0"/>
        <v>15400</v>
      </c>
      <c r="AD52" s="61">
        <f t="shared" si="1"/>
        <v>13090</v>
      </c>
    </row>
    <row r="53" spans="1:30">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c r="X53" s="61">
        <f t="shared" si="0"/>
        <v>480</v>
      </c>
      <c r="AD53" s="61">
        <f t="shared" si="1"/>
        <v>432</v>
      </c>
    </row>
    <row r="54" spans="1:30">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c r="X54" s="61">
        <f t="shared" si="0"/>
        <v>660000</v>
      </c>
      <c r="AD54" s="61">
        <f t="shared" si="1"/>
        <v>627000</v>
      </c>
    </row>
    <row r="55" spans="1:30">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c r="X55" s="61">
        <f t="shared" si="0"/>
        <v>2100</v>
      </c>
      <c r="AD55" s="61">
        <f t="shared" si="1"/>
        <v>2100</v>
      </c>
    </row>
    <row r="56" spans="1:30">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c r="X56" s="61">
        <f t="shared" si="0"/>
        <v>1140</v>
      </c>
      <c r="AD56" s="61">
        <f t="shared" si="1"/>
        <v>969</v>
      </c>
    </row>
    <row r="57" spans="1:30">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c r="X57" s="61">
        <f t="shared" si="0"/>
        <v>540</v>
      </c>
      <c r="AD57" s="61">
        <f t="shared" si="1"/>
        <v>432</v>
      </c>
    </row>
    <row r="58" spans="1:30">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c r="X58" s="61">
        <f t="shared" si="0"/>
        <v>4200</v>
      </c>
      <c r="AD58" s="61">
        <f t="shared" si="1"/>
        <v>4200</v>
      </c>
    </row>
    <row r="59" spans="1:30">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c r="X59" s="61">
        <f t="shared" si="0"/>
        <v>810</v>
      </c>
      <c r="AD59" s="61">
        <f t="shared" si="1"/>
        <v>769.5</v>
      </c>
    </row>
    <row r="60" spans="1:30">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c r="X60" s="61">
        <f t="shared" si="0"/>
        <v>160</v>
      </c>
      <c r="AD60" s="61">
        <f t="shared" si="1"/>
        <v>152</v>
      </c>
    </row>
    <row r="61" spans="1:30">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c r="X61" s="61">
        <f t="shared" si="0"/>
        <v>5600</v>
      </c>
      <c r="AD61" s="61">
        <f t="shared" si="1"/>
        <v>5040</v>
      </c>
    </row>
    <row r="62" spans="1:30">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c r="X62" s="61">
        <f t="shared" si="0"/>
        <v>140</v>
      </c>
      <c r="AD62" s="61">
        <f t="shared" si="1"/>
        <v>119</v>
      </c>
    </row>
    <row r="63" spans="1:30">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c r="X63" s="61">
        <f t="shared" si="0"/>
        <v>320</v>
      </c>
      <c r="AD63" s="61">
        <f t="shared" si="1"/>
        <v>320</v>
      </c>
    </row>
    <row r="64" spans="1:30">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c r="X64" s="61">
        <f t="shared" si="0"/>
        <v>675</v>
      </c>
      <c r="AD64" s="61">
        <f t="shared" si="1"/>
        <v>675</v>
      </c>
    </row>
    <row r="65" spans="1:30">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c r="X65" s="61">
        <f t="shared" si="0"/>
        <v>10500</v>
      </c>
      <c r="AD65" s="61">
        <f t="shared" si="1"/>
        <v>9450</v>
      </c>
    </row>
    <row r="66" spans="1:30">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c r="X66" s="61">
        <f t="shared" si="0"/>
        <v>135</v>
      </c>
      <c r="AD66" s="61">
        <f t="shared" si="1"/>
        <v>114.75</v>
      </c>
    </row>
    <row r="67" spans="1:30">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c r="X67" s="61">
        <f t="shared" ref="X67:X130" si="2">M67*N67</f>
        <v>15400</v>
      </c>
      <c r="AD67" s="61">
        <f t="shared" ref="AD67:AD130" si="3">(N67*M67)-(M67*N67)*(O67/100)</f>
        <v>13090</v>
      </c>
    </row>
    <row r="68" spans="1:30">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c r="X68" s="61">
        <f t="shared" si="2"/>
        <v>855</v>
      </c>
      <c r="AD68" s="61">
        <f t="shared" si="3"/>
        <v>769.5</v>
      </c>
    </row>
    <row r="69" spans="1:30">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c r="X69" s="61">
        <f t="shared" si="2"/>
        <v>24500</v>
      </c>
      <c r="AD69" s="61">
        <f t="shared" si="3"/>
        <v>20825</v>
      </c>
    </row>
    <row r="70" spans="1:30">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c r="X70" s="61">
        <f t="shared" si="2"/>
        <v>59500</v>
      </c>
      <c r="AD70" s="61">
        <f t="shared" si="3"/>
        <v>47600</v>
      </c>
    </row>
    <row r="71" spans="1:30">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c r="X71" s="61">
        <f t="shared" si="2"/>
        <v>880000</v>
      </c>
      <c r="AD71" s="61">
        <f t="shared" si="3"/>
        <v>792000</v>
      </c>
    </row>
    <row r="72" spans="1:30">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c r="X72" s="61">
        <f t="shared" si="2"/>
        <v>24000</v>
      </c>
      <c r="AD72" s="61">
        <f t="shared" si="3"/>
        <v>19200</v>
      </c>
    </row>
    <row r="73" spans="1:30">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c r="X73" s="61">
        <f t="shared" si="2"/>
        <v>180</v>
      </c>
      <c r="AD73" s="61">
        <f t="shared" si="3"/>
        <v>171</v>
      </c>
    </row>
    <row r="74" spans="1:30">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c r="X74" s="61">
        <f t="shared" si="2"/>
        <v>1200</v>
      </c>
      <c r="AD74" s="61">
        <f t="shared" si="3"/>
        <v>1140</v>
      </c>
    </row>
    <row r="75" spans="1:30">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c r="X75" s="61">
        <f t="shared" si="2"/>
        <v>2200</v>
      </c>
      <c r="AD75" s="61">
        <f t="shared" si="3"/>
        <v>1870</v>
      </c>
    </row>
    <row r="76" spans="1:30">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c r="X76" s="61">
        <f t="shared" si="2"/>
        <v>3600</v>
      </c>
      <c r="AD76" s="61">
        <f t="shared" si="3"/>
        <v>3240</v>
      </c>
    </row>
    <row r="77" spans="1:30">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c r="X77" s="61">
        <f t="shared" si="2"/>
        <v>35000</v>
      </c>
      <c r="AD77" s="61">
        <f t="shared" si="3"/>
        <v>28000</v>
      </c>
    </row>
    <row r="78" spans="1:30">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c r="X78" s="61">
        <f t="shared" si="2"/>
        <v>12600</v>
      </c>
      <c r="AD78" s="61">
        <f t="shared" si="3"/>
        <v>11970</v>
      </c>
    </row>
    <row r="79" spans="1:30">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c r="X79" s="61">
        <f t="shared" si="2"/>
        <v>8400</v>
      </c>
      <c r="AD79" s="61">
        <f t="shared" si="3"/>
        <v>7140</v>
      </c>
    </row>
    <row r="80" spans="1:30">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c r="X80" s="61">
        <f t="shared" si="2"/>
        <v>9600</v>
      </c>
      <c r="AD80" s="61">
        <f t="shared" si="3"/>
        <v>9600</v>
      </c>
    </row>
    <row r="81" spans="1:30">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c r="X81" s="61">
        <f t="shared" si="2"/>
        <v>120</v>
      </c>
      <c r="AD81" s="61">
        <f t="shared" si="3"/>
        <v>120</v>
      </c>
    </row>
    <row r="82" spans="1:30">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c r="X82" s="61">
        <f t="shared" si="2"/>
        <v>450</v>
      </c>
      <c r="AD82" s="61">
        <f t="shared" si="3"/>
        <v>382.5</v>
      </c>
    </row>
    <row r="83" spans="1:30">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c r="X83" s="61">
        <f t="shared" si="2"/>
        <v>42000</v>
      </c>
      <c r="AD83" s="61">
        <f t="shared" si="3"/>
        <v>39900</v>
      </c>
    </row>
    <row r="84" spans="1:30">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c r="X84" s="61">
        <f t="shared" si="2"/>
        <v>120</v>
      </c>
      <c r="AD84" s="61">
        <f t="shared" si="3"/>
        <v>102</v>
      </c>
    </row>
    <row r="85" spans="1:30">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c r="X85" s="61">
        <f t="shared" si="2"/>
        <v>21600</v>
      </c>
      <c r="AD85" s="61">
        <f t="shared" si="3"/>
        <v>18360</v>
      </c>
    </row>
    <row r="86" spans="1:30">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c r="X86" s="61">
        <f t="shared" si="2"/>
        <v>216000</v>
      </c>
      <c r="AD86" s="61">
        <f t="shared" si="3"/>
        <v>183600</v>
      </c>
    </row>
    <row r="87" spans="1:30">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c r="X87" s="61">
        <f t="shared" si="2"/>
        <v>140</v>
      </c>
      <c r="AD87" s="61">
        <f t="shared" si="3"/>
        <v>140</v>
      </c>
    </row>
    <row r="88" spans="1:30">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c r="X88" s="61">
        <f t="shared" si="2"/>
        <v>70000</v>
      </c>
      <c r="AD88" s="61">
        <f t="shared" si="3"/>
        <v>56000</v>
      </c>
    </row>
    <row r="89" spans="1:30">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c r="X89" s="61">
        <f t="shared" si="2"/>
        <v>68000</v>
      </c>
      <c r="AD89" s="61">
        <f t="shared" si="3"/>
        <v>54400</v>
      </c>
    </row>
    <row r="90" spans="1:30">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c r="X90" s="61">
        <f t="shared" si="2"/>
        <v>72000</v>
      </c>
      <c r="AD90" s="61">
        <f t="shared" si="3"/>
        <v>68400</v>
      </c>
    </row>
    <row r="91" spans="1:30">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c r="X91" s="61">
        <f t="shared" si="2"/>
        <v>127500</v>
      </c>
      <c r="AD91" s="61">
        <f t="shared" si="3"/>
        <v>127500</v>
      </c>
    </row>
    <row r="92" spans="1:30">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c r="X92" s="61">
        <f t="shared" si="2"/>
        <v>6000</v>
      </c>
      <c r="AD92" s="61">
        <f t="shared" si="3"/>
        <v>5100</v>
      </c>
    </row>
    <row r="93" spans="1:30">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c r="X93" s="61">
        <f t="shared" si="2"/>
        <v>80</v>
      </c>
      <c r="AD93" s="61">
        <f t="shared" si="3"/>
        <v>80</v>
      </c>
    </row>
    <row r="94" spans="1:30">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c r="X94" s="61">
        <f t="shared" si="2"/>
        <v>200</v>
      </c>
      <c r="AD94" s="61">
        <f t="shared" si="3"/>
        <v>200</v>
      </c>
    </row>
    <row r="95" spans="1:30">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c r="X95" s="61">
        <f t="shared" si="2"/>
        <v>39600</v>
      </c>
      <c r="AD95" s="61">
        <f t="shared" si="3"/>
        <v>35640</v>
      </c>
    </row>
    <row r="96" spans="1:30">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c r="X96" s="61">
        <f t="shared" si="2"/>
        <v>24500</v>
      </c>
      <c r="AD96" s="61">
        <f t="shared" si="3"/>
        <v>20825</v>
      </c>
    </row>
    <row r="97" spans="1:30">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c r="X97" s="61">
        <f t="shared" si="2"/>
        <v>161500</v>
      </c>
      <c r="AD97" s="61">
        <f t="shared" si="3"/>
        <v>137275</v>
      </c>
    </row>
    <row r="98" spans="1:30">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c r="X98" s="61">
        <f t="shared" si="2"/>
        <v>156000</v>
      </c>
      <c r="AD98" s="61">
        <f t="shared" si="3"/>
        <v>132600</v>
      </c>
    </row>
    <row r="99" spans="1:30">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c r="X99" s="61">
        <f t="shared" si="2"/>
        <v>140</v>
      </c>
      <c r="AD99" s="61">
        <f t="shared" si="3"/>
        <v>140</v>
      </c>
    </row>
    <row r="100" spans="1:30">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c r="X100" s="61">
        <f t="shared" si="2"/>
        <v>3500</v>
      </c>
      <c r="AD100" s="61">
        <f t="shared" si="3"/>
        <v>2975</v>
      </c>
    </row>
    <row r="101" spans="1:30">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c r="X101" s="61">
        <f t="shared" si="2"/>
        <v>405</v>
      </c>
      <c r="AD101" s="61">
        <f t="shared" si="3"/>
        <v>384.75</v>
      </c>
    </row>
    <row r="102" spans="1:30">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c r="X102" s="61">
        <f t="shared" si="2"/>
        <v>1140</v>
      </c>
      <c r="AD102" s="61">
        <f t="shared" si="3"/>
        <v>1026</v>
      </c>
    </row>
    <row r="103" spans="1:30">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c r="X103" s="61">
        <f t="shared" si="2"/>
        <v>2800</v>
      </c>
      <c r="AD103" s="61">
        <f t="shared" si="3"/>
        <v>2660</v>
      </c>
    </row>
    <row r="104" spans="1:30">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c r="X104" s="61">
        <f t="shared" si="2"/>
        <v>56000</v>
      </c>
      <c r="AD104" s="61">
        <f t="shared" si="3"/>
        <v>56000</v>
      </c>
    </row>
    <row r="105" spans="1:30">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c r="X105" s="61">
        <f t="shared" si="2"/>
        <v>225</v>
      </c>
      <c r="AD105" s="61">
        <f t="shared" si="3"/>
        <v>180</v>
      </c>
    </row>
    <row r="106" spans="1:30">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c r="X106" s="61">
        <f t="shared" si="2"/>
        <v>180</v>
      </c>
      <c r="AD106" s="61">
        <f t="shared" si="3"/>
        <v>162</v>
      </c>
    </row>
    <row r="107" spans="1:30">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c r="X107" s="61">
        <f t="shared" si="2"/>
        <v>10800</v>
      </c>
      <c r="AD107" s="61">
        <f t="shared" si="3"/>
        <v>10260</v>
      </c>
    </row>
    <row r="108" spans="1:30">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c r="X108" s="61">
        <f t="shared" si="2"/>
        <v>10500</v>
      </c>
      <c r="AD108" s="61">
        <f t="shared" si="3"/>
        <v>9450</v>
      </c>
    </row>
    <row r="109" spans="1:30">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c r="X109" s="61">
        <f t="shared" si="2"/>
        <v>7200</v>
      </c>
      <c r="AD109" s="61">
        <f t="shared" si="3"/>
        <v>6120</v>
      </c>
    </row>
    <row r="110" spans="1:30">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c r="X110" s="61">
        <f t="shared" si="2"/>
        <v>20400</v>
      </c>
      <c r="AD110" s="61">
        <f t="shared" si="3"/>
        <v>17340</v>
      </c>
    </row>
    <row r="111" spans="1:30">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c r="X111" s="61">
        <f t="shared" si="2"/>
        <v>127500</v>
      </c>
      <c r="AD111" s="61">
        <f t="shared" si="3"/>
        <v>127500</v>
      </c>
    </row>
    <row r="112" spans="1:30">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c r="X112" s="61">
        <f t="shared" si="2"/>
        <v>1200</v>
      </c>
      <c r="AD112" s="61">
        <f t="shared" si="3"/>
        <v>960</v>
      </c>
    </row>
    <row r="113" spans="1:30">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c r="X113" s="61">
        <f t="shared" si="2"/>
        <v>42500</v>
      </c>
      <c r="AD113" s="61">
        <f t="shared" si="3"/>
        <v>38250</v>
      </c>
    </row>
    <row r="114" spans="1:30">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c r="X114" s="61">
        <f t="shared" si="2"/>
        <v>540</v>
      </c>
      <c r="AD114" s="61">
        <f t="shared" si="3"/>
        <v>513</v>
      </c>
    </row>
    <row r="115" spans="1:30">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c r="X115" s="61">
        <f t="shared" si="2"/>
        <v>300</v>
      </c>
      <c r="AD115" s="61">
        <f t="shared" si="3"/>
        <v>285</v>
      </c>
    </row>
    <row r="116" spans="1:30">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c r="X116" s="61">
        <f t="shared" si="2"/>
        <v>2100</v>
      </c>
      <c r="AD116" s="61">
        <f t="shared" si="3"/>
        <v>2100</v>
      </c>
    </row>
    <row r="117" spans="1:30">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c r="X117" s="61">
        <f t="shared" si="2"/>
        <v>120</v>
      </c>
      <c r="AD117" s="61">
        <f t="shared" si="3"/>
        <v>102</v>
      </c>
    </row>
    <row r="118" spans="1:30">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c r="X118" s="61">
        <f t="shared" si="2"/>
        <v>1400</v>
      </c>
      <c r="AD118" s="61">
        <f t="shared" si="3"/>
        <v>1190</v>
      </c>
    </row>
    <row r="119" spans="1:30">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c r="X119" s="61">
        <f t="shared" si="2"/>
        <v>720</v>
      </c>
      <c r="AD119" s="61">
        <f t="shared" si="3"/>
        <v>720</v>
      </c>
    </row>
    <row r="120" spans="1:30">
      <c r="A120" s="3" t="s">
        <v>686</v>
      </c>
      <c r="B120" s="4" t="s">
        <v>75</v>
      </c>
      <c r="C120" s="4" t="s">
        <v>76</v>
      </c>
      <c r="D120" s="4" t="s">
        <v>687</v>
      </c>
      <c r="E120" s="4" t="s">
        <v>688</v>
      </c>
      <c r="F120" s="4" t="s">
        <v>221</v>
      </c>
      <c r="G120" s="4" t="s">
        <v>80</v>
      </c>
      <c r="H120" s="4" t="s">
        <v>689</v>
      </c>
      <c r="I120" s="4" t="s">
        <v>142</v>
      </c>
      <c r="J120" s="4" t="s">
        <v>110</v>
      </c>
      <c r="K120" s="4" t="s">
        <v>50</v>
      </c>
      <c r="L120" s="4" t="s">
        <v>82</v>
      </c>
      <c r="M120" s="4">
        <v>10</v>
      </c>
      <c r="N120" s="4">
        <v>1200</v>
      </c>
      <c r="O120" s="15">
        <v>15</v>
      </c>
      <c r="P120" s="4">
        <v>7140</v>
      </c>
      <c r="Q120" s="4">
        <v>4</v>
      </c>
      <c r="R120" s="4" t="s">
        <v>92</v>
      </c>
      <c r="S120" s="4" t="s">
        <v>155</v>
      </c>
      <c r="T120" s="4" t="s">
        <v>84</v>
      </c>
      <c r="U120" s="6" t="s">
        <v>691</v>
      </c>
      <c r="V120" s="21" t="s">
        <v>68</v>
      </c>
      <c r="X120" s="61">
        <f t="shared" si="2"/>
        <v>12000</v>
      </c>
      <c r="AD120" s="61">
        <f t="shared" si="3"/>
        <v>10200</v>
      </c>
    </row>
    <row r="121" spans="1:30">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c r="X121" s="61">
        <f t="shared" si="2"/>
        <v>168000</v>
      </c>
      <c r="AD121" s="61">
        <f t="shared" si="3"/>
        <v>142800</v>
      </c>
    </row>
    <row r="122" spans="1:30">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c r="X122" s="61">
        <f t="shared" si="2"/>
        <v>68000</v>
      </c>
      <c r="AD122" s="61">
        <f t="shared" si="3"/>
        <v>54400</v>
      </c>
    </row>
    <row r="123" spans="1:30">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c r="X123" s="61">
        <f t="shared" si="2"/>
        <v>135</v>
      </c>
      <c r="AD123" s="61">
        <f t="shared" si="3"/>
        <v>135</v>
      </c>
    </row>
    <row r="124" spans="1:30">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c r="X124" s="61">
        <f t="shared" si="2"/>
        <v>9100</v>
      </c>
      <c r="AD124" s="61">
        <f t="shared" si="3"/>
        <v>8645</v>
      </c>
    </row>
    <row r="125" spans="1:30">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c r="X125" s="61">
        <f t="shared" si="2"/>
        <v>16800</v>
      </c>
      <c r="AD125" s="61">
        <f t="shared" si="3"/>
        <v>13440</v>
      </c>
    </row>
    <row r="126" spans="1:30">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c r="X126" s="61">
        <f t="shared" si="2"/>
        <v>90</v>
      </c>
      <c r="AD126" s="61">
        <f t="shared" si="3"/>
        <v>85.5</v>
      </c>
    </row>
    <row r="127" spans="1:30">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c r="X127" s="61">
        <f t="shared" si="2"/>
        <v>2400</v>
      </c>
      <c r="AD127" s="61">
        <f t="shared" si="3"/>
        <v>1920</v>
      </c>
    </row>
    <row r="128" spans="1:30">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c r="X128" s="61">
        <f t="shared" si="2"/>
        <v>550000</v>
      </c>
      <c r="AD128" s="61">
        <f t="shared" si="3"/>
        <v>522500</v>
      </c>
    </row>
    <row r="129" spans="1:30">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c r="X129" s="61">
        <f t="shared" si="2"/>
        <v>52500</v>
      </c>
      <c r="AD129" s="61">
        <f t="shared" si="3"/>
        <v>47250</v>
      </c>
    </row>
    <row r="130" spans="1:30">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c r="X130" s="61">
        <f t="shared" si="2"/>
        <v>22000</v>
      </c>
      <c r="AD130" s="61">
        <f t="shared" si="3"/>
        <v>18700</v>
      </c>
    </row>
    <row r="131" spans="1:30">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c r="X131" s="61">
        <f t="shared" ref="X131:X194" si="4">M131*N131</f>
        <v>38500</v>
      </c>
      <c r="AD131" s="61">
        <f t="shared" ref="AD131:AD194" si="5">(N131*M131)-(M131*N131)*(O131/100)</f>
        <v>36575</v>
      </c>
    </row>
    <row r="132" spans="1:30">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c r="X132" s="61">
        <f t="shared" si="4"/>
        <v>16800</v>
      </c>
      <c r="AD132" s="61">
        <f t="shared" si="5"/>
        <v>16800</v>
      </c>
    </row>
    <row r="133" spans="1:30">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c r="X133" s="61">
        <f t="shared" si="4"/>
        <v>220</v>
      </c>
      <c r="AD133" s="61">
        <f t="shared" si="5"/>
        <v>176</v>
      </c>
    </row>
    <row r="134" spans="1:30">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c r="X134" s="61">
        <f t="shared" si="4"/>
        <v>72000</v>
      </c>
      <c r="AD134" s="61">
        <f t="shared" si="5"/>
        <v>64800</v>
      </c>
    </row>
    <row r="135" spans="1:30">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c r="X135" s="61">
        <f t="shared" si="4"/>
        <v>13200</v>
      </c>
      <c r="AD135" s="61">
        <f t="shared" si="5"/>
        <v>12540</v>
      </c>
    </row>
    <row r="136" spans="1:30">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c r="X136" s="61">
        <f t="shared" si="4"/>
        <v>10500</v>
      </c>
      <c r="AD136" s="61">
        <f t="shared" si="5"/>
        <v>9975</v>
      </c>
    </row>
    <row r="137" spans="1:30">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c r="X137" s="61">
        <f t="shared" si="4"/>
        <v>42500</v>
      </c>
      <c r="AD137" s="61">
        <f t="shared" si="5"/>
        <v>34000</v>
      </c>
    </row>
    <row r="138" spans="1:30">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c r="X138" s="61">
        <f t="shared" si="4"/>
        <v>49000</v>
      </c>
      <c r="AD138" s="61">
        <f t="shared" si="5"/>
        <v>44100</v>
      </c>
    </row>
    <row r="139" spans="1:30">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c r="X139" s="61">
        <f t="shared" si="4"/>
        <v>360</v>
      </c>
      <c r="AD139" s="61">
        <f t="shared" si="5"/>
        <v>360</v>
      </c>
    </row>
    <row r="140" spans="1:30">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c r="X140" s="61">
        <f t="shared" si="4"/>
        <v>495</v>
      </c>
      <c r="AD140" s="61">
        <f t="shared" si="5"/>
        <v>470.25</v>
      </c>
    </row>
    <row r="141" spans="1:30">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c r="X141" s="61">
        <f t="shared" si="4"/>
        <v>1045000</v>
      </c>
      <c r="AD141" s="61">
        <f t="shared" si="5"/>
        <v>1045000</v>
      </c>
    </row>
    <row r="142" spans="1:30">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c r="X142" s="61">
        <f t="shared" si="4"/>
        <v>70000</v>
      </c>
      <c r="AD142" s="61">
        <f t="shared" si="5"/>
        <v>56000</v>
      </c>
    </row>
    <row r="143" spans="1:30">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c r="X143" s="61">
        <f t="shared" si="4"/>
        <v>37400</v>
      </c>
      <c r="AD143" s="61">
        <f t="shared" si="5"/>
        <v>37400</v>
      </c>
    </row>
    <row r="144" spans="1:30">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c r="X144" s="61">
        <f t="shared" si="4"/>
        <v>12000</v>
      </c>
      <c r="AD144" s="61">
        <f t="shared" si="5"/>
        <v>11400</v>
      </c>
    </row>
    <row r="145" spans="1:30">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c r="X145" s="61">
        <f t="shared" si="4"/>
        <v>180</v>
      </c>
      <c r="AD145" s="61">
        <f t="shared" si="5"/>
        <v>180</v>
      </c>
    </row>
    <row r="146" spans="1:30">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c r="X146" s="61">
        <f t="shared" si="4"/>
        <v>39600</v>
      </c>
      <c r="AD146" s="61">
        <f t="shared" si="5"/>
        <v>35640</v>
      </c>
    </row>
    <row r="147" spans="1:30">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c r="X147" s="61">
        <f t="shared" si="4"/>
        <v>1080</v>
      </c>
      <c r="AD147" s="61">
        <f t="shared" si="5"/>
        <v>1026</v>
      </c>
    </row>
    <row r="148" spans="1:30">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c r="X148" s="61">
        <f t="shared" si="4"/>
        <v>605000</v>
      </c>
      <c r="AD148" s="61">
        <f t="shared" si="5"/>
        <v>514250</v>
      </c>
    </row>
    <row r="149" spans="1:30">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c r="X149" s="61">
        <f t="shared" si="4"/>
        <v>42500</v>
      </c>
      <c r="AD149" s="61">
        <f t="shared" si="5"/>
        <v>40375</v>
      </c>
    </row>
    <row r="150" spans="1:30">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c r="X150" s="61">
        <f t="shared" si="4"/>
        <v>11200</v>
      </c>
      <c r="AD150" s="61">
        <f t="shared" si="5"/>
        <v>9520</v>
      </c>
    </row>
    <row r="151" spans="1:30">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c r="X151" s="61">
        <f t="shared" si="4"/>
        <v>4200</v>
      </c>
      <c r="AD151" s="61">
        <f t="shared" si="5"/>
        <v>3780</v>
      </c>
    </row>
    <row r="152" spans="1:30">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c r="X152" s="61">
        <f t="shared" si="4"/>
        <v>70000</v>
      </c>
      <c r="AD152" s="61">
        <f t="shared" si="5"/>
        <v>63000</v>
      </c>
    </row>
    <row r="153" spans="1:30">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c r="X153" s="61">
        <f t="shared" si="4"/>
        <v>40</v>
      </c>
      <c r="AD153" s="61">
        <f t="shared" si="5"/>
        <v>36</v>
      </c>
    </row>
    <row r="154" spans="1:30">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c r="X154" s="61">
        <f t="shared" si="4"/>
        <v>35200</v>
      </c>
      <c r="AD154" s="61">
        <f t="shared" si="5"/>
        <v>28160</v>
      </c>
    </row>
    <row r="155" spans="1:30">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c r="X155" s="61">
        <f t="shared" si="4"/>
        <v>180000</v>
      </c>
      <c r="AD155" s="61">
        <f t="shared" si="5"/>
        <v>180000</v>
      </c>
    </row>
    <row r="156" spans="1:30">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c r="X156" s="61">
        <f t="shared" si="4"/>
        <v>840</v>
      </c>
      <c r="AD156" s="61">
        <f t="shared" si="5"/>
        <v>714</v>
      </c>
    </row>
    <row r="157" spans="1:30">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c r="X157" s="61">
        <f t="shared" si="4"/>
        <v>10800</v>
      </c>
      <c r="AD157" s="61">
        <f t="shared" si="5"/>
        <v>10260</v>
      </c>
    </row>
    <row r="158" spans="1:30">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c r="X158" s="61">
        <f t="shared" si="4"/>
        <v>3600</v>
      </c>
      <c r="AD158" s="61">
        <f t="shared" si="5"/>
        <v>3240</v>
      </c>
    </row>
    <row r="159" spans="1:30">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c r="X159" s="61">
        <f t="shared" si="4"/>
        <v>120</v>
      </c>
      <c r="AD159" s="61">
        <f t="shared" si="5"/>
        <v>108</v>
      </c>
    </row>
    <row r="160" spans="1:30">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c r="X160" s="61">
        <f t="shared" si="4"/>
        <v>31500</v>
      </c>
      <c r="AD160" s="61">
        <f t="shared" si="5"/>
        <v>25200</v>
      </c>
    </row>
    <row r="161" spans="1:30">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c r="X161" s="61">
        <f t="shared" si="4"/>
        <v>220000</v>
      </c>
      <c r="AD161" s="61">
        <f t="shared" si="5"/>
        <v>209000</v>
      </c>
    </row>
    <row r="162" spans="1:30">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c r="X162" s="61">
        <f t="shared" si="4"/>
        <v>7700</v>
      </c>
      <c r="AD162" s="61">
        <f t="shared" si="5"/>
        <v>6160</v>
      </c>
    </row>
    <row r="163" spans="1:30">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c r="X163" s="61">
        <f t="shared" si="4"/>
        <v>19200</v>
      </c>
      <c r="AD163" s="61">
        <f t="shared" si="5"/>
        <v>18240</v>
      </c>
    </row>
    <row r="164" spans="1:30">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c r="X164" s="61">
        <f t="shared" si="4"/>
        <v>1200</v>
      </c>
      <c r="AD164" s="61">
        <f t="shared" si="5"/>
        <v>1140</v>
      </c>
    </row>
    <row r="165" spans="1:30">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c r="X165" s="61">
        <f t="shared" si="4"/>
        <v>420</v>
      </c>
      <c r="AD165" s="61">
        <f t="shared" si="5"/>
        <v>420</v>
      </c>
    </row>
    <row r="166" spans="1:30">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c r="X166" s="61">
        <f t="shared" si="4"/>
        <v>30800</v>
      </c>
      <c r="AD166" s="61">
        <f t="shared" si="5"/>
        <v>30800</v>
      </c>
    </row>
    <row r="167" spans="1:30">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c r="X167" s="61">
        <f t="shared" si="4"/>
        <v>52500</v>
      </c>
      <c r="AD167" s="61">
        <f t="shared" si="5"/>
        <v>44625</v>
      </c>
    </row>
    <row r="168" spans="1:30">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c r="X168" s="61">
        <f t="shared" si="4"/>
        <v>66500</v>
      </c>
      <c r="AD168" s="61">
        <f t="shared" si="5"/>
        <v>63175</v>
      </c>
    </row>
    <row r="169" spans="1:30">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c r="X169" s="61">
        <f t="shared" si="4"/>
        <v>660000</v>
      </c>
      <c r="AD169" s="61">
        <f t="shared" si="5"/>
        <v>627000</v>
      </c>
    </row>
    <row r="170" spans="1:30">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c r="X170" s="61">
        <f t="shared" si="4"/>
        <v>7200</v>
      </c>
      <c r="AD170" s="61">
        <f t="shared" si="5"/>
        <v>6480</v>
      </c>
    </row>
    <row r="171" spans="1:30">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c r="X171" s="61">
        <f t="shared" si="4"/>
        <v>8500</v>
      </c>
      <c r="AD171" s="61">
        <f t="shared" si="5"/>
        <v>8500</v>
      </c>
    </row>
    <row r="172" spans="1:30">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c r="X172" s="61">
        <f t="shared" si="4"/>
        <v>1100000</v>
      </c>
      <c r="AD172" s="61">
        <f t="shared" si="5"/>
        <v>990000</v>
      </c>
    </row>
    <row r="173" spans="1:30">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c r="X173" s="61">
        <f t="shared" si="4"/>
        <v>9600</v>
      </c>
      <c r="AD173" s="61">
        <f t="shared" si="5"/>
        <v>8160</v>
      </c>
    </row>
    <row r="174" spans="1:30">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c r="X174" s="61">
        <f t="shared" si="4"/>
        <v>66500</v>
      </c>
      <c r="AD174" s="61">
        <f t="shared" si="5"/>
        <v>63175</v>
      </c>
    </row>
    <row r="175" spans="1:30">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c r="X175" s="61">
        <f t="shared" si="4"/>
        <v>270</v>
      </c>
      <c r="AD175" s="61">
        <f t="shared" si="5"/>
        <v>216</v>
      </c>
    </row>
    <row r="176" spans="1:30">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c r="X176" s="61">
        <f t="shared" si="4"/>
        <v>765</v>
      </c>
      <c r="AD176" s="61">
        <f t="shared" si="5"/>
        <v>650.25</v>
      </c>
    </row>
    <row r="177" spans="1:30">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c r="X177" s="61">
        <f t="shared" si="4"/>
        <v>380</v>
      </c>
      <c r="AD177" s="61">
        <f t="shared" si="5"/>
        <v>361</v>
      </c>
    </row>
    <row r="178" spans="1:30">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c r="X178" s="61">
        <f t="shared" si="4"/>
        <v>220</v>
      </c>
      <c r="AD178" s="61">
        <f t="shared" si="5"/>
        <v>220</v>
      </c>
    </row>
    <row r="179" spans="1:30">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c r="X179" s="61">
        <f t="shared" si="4"/>
        <v>720</v>
      </c>
      <c r="AD179" s="61">
        <f t="shared" si="5"/>
        <v>720</v>
      </c>
    </row>
    <row r="180" spans="1:30">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c r="X180" s="61">
        <f t="shared" si="4"/>
        <v>630</v>
      </c>
      <c r="AD180" s="61">
        <f t="shared" si="5"/>
        <v>535.5</v>
      </c>
    </row>
    <row r="181" spans="1:30">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c r="X181" s="61">
        <f t="shared" si="4"/>
        <v>10500</v>
      </c>
      <c r="AD181" s="61">
        <f t="shared" si="5"/>
        <v>9450</v>
      </c>
    </row>
    <row r="182" spans="1:30">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c r="X182" s="61">
        <f t="shared" si="4"/>
        <v>161500</v>
      </c>
      <c r="AD182" s="61">
        <f t="shared" si="5"/>
        <v>137275</v>
      </c>
    </row>
    <row r="183" spans="1:30">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c r="X183" s="61">
        <f t="shared" si="4"/>
        <v>1140</v>
      </c>
      <c r="AD183" s="61">
        <f t="shared" si="5"/>
        <v>912</v>
      </c>
    </row>
    <row r="184" spans="1:30">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c r="X184" s="61">
        <f t="shared" si="4"/>
        <v>450</v>
      </c>
      <c r="AD184" s="61">
        <f t="shared" si="5"/>
        <v>382.5</v>
      </c>
    </row>
    <row r="185" spans="1:30">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c r="X185" s="61">
        <f t="shared" si="4"/>
        <v>15400</v>
      </c>
      <c r="AD185" s="61">
        <f t="shared" si="5"/>
        <v>12320</v>
      </c>
    </row>
    <row r="186" spans="1:30">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c r="X186" s="61">
        <f t="shared" si="4"/>
        <v>170000</v>
      </c>
      <c r="AD186" s="61">
        <f t="shared" si="5"/>
        <v>136000</v>
      </c>
    </row>
    <row r="187" spans="1:30">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c r="X187" s="61">
        <f t="shared" si="4"/>
        <v>22000</v>
      </c>
      <c r="AD187" s="61">
        <f t="shared" si="5"/>
        <v>20900</v>
      </c>
    </row>
    <row r="188" spans="1:30">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c r="X188" s="61">
        <f t="shared" si="4"/>
        <v>900</v>
      </c>
      <c r="AD188" s="61">
        <f t="shared" si="5"/>
        <v>720</v>
      </c>
    </row>
    <row r="189" spans="1:30">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c r="X189" s="61">
        <f t="shared" si="4"/>
        <v>63000</v>
      </c>
      <c r="AD189" s="61">
        <f t="shared" si="5"/>
        <v>59850</v>
      </c>
    </row>
    <row r="190" spans="1:30">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c r="X190" s="61">
        <f t="shared" si="4"/>
        <v>72000</v>
      </c>
      <c r="AD190" s="61">
        <f t="shared" si="5"/>
        <v>68400</v>
      </c>
    </row>
    <row r="191" spans="1:30">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c r="X191" s="61">
        <f t="shared" si="4"/>
        <v>380</v>
      </c>
      <c r="AD191" s="61">
        <f t="shared" si="5"/>
        <v>342</v>
      </c>
    </row>
    <row r="192" spans="1:30">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c r="X192" s="61">
        <f t="shared" si="4"/>
        <v>15400</v>
      </c>
      <c r="AD192" s="61">
        <f t="shared" si="5"/>
        <v>15400</v>
      </c>
    </row>
    <row r="193" spans="1:30">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c r="X193" s="61">
        <f t="shared" si="4"/>
        <v>36000</v>
      </c>
      <c r="AD193" s="61">
        <f t="shared" si="5"/>
        <v>34200</v>
      </c>
    </row>
    <row r="194" spans="1:30">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c r="X194" s="61">
        <f t="shared" si="4"/>
        <v>35200</v>
      </c>
      <c r="AD194" s="61">
        <f t="shared" si="5"/>
        <v>35200</v>
      </c>
    </row>
    <row r="195" spans="1:30">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c r="X195" s="61">
        <f t="shared" ref="X195:X258" si="6">M195*N195</f>
        <v>17600</v>
      </c>
      <c r="AD195" s="61">
        <f t="shared" ref="AD195:AD258" si="7">(N195*M195)-(M195*N195)*(O195/100)</f>
        <v>16720</v>
      </c>
    </row>
    <row r="196" spans="1:30">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c r="X196" s="61">
        <f t="shared" si="6"/>
        <v>22000</v>
      </c>
      <c r="AD196" s="61">
        <f t="shared" si="7"/>
        <v>19800</v>
      </c>
    </row>
    <row r="197" spans="1:30">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c r="X197" s="61">
        <f t="shared" si="6"/>
        <v>140</v>
      </c>
      <c r="AD197" s="61">
        <f t="shared" si="7"/>
        <v>126</v>
      </c>
    </row>
    <row r="198" spans="1:30">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c r="X198" s="61">
        <f t="shared" si="6"/>
        <v>161500</v>
      </c>
      <c r="AD198" s="61">
        <f t="shared" si="7"/>
        <v>129200</v>
      </c>
    </row>
    <row r="199" spans="1:30">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c r="X199" s="61">
        <f t="shared" si="6"/>
        <v>960</v>
      </c>
      <c r="AD199" s="61">
        <f t="shared" si="7"/>
        <v>960</v>
      </c>
    </row>
    <row r="200" spans="1:30">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c r="X200" s="61">
        <f t="shared" si="6"/>
        <v>63000</v>
      </c>
      <c r="AD200" s="61">
        <f t="shared" si="7"/>
        <v>59850</v>
      </c>
    </row>
    <row r="201" spans="1:30">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c r="X201" s="61">
        <f t="shared" si="6"/>
        <v>880000</v>
      </c>
      <c r="AD201" s="61">
        <f t="shared" si="7"/>
        <v>880000</v>
      </c>
    </row>
    <row r="202" spans="1:30">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c r="X202" s="61">
        <f t="shared" si="6"/>
        <v>21600</v>
      </c>
      <c r="AD202" s="61">
        <f t="shared" si="7"/>
        <v>18360</v>
      </c>
    </row>
    <row r="203" spans="1:30">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c r="X203" s="61">
        <f t="shared" si="6"/>
        <v>90</v>
      </c>
      <c r="AD203" s="61">
        <f t="shared" si="7"/>
        <v>76.5</v>
      </c>
    </row>
    <row r="204" spans="1:30">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c r="X204" s="61">
        <f t="shared" si="6"/>
        <v>170000</v>
      </c>
      <c r="AD204" s="61">
        <f t="shared" si="7"/>
        <v>170000</v>
      </c>
    </row>
    <row r="205" spans="1:30">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c r="X205" s="61">
        <f t="shared" si="6"/>
        <v>21000</v>
      </c>
      <c r="AD205" s="61">
        <f t="shared" si="7"/>
        <v>19950</v>
      </c>
    </row>
    <row r="206" spans="1:30">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c r="X206" s="61">
        <f t="shared" si="6"/>
        <v>360</v>
      </c>
      <c r="AD206" s="61">
        <f t="shared" si="7"/>
        <v>342</v>
      </c>
    </row>
    <row r="207" spans="1:30">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c r="X207" s="61">
        <f t="shared" si="6"/>
        <v>39600</v>
      </c>
      <c r="AD207" s="61">
        <f t="shared" si="7"/>
        <v>33660</v>
      </c>
    </row>
    <row r="208" spans="1:30">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c r="X208" s="61">
        <f t="shared" si="6"/>
        <v>12600</v>
      </c>
      <c r="AD208" s="61">
        <f t="shared" si="7"/>
        <v>10710</v>
      </c>
    </row>
    <row r="209" spans="1:30">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c r="X209" s="61">
        <f t="shared" si="6"/>
        <v>660000</v>
      </c>
      <c r="AD209" s="61">
        <f t="shared" si="7"/>
        <v>660000</v>
      </c>
    </row>
    <row r="210" spans="1:30">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c r="X210" s="61">
        <f t="shared" si="6"/>
        <v>84000</v>
      </c>
      <c r="AD210" s="61">
        <f t="shared" si="7"/>
        <v>79800</v>
      </c>
    </row>
    <row r="211" spans="1:30">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c r="X211" s="61">
        <f t="shared" si="6"/>
        <v>96000</v>
      </c>
      <c r="AD211" s="61">
        <f t="shared" si="7"/>
        <v>81600</v>
      </c>
    </row>
    <row r="212" spans="1:30">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c r="X212" s="61">
        <f t="shared" si="6"/>
        <v>66500</v>
      </c>
      <c r="AD212" s="61">
        <f t="shared" si="7"/>
        <v>63175</v>
      </c>
    </row>
    <row r="213" spans="1:30">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c r="X213" s="61">
        <f t="shared" si="6"/>
        <v>315</v>
      </c>
      <c r="AD213" s="61">
        <f t="shared" si="7"/>
        <v>299.25</v>
      </c>
    </row>
    <row r="214" spans="1:30">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c r="X214" s="61">
        <f t="shared" si="6"/>
        <v>180</v>
      </c>
      <c r="AD214" s="61">
        <f t="shared" si="7"/>
        <v>153</v>
      </c>
    </row>
    <row r="215" spans="1:30">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c r="X215" s="61">
        <f t="shared" si="6"/>
        <v>855</v>
      </c>
      <c r="AD215" s="61">
        <f t="shared" si="7"/>
        <v>855</v>
      </c>
    </row>
    <row r="216" spans="1:30">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c r="X216" s="61">
        <f t="shared" si="6"/>
        <v>120000</v>
      </c>
      <c r="AD216" s="61">
        <f t="shared" si="7"/>
        <v>114000</v>
      </c>
    </row>
    <row r="217" spans="1:30">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c r="X217" s="61">
        <f t="shared" si="6"/>
        <v>4800</v>
      </c>
      <c r="AD217" s="61">
        <f t="shared" si="7"/>
        <v>4800</v>
      </c>
    </row>
    <row r="218" spans="1:30">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c r="X218" s="61">
        <f t="shared" si="6"/>
        <v>17000</v>
      </c>
      <c r="AD218" s="61">
        <f t="shared" si="7"/>
        <v>13600</v>
      </c>
    </row>
    <row r="219" spans="1:30">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c r="X219" s="61">
        <f t="shared" si="6"/>
        <v>4900</v>
      </c>
      <c r="AD219" s="61">
        <f t="shared" si="7"/>
        <v>3920</v>
      </c>
    </row>
    <row r="220" spans="1:30">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c r="X220" s="61">
        <f t="shared" si="6"/>
        <v>180</v>
      </c>
      <c r="AD220" s="61">
        <f t="shared" si="7"/>
        <v>153</v>
      </c>
    </row>
    <row r="221" spans="1:30">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c r="X221" s="61">
        <f t="shared" si="6"/>
        <v>136000</v>
      </c>
      <c r="AD221" s="61">
        <f t="shared" si="7"/>
        <v>136000</v>
      </c>
    </row>
    <row r="222" spans="1:30">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c r="X222" s="61">
        <f t="shared" si="6"/>
        <v>35000</v>
      </c>
      <c r="AD222" s="61">
        <f t="shared" si="7"/>
        <v>33250</v>
      </c>
    </row>
    <row r="223" spans="1:30">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c r="X223" s="61">
        <f t="shared" si="6"/>
        <v>12000</v>
      </c>
      <c r="AD223" s="61">
        <f t="shared" si="7"/>
        <v>12000</v>
      </c>
    </row>
    <row r="224" spans="1:30">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c r="X224" s="61">
        <f t="shared" si="6"/>
        <v>855</v>
      </c>
      <c r="AD224" s="61">
        <f t="shared" si="7"/>
        <v>726.75</v>
      </c>
    </row>
    <row r="225" spans="1:30">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c r="X225" s="61">
        <f t="shared" si="6"/>
        <v>715000</v>
      </c>
      <c r="AD225" s="61">
        <f t="shared" si="7"/>
        <v>679250</v>
      </c>
    </row>
    <row r="226" spans="1:30">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c r="X226" s="61">
        <f t="shared" si="6"/>
        <v>90</v>
      </c>
      <c r="AD226" s="61">
        <f t="shared" si="7"/>
        <v>76.5</v>
      </c>
    </row>
    <row r="227" spans="1:30">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c r="X227" s="61">
        <f t="shared" si="6"/>
        <v>160</v>
      </c>
      <c r="AD227" s="61">
        <f t="shared" si="7"/>
        <v>136</v>
      </c>
    </row>
    <row r="228" spans="1:30">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c r="X228" s="61">
        <f t="shared" si="6"/>
        <v>108000</v>
      </c>
      <c r="AD228" s="61">
        <f t="shared" si="7"/>
        <v>102600</v>
      </c>
    </row>
    <row r="229" spans="1:30">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c r="X229" s="61">
        <f t="shared" si="6"/>
        <v>10500</v>
      </c>
      <c r="AD229" s="61">
        <f t="shared" si="7"/>
        <v>8925</v>
      </c>
    </row>
    <row r="230" spans="1:30">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c r="X230" s="61">
        <f t="shared" si="6"/>
        <v>12600</v>
      </c>
      <c r="AD230" s="61">
        <f t="shared" si="7"/>
        <v>10080</v>
      </c>
    </row>
    <row r="231" spans="1:30">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c r="X231" s="61">
        <f t="shared" si="6"/>
        <v>49000</v>
      </c>
      <c r="AD231" s="61">
        <f t="shared" si="7"/>
        <v>46550</v>
      </c>
    </row>
    <row r="232" spans="1:30">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c r="X232" s="61">
        <f t="shared" si="6"/>
        <v>4200</v>
      </c>
      <c r="AD232" s="61">
        <f t="shared" si="7"/>
        <v>3990</v>
      </c>
    </row>
    <row r="233" spans="1:30">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c r="X233" s="61">
        <f t="shared" si="6"/>
        <v>59500</v>
      </c>
      <c r="AD233" s="61">
        <f t="shared" si="7"/>
        <v>50575</v>
      </c>
    </row>
    <row r="234" spans="1:30">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c r="X234" s="61">
        <f t="shared" si="6"/>
        <v>140</v>
      </c>
      <c r="AD234" s="61">
        <f t="shared" si="7"/>
        <v>133</v>
      </c>
    </row>
    <row r="235" spans="1:30">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c r="X235" s="61">
        <f t="shared" si="6"/>
        <v>33000</v>
      </c>
      <c r="AD235" s="61">
        <f t="shared" si="7"/>
        <v>26400</v>
      </c>
    </row>
    <row r="236" spans="1:30">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c r="X236" s="61">
        <f t="shared" si="6"/>
        <v>100</v>
      </c>
      <c r="AD236" s="61">
        <f t="shared" si="7"/>
        <v>100</v>
      </c>
    </row>
    <row r="237" spans="1:30">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c r="X237" s="61">
        <f t="shared" si="6"/>
        <v>96000</v>
      </c>
      <c r="AD237" s="61">
        <f t="shared" si="7"/>
        <v>76800</v>
      </c>
    </row>
    <row r="238" spans="1:30">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c r="X238" s="61">
        <f t="shared" si="6"/>
        <v>14000</v>
      </c>
      <c r="AD238" s="61">
        <f t="shared" si="7"/>
        <v>11200</v>
      </c>
    </row>
    <row r="239" spans="1:30">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c r="X239" s="61">
        <f t="shared" si="6"/>
        <v>855</v>
      </c>
      <c r="AD239" s="61">
        <f t="shared" si="7"/>
        <v>769.5</v>
      </c>
    </row>
    <row r="240" spans="1:30">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c r="X240" s="61">
        <f t="shared" si="6"/>
        <v>450</v>
      </c>
      <c r="AD240" s="61">
        <f t="shared" si="7"/>
        <v>450</v>
      </c>
    </row>
    <row r="241" spans="1:30">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c r="X241" s="61">
        <f t="shared" si="6"/>
        <v>720</v>
      </c>
      <c r="AD241" s="61">
        <f t="shared" si="7"/>
        <v>612</v>
      </c>
    </row>
    <row r="242" spans="1:30">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c r="X242" s="61">
        <f t="shared" si="6"/>
        <v>136000</v>
      </c>
      <c r="AD242" s="61">
        <f t="shared" si="7"/>
        <v>115600</v>
      </c>
    </row>
    <row r="243" spans="1:30">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c r="X243" s="61">
        <f t="shared" si="6"/>
        <v>300</v>
      </c>
      <c r="AD243" s="61">
        <f t="shared" si="7"/>
        <v>240</v>
      </c>
    </row>
    <row r="244" spans="1:30">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c r="X244" s="61">
        <f t="shared" si="6"/>
        <v>840</v>
      </c>
      <c r="AD244" s="61">
        <f t="shared" si="7"/>
        <v>798</v>
      </c>
    </row>
    <row r="245" spans="1:30">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c r="X245" s="61">
        <f t="shared" si="6"/>
        <v>22800</v>
      </c>
      <c r="AD245" s="61">
        <f t="shared" si="7"/>
        <v>18240</v>
      </c>
    </row>
    <row r="246" spans="1:30">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c r="X246" s="61">
        <f t="shared" si="6"/>
        <v>225</v>
      </c>
      <c r="AD246" s="61">
        <f t="shared" si="7"/>
        <v>191.25</v>
      </c>
    </row>
    <row r="247" spans="1:30">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c r="X247" s="61">
        <f t="shared" si="6"/>
        <v>13300</v>
      </c>
      <c r="AD247" s="61">
        <f t="shared" si="7"/>
        <v>12635</v>
      </c>
    </row>
    <row r="248" spans="1:30">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c r="X248" s="61">
        <f t="shared" si="6"/>
        <v>420</v>
      </c>
      <c r="AD248" s="61">
        <f t="shared" si="7"/>
        <v>420</v>
      </c>
    </row>
    <row r="249" spans="1:30">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c r="X249" s="61">
        <f t="shared" si="6"/>
        <v>28600</v>
      </c>
      <c r="AD249" s="61">
        <f t="shared" si="7"/>
        <v>25740</v>
      </c>
    </row>
    <row r="250" spans="1:30">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c r="X250" s="61">
        <f t="shared" si="6"/>
        <v>19800</v>
      </c>
      <c r="AD250" s="61">
        <f t="shared" si="7"/>
        <v>17820</v>
      </c>
    </row>
    <row r="251" spans="1:30">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c r="X251" s="61">
        <f t="shared" si="6"/>
        <v>51000</v>
      </c>
      <c r="AD251" s="61">
        <f t="shared" si="7"/>
        <v>43350</v>
      </c>
    </row>
    <row r="252" spans="1:30">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c r="X252" s="61">
        <f t="shared" si="6"/>
        <v>19800</v>
      </c>
      <c r="AD252" s="61">
        <f t="shared" si="7"/>
        <v>17820</v>
      </c>
    </row>
    <row r="253" spans="1:30">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c r="X253" s="61">
        <f t="shared" si="6"/>
        <v>136000</v>
      </c>
      <c r="AD253" s="61">
        <f t="shared" si="7"/>
        <v>136000</v>
      </c>
    </row>
    <row r="254" spans="1:30">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c r="X254" s="61">
        <f t="shared" si="6"/>
        <v>12000</v>
      </c>
      <c r="AD254" s="61">
        <f t="shared" si="7"/>
        <v>10200</v>
      </c>
    </row>
    <row r="255" spans="1:30">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c r="X255" s="61">
        <f t="shared" si="6"/>
        <v>84000</v>
      </c>
      <c r="AD255" s="61">
        <f t="shared" si="7"/>
        <v>84000</v>
      </c>
    </row>
    <row r="256" spans="1:30">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c r="X256" s="61">
        <f t="shared" si="6"/>
        <v>36000</v>
      </c>
      <c r="AD256" s="61">
        <f t="shared" si="7"/>
        <v>32400</v>
      </c>
    </row>
    <row r="257" spans="1:30">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c r="X257" s="61">
        <f t="shared" si="6"/>
        <v>48000</v>
      </c>
      <c r="AD257" s="61">
        <f t="shared" si="7"/>
        <v>40800</v>
      </c>
    </row>
    <row r="258" spans="1:30">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c r="X258" s="61">
        <f t="shared" si="6"/>
        <v>156000</v>
      </c>
      <c r="AD258" s="61">
        <f t="shared" si="7"/>
        <v>140400</v>
      </c>
    </row>
    <row r="259" spans="1:30">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c r="X259" s="61">
        <f t="shared" ref="X259:X322" si="8">M259*N259</f>
        <v>66500</v>
      </c>
      <c r="AD259" s="61">
        <f t="shared" ref="AD259:AD322" si="9">(N259*M259)-(M259*N259)*(O259/100)</f>
        <v>53200</v>
      </c>
    </row>
    <row r="260" spans="1:30">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c r="X260" s="61">
        <f t="shared" si="8"/>
        <v>15400</v>
      </c>
      <c r="AD260" s="61">
        <f t="shared" si="9"/>
        <v>14630</v>
      </c>
    </row>
    <row r="261" spans="1:30">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c r="X261" s="61">
        <f t="shared" si="8"/>
        <v>12600</v>
      </c>
      <c r="AD261" s="61">
        <f t="shared" si="9"/>
        <v>11970</v>
      </c>
    </row>
    <row r="262" spans="1:30">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c r="X262" s="61">
        <f t="shared" si="8"/>
        <v>220</v>
      </c>
      <c r="AD262" s="61">
        <f t="shared" si="9"/>
        <v>220</v>
      </c>
    </row>
    <row r="263" spans="1:30">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c r="X263" s="61">
        <f t="shared" si="8"/>
        <v>204000</v>
      </c>
      <c r="AD263" s="61">
        <f t="shared" si="9"/>
        <v>163200</v>
      </c>
    </row>
    <row r="264" spans="1:30">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c r="X264" s="61">
        <f t="shared" si="8"/>
        <v>8800</v>
      </c>
      <c r="AD264" s="61">
        <f t="shared" si="9"/>
        <v>8360</v>
      </c>
    </row>
    <row r="265" spans="1:30">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c r="X265" s="61">
        <f t="shared" si="8"/>
        <v>330000</v>
      </c>
      <c r="AD265" s="61">
        <f t="shared" si="9"/>
        <v>264000</v>
      </c>
    </row>
    <row r="266" spans="1:30">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c r="X266" s="61">
        <f t="shared" si="8"/>
        <v>51000</v>
      </c>
      <c r="AD266" s="61">
        <f t="shared" si="9"/>
        <v>45900</v>
      </c>
    </row>
    <row r="267" spans="1:30">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c r="X267" s="61">
        <f t="shared" si="8"/>
        <v>120</v>
      </c>
      <c r="AD267" s="61">
        <f t="shared" si="9"/>
        <v>102</v>
      </c>
    </row>
    <row r="268" spans="1:30">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c r="X268" s="61">
        <f t="shared" si="8"/>
        <v>360</v>
      </c>
      <c r="AD268" s="61">
        <f t="shared" si="9"/>
        <v>342</v>
      </c>
    </row>
    <row r="269" spans="1:30">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c r="X269" s="61">
        <f t="shared" si="8"/>
        <v>161500</v>
      </c>
      <c r="AD269" s="61">
        <f t="shared" si="9"/>
        <v>161500</v>
      </c>
    </row>
    <row r="270" spans="1:30">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c r="X270" s="61">
        <f t="shared" si="8"/>
        <v>440000</v>
      </c>
      <c r="AD270" s="61">
        <f t="shared" si="9"/>
        <v>440000</v>
      </c>
    </row>
    <row r="271" spans="1:30">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c r="X271" s="61">
        <f t="shared" si="8"/>
        <v>216000</v>
      </c>
      <c r="AD271" s="61">
        <f t="shared" si="9"/>
        <v>172800</v>
      </c>
    </row>
    <row r="272" spans="1:30">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c r="X272" s="61">
        <f t="shared" si="8"/>
        <v>68000</v>
      </c>
      <c r="AD272" s="61">
        <f t="shared" si="9"/>
        <v>64600</v>
      </c>
    </row>
    <row r="273" spans="1:30">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c r="X273" s="61">
        <f t="shared" si="8"/>
        <v>260</v>
      </c>
      <c r="AD273" s="61">
        <f t="shared" si="9"/>
        <v>247</v>
      </c>
    </row>
    <row r="274" spans="1:30">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c r="X274" s="61">
        <f t="shared" si="8"/>
        <v>60</v>
      </c>
      <c r="AD274" s="61">
        <f t="shared" si="9"/>
        <v>51</v>
      </c>
    </row>
    <row r="275" spans="1:30">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c r="X275" s="61">
        <f t="shared" si="8"/>
        <v>100</v>
      </c>
      <c r="AD275" s="61">
        <f t="shared" si="9"/>
        <v>95</v>
      </c>
    </row>
    <row r="276" spans="1:30">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c r="X276" s="61">
        <f t="shared" si="8"/>
        <v>380</v>
      </c>
      <c r="AD276" s="61">
        <f t="shared" si="9"/>
        <v>304</v>
      </c>
    </row>
    <row r="277" spans="1:30">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c r="X277" s="61">
        <f t="shared" si="8"/>
        <v>765</v>
      </c>
      <c r="AD277" s="61">
        <f t="shared" si="9"/>
        <v>726.75</v>
      </c>
    </row>
    <row r="278" spans="1:30">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c r="X278" s="61">
        <f t="shared" si="8"/>
        <v>5600</v>
      </c>
      <c r="AD278" s="61">
        <f t="shared" si="9"/>
        <v>4760</v>
      </c>
    </row>
    <row r="279" spans="1:30">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c r="X279" s="61">
        <f t="shared" si="8"/>
        <v>33000</v>
      </c>
      <c r="AD279" s="61">
        <f t="shared" si="9"/>
        <v>29700</v>
      </c>
    </row>
    <row r="280" spans="1:30">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c r="X280" s="61">
        <f t="shared" si="8"/>
        <v>2200</v>
      </c>
      <c r="AD280" s="61">
        <f t="shared" si="9"/>
        <v>2200</v>
      </c>
    </row>
    <row r="281" spans="1:30">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c r="X281" s="61">
        <f t="shared" si="8"/>
        <v>35000</v>
      </c>
      <c r="AD281" s="61">
        <f t="shared" si="9"/>
        <v>31500</v>
      </c>
    </row>
    <row r="282" spans="1:30">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c r="X282" s="61">
        <f t="shared" si="8"/>
        <v>56000</v>
      </c>
      <c r="AD282" s="61">
        <f t="shared" si="9"/>
        <v>47600</v>
      </c>
    </row>
    <row r="283" spans="1:30">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c r="X283" s="61">
        <f t="shared" si="8"/>
        <v>12000</v>
      </c>
      <c r="AD283" s="61">
        <f t="shared" si="9"/>
        <v>12000</v>
      </c>
    </row>
    <row r="284" spans="1:30">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c r="X284" s="61">
        <f t="shared" si="8"/>
        <v>4200</v>
      </c>
      <c r="AD284" s="61">
        <f t="shared" si="9"/>
        <v>3360</v>
      </c>
    </row>
    <row r="285" spans="1:30">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c r="X285" s="61">
        <f t="shared" si="8"/>
        <v>6600</v>
      </c>
      <c r="AD285" s="61">
        <f t="shared" si="9"/>
        <v>6600</v>
      </c>
    </row>
    <row r="286" spans="1:30">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c r="X286" s="61">
        <f t="shared" si="8"/>
        <v>270</v>
      </c>
      <c r="AD286" s="61">
        <f t="shared" si="9"/>
        <v>229.5</v>
      </c>
    </row>
    <row r="287" spans="1:30">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c r="X287" s="61">
        <f t="shared" si="8"/>
        <v>2400</v>
      </c>
      <c r="AD287" s="61">
        <f t="shared" si="9"/>
        <v>2400</v>
      </c>
    </row>
    <row r="288" spans="1:30">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c r="X288" s="61">
        <f t="shared" si="8"/>
        <v>9800</v>
      </c>
      <c r="AD288" s="61">
        <f t="shared" si="9"/>
        <v>8330</v>
      </c>
    </row>
    <row r="289" spans="1:30">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c r="X289" s="61">
        <f t="shared" si="8"/>
        <v>260</v>
      </c>
      <c r="AD289" s="61">
        <f t="shared" si="9"/>
        <v>247</v>
      </c>
    </row>
    <row r="290" spans="1:30">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c r="X290" s="61">
        <f t="shared" si="8"/>
        <v>6600</v>
      </c>
      <c r="AD290" s="61">
        <f t="shared" si="9"/>
        <v>6600</v>
      </c>
    </row>
    <row r="291" spans="1:30">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c r="X291" s="61">
        <f t="shared" si="8"/>
        <v>180</v>
      </c>
      <c r="AD291" s="61">
        <f t="shared" si="9"/>
        <v>153</v>
      </c>
    </row>
    <row r="292" spans="1:30">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c r="X292" s="61">
        <f t="shared" si="8"/>
        <v>31500</v>
      </c>
      <c r="AD292" s="61">
        <f t="shared" si="9"/>
        <v>29925</v>
      </c>
    </row>
    <row r="293" spans="1:30">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c r="X293" s="61">
        <f t="shared" si="8"/>
        <v>6000</v>
      </c>
      <c r="AD293" s="61">
        <f t="shared" si="9"/>
        <v>4800</v>
      </c>
    </row>
    <row r="294" spans="1:30">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c r="X294" s="61">
        <f t="shared" si="8"/>
        <v>12000</v>
      </c>
      <c r="AD294" s="61">
        <f t="shared" si="9"/>
        <v>9600</v>
      </c>
    </row>
    <row r="295" spans="1:30">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c r="X295" s="61">
        <f t="shared" si="8"/>
        <v>6000</v>
      </c>
      <c r="AD295" s="61">
        <f t="shared" si="9"/>
        <v>4800</v>
      </c>
    </row>
    <row r="296" spans="1:30">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c r="X296" s="61">
        <f t="shared" si="8"/>
        <v>200</v>
      </c>
      <c r="AD296" s="61">
        <f t="shared" si="9"/>
        <v>190</v>
      </c>
    </row>
    <row r="297" spans="1:30">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c r="X297" s="61">
        <f t="shared" si="8"/>
        <v>1200</v>
      </c>
      <c r="AD297" s="61">
        <f t="shared" si="9"/>
        <v>1020</v>
      </c>
    </row>
    <row r="298" spans="1:30">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c r="X298" s="61">
        <f t="shared" si="8"/>
        <v>15400</v>
      </c>
      <c r="AD298" s="61">
        <f t="shared" si="9"/>
        <v>13090</v>
      </c>
    </row>
    <row r="299" spans="1:30">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c r="X299" s="61">
        <f t="shared" si="8"/>
        <v>605000</v>
      </c>
      <c r="AD299" s="61">
        <f t="shared" si="9"/>
        <v>574750</v>
      </c>
    </row>
    <row r="300" spans="1:30">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c r="X300" s="61">
        <f t="shared" si="8"/>
        <v>42000</v>
      </c>
      <c r="AD300" s="61">
        <f t="shared" si="9"/>
        <v>42000</v>
      </c>
    </row>
    <row r="301" spans="1:30">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c r="X301" s="61">
        <f t="shared" si="8"/>
        <v>675</v>
      </c>
      <c r="AD301" s="61">
        <f t="shared" si="9"/>
        <v>607.5</v>
      </c>
    </row>
    <row r="302" spans="1:30">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c r="X302" s="61">
        <f t="shared" si="8"/>
        <v>585</v>
      </c>
      <c r="AD302" s="61">
        <f t="shared" si="9"/>
        <v>585</v>
      </c>
    </row>
    <row r="303" spans="1:30">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c r="X303" s="61">
        <f t="shared" si="8"/>
        <v>440000</v>
      </c>
      <c r="AD303" s="61">
        <f t="shared" si="9"/>
        <v>440000</v>
      </c>
    </row>
    <row r="304" spans="1:30">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c r="X304" s="61">
        <f t="shared" si="8"/>
        <v>220000</v>
      </c>
      <c r="AD304" s="61">
        <f t="shared" si="9"/>
        <v>176000</v>
      </c>
    </row>
    <row r="305" spans="1:30">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c r="X305" s="61">
        <f t="shared" si="8"/>
        <v>66500</v>
      </c>
      <c r="AD305" s="61">
        <f t="shared" si="9"/>
        <v>63175</v>
      </c>
    </row>
    <row r="306" spans="1:30">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c r="X306" s="61">
        <f t="shared" si="8"/>
        <v>20400</v>
      </c>
      <c r="AD306" s="61">
        <f t="shared" si="9"/>
        <v>17340</v>
      </c>
    </row>
    <row r="307" spans="1:30">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c r="X307" s="61">
        <f t="shared" si="8"/>
        <v>17600</v>
      </c>
      <c r="AD307" s="61">
        <f t="shared" si="9"/>
        <v>16720</v>
      </c>
    </row>
    <row r="308" spans="1:30">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c r="X308" s="61">
        <f t="shared" si="8"/>
        <v>11900</v>
      </c>
      <c r="AD308" s="61">
        <f t="shared" si="9"/>
        <v>9520</v>
      </c>
    </row>
    <row r="309" spans="1:30">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c r="X309" s="61">
        <f t="shared" si="8"/>
        <v>51000</v>
      </c>
      <c r="AD309" s="61">
        <f t="shared" si="9"/>
        <v>43350</v>
      </c>
    </row>
    <row r="310" spans="1:30">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c r="X310" s="61">
        <f t="shared" si="8"/>
        <v>10500</v>
      </c>
      <c r="AD310" s="61">
        <f t="shared" si="9"/>
        <v>9450</v>
      </c>
    </row>
    <row r="311" spans="1:30">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c r="X311" s="61">
        <f t="shared" si="8"/>
        <v>24000</v>
      </c>
      <c r="AD311" s="61">
        <f t="shared" si="9"/>
        <v>19200</v>
      </c>
    </row>
    <row r="312" spans="1:30">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c r="X312" s="61">
        <f t="shared" si="8"/>
        <v>240</v>
      </c>
      <c r="AD312" s="61">
        <f t="shared" si="9"/>
        <v>192</v>
      </c>
    </row>
    <row r="313" spans="1:30">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c r="X313" s="61">
        <f t="shared" si="8"/>
        <v>240000</v>
      </c>
      <c r="AD313" s="61">
        <f t="shared" si="9"/>
        <v>204000</v>
      </c>
    </row>
    <row r="314" spans="1:30">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c r="X314" s="61">
        <f t="shared" si="8"/>
        <v>780</v>
      </c>
      <c r="AD314" s="61">
        <f t="shared" si="9"/>
        <v>702</v>
      </c>
    </row>
    <row r="315" spans="1:30">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c r="X315" s="61">
        <f t="shared" si="8"/>
        <v>715000</v>
      </c>
      <c r="AD315" s="61">
        <f t="shared" si="9"/>
        <v>679250</v>
      </c>
    </row>
    <row r="316" spans="1:30">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c r="X316" s="61">
        <f t="shared" si="8"/>
        <v>8400</v>
      </c>
      <c r="AD316" s="61">
        <f t="shared" si="9"/>
        <v>7140</v>
      </c>
    </row>
    <row r="317" spans="1:30">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c r="X317" s="61">
        <f t="shared" si="8"/>
        <v>204000</v>
      </c>
      <c r="AD317" s="61">
        <f t="shared" si="9"/>
        <v>193800</v>
      </c>
    </row>
    <row r="318" spans="1:30">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c r="X318" s="61">
        <f t="shared" si="8"/>
        <v>200</v>
      </c>
      <c r="AD318" s="61">
        <f t="shared" si="9"/>
        <v>190</v>
      </c>
    </row>
    <row r="319" spans="1:30">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c r="X319" s="61">
        <f t="shared" si="8"/>
        <v>24200</v>
      </c>
      <c r="AD319" s="61">
        <f t="shared" si="9"/>
        <v>22990</v>
      </c>
    </row>
    <row r="320" spans="1:30">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c r="X320" s="61">
        <f t="shared" si="8"/>
        <v>480</v>
      </c>
      <c r="AD320" s="61">
        <f t="shared" si="9"/>
        <v>408</v>
      </c>
    </row>
    <row r="321" spans="1:30">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c r="X321" s="61">
        <f t="shared" si="8"/>
        <v>765</v>
      </c>
      <c r="AD321" s="61">
        <f t="shared" si="9"/>
        <v>650.25</v>
      </c>
    </row>
    <row r="322" spans="1:30">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c r="X322" s="61">
        <f t="shared" si="8"/>
        <v>9800</v>
      </c>
      <c r="AD322" s="61">
        <f t="shared" si="9"/>
        <v>8330</v>
      </c>
    </row>
    <row r="323" spans="1:30">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c r="X323" s="61">
        <f t="shared" ref="X323:X386" si="10">M323*N323</f>
        <v>3600</v>
      </c>
      <c r="AD323" s="61">
        <f t="shared" ref="AD323:AD386" si="11">(N323*M323)-(M323*N323)*(O323/100)</f>
        <v>3420</v>
      </c>
    </row>
    <row r="324" spans="1:30">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c r="X324" s="61">
        <f t="shared" si="10"/>
        <v>10800</v>
      </c>
      <c r="AD324" s="61">
        <f t="shared" si="11"/>
        <v>9180</v>
      </c>
    </row>
    <row r="325" spans="1:30">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c r="X325" s="61">
        <f t="shared" si="10"/>
        <v>100</v>
      </c>
      <c r="AD325" s="61">
        <f t="shared" si="11"/>
        <v>95</v>
      </c>
    </row>
    <row r="326" spans="1:30">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c r="X326" s="61">
        <f t="shared" si="10"/>
        <v>17600</v>
      </c>
      <c r="AD326" s="61">
        <f t="shared" si="11"/>
        <v>15840</v>
      </c>
    </row>
    <row r="327" spans="1:30">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c r="X327" s="61">
        <f t="shared" si="10"/>
        <v>7000</v>
      </c>
      <c r="AD327" s="61">
        <f t="shared" si="11"/>
        <v>5600</v>
      </c>
    </row>
    <row r="328" spans="1:30">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c r="X328" s="61">
        <f t="shared" si="10"/>
        <v>1400</v>
      </c>
      <c r="AD328" s="61">
        <f t="shared" si="11"/>
        <v>1120</v>
      </c>
    </row>
    <row r="329" spans="1:30">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c r="X329" s="61">
        <f t="shared" si="10"/>
        <v>56000</v>
      </c>
      <c r="AD329" s="61">
        <f t="shared" si="11"/>
        <v>44800</v>
      </c>
    </row>
    <row r="330" spans="1:30">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c r="X330" s="61">
        <f t="shared" si="10"/>
        <v>31500</v>
      </c>
      <c r="AD330" s="61">
        <f t="shared" si="11"/>
        <v>25200</v>
      </c>
    </row>
    <row r="331" spans="1:30">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c r="X331" s="61">
        <f t="shared" si="10"/>
        <v>10500</v>
      </c>
      <c r="AD331" s="61">
        <f t="shared" si="11"/>
        <v>9975</v>
      </c>
    </row>
    <row r="332" spans="1:30">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c r="X332" s="61">
        <f t="shared" si="10"/>
        <v>15600</v>
      </c>
      <c r="AD332" s="61">
        <f t="shared" si="11"/>
        <v>15600</v>
      </c>
    </row>
    <row r="333" spans="1:30">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c r="X333" s="61">
        <f t="shared" si="10"/>
        <v>60000</v>
      </c>
      <c r="AD333" s="61">
        <f t="shared" si="11"/>
        <v>54000</v>
      </c>
    </row>
    <row r="334" spans="1:30">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c r="X334" s="61">
        <f t="shared" si="10"/>
        <v>540</v>
      </c>
      <c r="AD334" s="61">
        <f t="shared" si="11"/>
        <v>432</v>
      </c>
    </row>
    <row r="335" spans="1:30">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c r="X335" s="61">
        <f t="shared" si="10"/>
        <v>7000</v>
      </c>
      <c r="AD335" s="61">
        <f t="shared" si="11"/>
        <v>7000</v>
      </c>
    </row>
    <row r="336" spans="1:30">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c r="X336" s="61">
        <f t="shared" si="10"/>
        <v>33000</v>
      </c>
      <c r="AD336" s="61">
        <f t="shared" si="11"/>
        <v>28050</v>
      </c>
    </row>
    <row r="337" spans="1:30">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c r="X337" s="61">
        <f t="shared" si="10"/>
        <v>160</v>
      </c>
      <c r="AD337" s="61">
        <f t="shared" si="11"/>
        <v>128</v>
      </c>
    </row>
    <row r="338" spans="1:30">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c r="X338" s="61">
        <f t="shared" si="10"/>
        <v>20</v>
      </c>
      <c r="AD338" s="61">
        <f t="shared" si="11"/>
        <v>20</v>
      </c>
    </row>
    <row r="339" spans="1:30">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c r="X339" s="61">
        <f t="shared" si="10"/>
        <v>10500</v>
      </c>
      <c r="AD339" s="61">
        <f t="shared" si="11"/>
        <v>10500</v>
      </c>
    </row>
    <row r="340" spans="1:30">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c r="X340" s="61">
        <f t="shared" si="10"/>
        <v>52500</v>
      </c>
      <c r="AD340" s="61">
        <f t="shared" si="11"/>
        <v>47250</v>
      </c>
    </row>
    <row r="341" spans="1:30">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c r="X341" s="61">
        <f t="shared" si="10"/>
        <v>960</v>
      </c>
      <c r="AD341" s="61">
        <f t="shared" si="11"/>
        <v>864</v>
      </c>
    </row>
    <row r="342" spans="1:30">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c r="X342" s="61">
        <f t="shared" si="10"/>
        <v>90</v>
      </c>
      <c r="AD342" s="61">
        <f t="shared" si="11"/>
        <v>76.5</v>
      </c>
    </row>
    <row r="343" spans="1:30">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c r="X343" s="61">
        <f t="shared" si="10"/>
        <v>780</v>
      </c>
      <c r="AD343" s="61">
        <f t="shared" si="11"/>
        <v>663</v>
      </c>
    </row>
    <row r="344" spans="1:30">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c r="X344" s="61">
        <f t="shared" si="10"/>
        <v>180000</v>
      </c>
      <c r="AD344" s="61">
        <f t="shared" si="11"/>
        <v>144000</v>
      </c>
    </row>
    <row r="345" spans="1:30">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c r="X345" s="61">
        <f t="shared" si="10"/>
        <v>40</v>
      </c>
      <c r="AD345" s="61">
        <f t="shared" si="11"/>
        <v>32</v>
      </c>
    </row>
    <row r="346" spans="1:30">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c r="X346" s="61">
        <f t="shared" si="10"/>
        <v>56000</v>
      </c>
      <c r="AD346" s="61">
        <f t="shared" si="11"/>
        <v>56000</v>
      </c>
    </row>
    <row r="347" spans="1:30">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c r="X347" s="61">
        <f t="shared" si="10"/>
        <v>63000</v>
      </c>
      <c r="AD347" s="61">
        <f t="shared" si="11"/>
        <v>53550</v>
      </c>
    </row>
    <row r="348" spans="1:30">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c r="X348" s="61">
        <f t="shared" si="10"/>
        <v>900</v>
      </c>
      <c r="AD348" s="61">
        <f t="shared" si="11"/>
        <v>765</v>
      </c>
    </row>
    <row r="349" spans="1:30">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c r="X349" s="61">
        <f t="shared" si="10"/>
        <v>28600</v>
      </c>
      <c r="AD349" s="61">
        <f t="shared" si="11"/>
        <v>24310</v>
      </c>
    </row>
    <row r="350" spans="1:30">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c r="X350" s="61">
        <f t="shared" si="10"/>
        <v>93500</v>
      </c>
      <c r="AD350" s="61">
        <f t="shared" si="11"/>
        <v>88825</v>
      </c>
    </row>
    <row r="351" spans="1:30">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c r="X351" s="61">
        <f t="shared" si="10"/>
        <v>4400</v>
      </c>
      <c r="AD351" s="61">
        <f t="shared" si="11"/>
        <v>4400</v>
      </c>
    </row>
    <row r="352" spans="1:30">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c r="X352" s="61">
        <f t="shared" si="10"/>
        <v>10500</v>
      </c>
      <c r="AD352" s="61">
        <f t="shared" si="11"/>
        <v>8925</v>
      </c>
    </row>
    <row r="353" spans="1:30">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c r="X353" s="61">
        <f t="shared" si="10"/>
        <v>11000</v>
      </c>
      <c r="AD353" s="61">
        <f t="shared" si="11"/>
        <v>9350</v>
      </c>
    </row>
    <row r="354" spans="1:30">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c r="X354" s="61">
        <f t="shared" si="10"/>
        <v>18000</v>
      </c>
      <c r="AD354" s="61">
        <f t="shared" si="11"/>
        <v>18000</v>
      </c>
    </row>
    <row r="355" spans="1:30">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c r="X355" s="61">
        <f t="shared" si="10"/>
        <v>22800</v>
      </c>
      <c r="AD355" s="61">
        <f t="shared" si="11"/>
        <v>22800</v>
      </c>
    </row>
    <row r="356" spans="1:30">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c r="X356" s="61">
        <f t="shared" si="10"/>
        <v>108000</v>
      </c>
      <c r="AD356" s="61">
        <f t="shared" si="11"/>
        <v>91800</v>
      </c>
    </row>
    <row r="357" spans="1:30">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c r="X357" s="61">
        <f t="shared" si="10"/>
        <v>225</v>
      </c>
      <c r="AD357" s="61">
        <f t="shared" si="11"/>
        <v>213.75</v>
      </c>
    </row>
    <row r="358" spans="1:30">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c r="X358" s="61">
        <f t="shared" si="10"/>
        <v>2100</v>
      </c>
      <c r="AD358" s="61">
        <f t="shared" si="11"/>
        <v>1785</v>
      </c>
    </row>
    <row r="359" spans="1:30">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c r="X359" s="61">
        <f t="shared" si="10"/>
        <v>102000</v>
      </c>
      <c r="AD359" s="61">
        <f t="shared" si="11"/>
        <v>96900</v>
      </c>
    </row>
    <row r="360" spans="1:30">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c r="X360" s="61">
        <f t="shared" si="10"/>
        <v>34000</v>
      </c>
      <c r="AD360" s="61">
        <f t="shared" si="11"/>
        <v>28900</v>
      </c>
    </row>
    <row r="361" spans="1:30">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c r="X361" s="61">
        <f t="shared" si="10"/>
        <v>320</v>
      </c>
      <c r="AD361" s="61">
        <f t="shared" si="11"/>
        <v>288</v>
      </c>
    </row>
    <row r="362" spans="1:30">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c r="X362" s="61">
        <f t="shared" si="10"/>
        <v>180</v>
      </c>
      <c r="AD362" s="61">
        <f t="shared" si="11"/>
        <v>144</v>
      </c>
    </row>
    <row r="363" spans="1:30">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c r="X363" s="61">
        <f t="shared" si="10"/>
        <v>41800</v>
      </c>
      <c r="AD363" s="61">
        <f t="shared" si="11"/>
        <v>37620</v>
      </c>
    </row>
    <row r="364" spans="1:30">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c r="X364" s="61">
        <f t="shared" si="10"/>
        <v>8400</v>
      </c>
      <c r="AD364" s="61">
        <f t="shared" si="11"/>
        <v>6720</v>
      </c>
    </row>
    <row r="365" spans="1:30">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c r="X365" s="61">
        <f t="shared" si="10"/>
        <v>400</v>
      </c>
      <c r="AD365" s="61">
        <f t="shared" si="11"/>
        <v>320</v>
      </c>
    </row>
    <row r="366" spans="1:30">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c r="X366" s="61">
        <f t="shared" si="10"/>
        <v>22800</v>
      </c>
      <c r="AD366" s="61">
        <f t="shared" si="11"/>
        <v>21660</v>
      </c>
    </row>
    <row r="367" spans="1:30">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c r="X367" s="61">
        <f t="shared" si="10"/>
        <v>100</v>
      </c>
      <c r="AD367" s="61">
        <f t="shared" si="11"/>
        <v>100</v>
      </c>
    </row>
    <row r="368" spans="1:30">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c r="X368" s="61">
        <f t="shared" si="10"/>
        <v>720</v>
      </c>
      <c r="AD368" s="61">
        <f t="shared" si="11"/>
        <v>612</v>
      </c>
    </row>
    <row r="369" spans="1:30">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c r="X369" s="61">
        <f t="shared" si="10"/>
        <v>2200</v>
      </c>
      <c r="AD369" s="61">
        <f t="shared" si="11"/>
        <v>1980</v>
      </c>
    </row>
    <row r="370" spans="1:30">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c r="X370" s="61">
        <f t="shared" si="10"/>
        <v>1140</v>
      </c>
      <c r="AD370" s="61">
        <f t="shared" si="11"/>
        <v>969</v>
      </c>
    </row>
    <row r="371" spans="1:30">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c r="X371" s="61">
        <f t="shared" si="10"/>
        <v>825000</v>
      </c>
      <c r="AD371" s="61">
        <f t="shared" si="11"/>
        <v>825000</v>
      </c>
    </row>
    <row r="372" spans="1:30">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c r="X372" s="61">
        <f t="shared" si="10"/>
        <v>495</v>
      </c>
      <c r="AD372" s="61">
        <f t="shared" si="11"/>
        <v>470.25</v>
      </c>
    </row>
    <row r="373" spans="1:30">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c r="X373" s="61">
        <f t="shared" si="10"/>
        <v>180</v>
      </c>
      <c r="AD373" s="61">
        <f t="shared" si="11"/>
        <v>162</v>
      </c>
    </row>
    <row r="374" spans="1:30">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c r="X374" s="61">
        <f t="shared" si="10"/>
        <v>225</v>
      </c>
      <c r="AD374" s="61">
        <f t="shared" si="11"/>
        <v>213.75</v>
      </c>
    </row>
    <row r="375" spans="1:30">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c r="X375" s="61">
        <f t="shared" si="10"/>
        <v>3500</v>
      </c>
      <c r="AD375" s="61">
        <f t="shared" si="11"/>
        <v>3150</v>
      </c>
    </row>
    <row r="376" spans="1:30">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c r="X376" s="61">
        <f t="shared" si="10"/>
        <v>700</v>
      </c>
      <c r="AD376" s="61">
        <f t="shared" si="11"/>
        <v>700</v>
      </c>
    </row>
    <row r="377" spans="1:30">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c r="X377" s="61">
        <f t="shared" si="10"/>
        <v>9100</v>
      </c>
      <c r="AD377" s="61">
        <f t="shared" si="11"/>
        <v>7280</v>
      </c>
    </row>
    <row r="378" spans="1:30">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c r="X378" s="61">
        <f t="shared" si="10"/>
        <v>240000</v>
      </c>
      <c r="AD378" s="61">
        <f t="shared" si="11"/>
        <v>240000</v>
      </c>
    </row>
    <row r="379" spans="1:30">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c r="X379" s="61">
        <f t="shared" si="10"/>
        <v>10800</v>
      </c>
      <c r="AD379" s="61">
        <f t="shared" si="11"/>
        <v>9180</v>
      </c>
    </row>
    <row r="380" spans="1:30">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c r="X380" s="61">
        <f t="shared" si="10"/>
        <v>60</v>
      </c>
      <c r="AD380" s="61">
        <f t="shared" si="11"/>
        <v>51</v>
      </c>
    </row>
    <row r="381" spans="1:30">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c r="X381" s="61">
        <f t="shared" si="10"/>
        <v>440000</v>
      </c>
      <c r="AD381" s="61">
        <f t="shared" si="11"/>
        <v>352000</v>
      </c>
    </row>
    <row r="382" spans="1:30">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c r="X382" s="61">
        <f t="shared" si="10"/>
        <v>1020</v>
      </c>
      <c r="AD382" s="61">
        <f t="shared" si="11"/>
        <v>816</v>
      </c>
    </row>
    <row r="383" spans="1:30">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c r="X383" s="61">
        <f t="shared" si="10"/>
        <v>80</v>
      </c>
      <c r="AD383" s="61">
        <f t="shared" si="11"/>
        <v>68</v>
      </c>
    </row>
    <row r="384" spans="1:30">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c r="X384" s="61">
        <f t="shared" si="10"/>
        <v>4400</v>
      </c>
      <c r="AD384" s="61">
        <f t="shared" si="11"/>
        <v>3960</v>
      </c>
    </row>
    <row r="385" spans="1:30">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c r="X385" s="61">
        <f t="shared" si="10"/>
        <v>300</v>
      </c>
      <c r="AD385" s="61">
        <f t="shared" si="11"/>
        <v>285</v>
      </c>
    </row>
    <row r="386" spans="1:30">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c r="X386" s="61">
        <f t="shared" si="10"/>
        <v>37400</v>
      </c>
      <c r="AD386" s="61">
        <f t="shared" si="11"/>
        <v>37400</v>
      </c>
    </row>
    <row r="387" spans="1:30">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c r="X387" s="61">
        <f t="shared" ref="X387:X450" si="12">M387*N387</f>
        <v>420</v>
      </c>
      <c r="AD387" s="61">
        <f t="shared" ref="AD387:AD450" si="13">(N387*M387)-(M387*N387)*(O387/100)</f>
        <v>420</v>
      </c>
    </row>
    <row r="388" spans="1:30">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c r="X388" s="61">
        <f t="shared" si="12"/>
        <v>330000</v>
      </c>
      <c r="AD388" s="61">
        <f t="shared" si="13"/>
        <v>313500</v>
      </c>
    </row>
    <row r="389" spans="1:30">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c r="X389" s="61">
        <f t="shared" si="12"/>
        <v>320</v>
      </c>
      <c r="AD389" s="61">
        <f t="shared" si="13"/>
        <v>304</v>
      </c>
    </row>
    <row r="390" spans="1:30">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c r="X390" s="61">
        <f t="shared" si="12"/>
        <v>24200</v>
      </c>
      <c r="AD390" s="61">
        <f t="shared" si="13"/>
        <v>20570</v>
      </c>
    </row>
    <row r="391" spans="1:30">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c r="X391" s="61">
        <f t="shared" si="12"/>
        <v>380</v>
      </c>
      <c r="AD391" s="61">
        <f t="shared" si="13"/>
        <v>361</v>
      </c>
    </row>
    <row r="392" spans="1:30">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c r="X392" s="61">
        <f t="shared" si="12"/>
        <v>24000</v>
      </c>
      <c r="AD392" s="61">
        <f t="shared" si="13"/>
        <v>20400</v>
      </c>
    </row>
    <row r="393" spans="1:30">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c r="X393" s="61">
        <f t="shared" si="12"/>
        <v>260</v>
      </c>
      <c r="AD393" s="61">
        <f t="shared" si="13"/>
        <v>221</v>
      </c>
    </row>
    <row r="394" spans="1:30">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c r="X394" s="61">
        <f t="shared" si="12"/>
        <v>14400</v>
      </c>
      <c r="AD394" s="61">
        <f t="shared" si="13"/>
        <v>12960</v>
      </c>
    </row>
    <row r="395" spans="1:30">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c r="X395" s="61">
        <f t="shared" si="12"/>
        <v>51000</v>
      </c>
      <c r="AD395" s="61">
        <f t="shared" si="13"/>
        <v>48450</v>
      </c>
    </row>
    <row r="396" spans="1:30">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c r="X396" s="61">
        <f t="shared" si="12"/>
        <v>127500</v>
      </c>
      <c r="AD396" s="61">
        <f t="shared" si="13"/>
        <v>114750</v>
      </c>
    </row>
    <row r="397" spans="1:30">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c r="X397" s="61">
        <f t="shared" si="12"/>
        <v>228000</v>
      </c>
      <c r="AD397" s="61">
        <f t="shared" si="13"/>
        <v>182400</v>
      </c>
    </row>
    <row r="398" spans="1:30">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c r="X398" s="61">
        <f t="shared" si="12"/>
        <v>3500</v>
      </c>
      <c r="AD398" s="61">
        <f t="shared" si="13"/>
        <v>3500</v>
      </c>
    </row>
    <row r="399" spans="1:30">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c r="X399" s="61">
        <f t="shared" si="12"/>
        <v>228000</v>
      </c>
      <c r="AD399" s="61">
        <f t="shared" si="13"/>
        <v>228000</v>
      </c>
    </row>
    <row r="400" spans="1:30">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c r="X400" s="61">
        <f t="shared" si="12"/>
        <v>8400</v>
      </c>
      <c r="AD400" s="61">
        <f t="shared" si="13"/>
        <v>7140</v>
      </c>
    </row>
    <row r="401" spans="1:30">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c r="X401" s="61">
        <f t="shared" si="12"/>
        <v>19200</v>
      </c>
      <c r="AD401" s="61">
        <f t="shared" si="13"/>
        <v>15360</v>
      </c>
    </row>
    <row r="402" spans="1:30">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c r="X402" s="61">
        <f t="shared" si="12"/>
        <v>85000</v>
      </c>
      <c r="AD402" s="61">
        <f t="shared" si="13"/>
        <v>80750</v>
      </c>
    </row>
    <row r="403" spans="1:30">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c r="X403" s="61">
        <f t="shared" si="12"/>
        <v>360</v>
      </c>
      <c r="AD403" s="61">
        <f t="shared" si="13"/>
        <v>288</v>
      </c>
    </row>
    <row r="404" spans="1:30">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c r="X404" s="61">
        <f t="shared" si="12"/>
        <v>76500</v>
      </c>
      <c r="AD404" s="61">
        <f t="shared" si="13"/>
        <v>76500</v>
      </c>
    </row>
    <row r="405" spans="1:30">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c r="X405" s="61">
        <f t="shared" si="12"/>
        <v>68000</v>
      </c>
      <c r="AD405" s="61">
        <f t="shared" si="13"/>
        <v>61200</v>
      </c>
    </row>
    <row r="406" spans="1:30">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c r="X406" s="61">
        <f t="shared" si="12"/>
        <v>60</v>
      </c>
      <c r="AD406" s="61">
        <f t="shared" si="13"/>
        <v>54</v>
      </c>
    </row>
    <row r="407" spans="1:30">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c r="X407" s="61">
        <f t="shared" si="12"/>
        <v>153000</v>
      </c>
      <c r="AD407" s="61">
        <f t="shared" si="13"/>
        <v>137700</v>
      </c>
    </row>
    <row r="408" spans="1:30">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c r="X408" s="61">
        <f t="shared" si="12"/>
        <v>225</v>
      </c>
      <c r="AD408" s="61">
        <f t="shared" si="13"/>
        <v>202.5</v>
      </c>
    </row>
    <row r="409" spans="1:30">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c r="X409" s="61">
        <f t="shared" si="12"/>
        <v>90</v>
      </c>
      <c r="AD409" s="61">
        <f t="shared" si="13"/>
        <v>72</v>
      </c>
    </row>
    <row r="410" spans="1:30">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c r="X410" s="61">
        <f t="shared" si="12"/>
        <v>810</v>
      </c>
      <c r="AD410" s="61">
        <f t="shared" si="13"/>
        <v>729</v>
      </c>
    </row>
    <row r="411" spans="1:30">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c r="X411" s="61">
        <f t="shared" si="12"/>
        <v>15600</v>
      </c>
      <c r="AD411" s="61">
        <f t="shared" si="13"/>
        <v>14820</v>
      </c>
    </row>
    <row r="412" spans="1:30">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c r="X412" s="61">
        <f t="shared" si="12"/>
        <v>280</v>
      </c>
      <c r="AD412" s="61">
        <f t="shared" si="13"/>
        <v>224</v>
      </c>
    </row>
    <row r="413" spans="1:30">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c r="X413" s="61">
        <f t="shared" si="12"/>
        <v>56000</v>
      </c>
      <c r="AD413" s="61">
        <f t="shared" si="13"/>
        <v>47600</v>
      </c>
    </row>
    <row r="414" spans="1:30">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c r="X414" s="61">
        <f t="shared" si="12"/>
        <v>400</v>
      </c>
      <c r="AD414" s="61">
        <f t="shared" si="13"/>
        <v>340</v>
      </c>
    </row>
    <row r="415" spans="1:30">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c r="X415" s="61">
        <f t="shared" si="12"/>
        <v>55000</v>
      </c>
      <c r="AD415" s="61">
        <f t="shared" si="13"/>
        <v>46750</v>
      </c>
    </row>
    <row r="416" spans="1:30">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c r="X416" s="61">
        <f t="shared" si="12"/>
        <v>900</v>
      </c>
      <c r="AD416" s="61">
        <f t="shared" si="13"/>
        <v>855</v>
      </c>
    </row>
    <row r="417" spans="1:30">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c r="X417" s="61">
        <f t="shared" si="12"/>
        <v>10500</v>
      </c>
      <c r="AD417" s="61">
        <f t="shared" si="13"/>
        <v>10500</v>
      </c>
    </row>
    <row r="418" spans="1:30">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c r="X418" s="61">
        <f t="shared" si="12"/>
        <v>156000</v>
      </c>
      <c r="AD418" s="61">
        <f t="shared" si="13"/>
        <v>140400</v>
      </c>
    </row>
    <row r="419" spans="1:30">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c r="X419" s="61">
        <f t="shared" si="12"/>
        <v>144000</v>
      </c>
      <c r="AD419" s="61">
        <f t="shared" si="13"/>
        <v>115200</v>
      </c>
    </row>
    <row r="420" spans="1:30">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c r="X420" s="61">
        <f t="shared" si="12"/>
        <v>450</v>
      </c>
      <c r="AD420" s="61">
        <f t="shared" si="13"/>
        <v>450</v>
      </c>
    </row>
    <row r="421" spans="1:30">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c r="X421" s="61">
        <f t="shared" si="12"/>
        <v>24000</v>
      </c>
      <c r="AD421" s="61">
        <f t="shared" si="13"/>
        <v>19200</v>
      </c>
    </row>
    <row r="422" spans="1:30">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c r="X422" s="61">
        <f t="shared" si="12"/>
        <v>9600</v>
      </c>
      <c r="AD422" s="61">
        <f t="shared" si="13"/>
        <v>8640</v>
      </c>
    </row>
    <row r="423" spans="1:30">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c r="X423" s="61">
        <f t="shared" si="12"/>
        <v>9600</v>
      </c>
      <c r="AD423" s="61">
        <f t="shared" si="13"/>
        <v>8640</v>
      </c>
    </row>
    <row r="424" spans="1:30">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c r="X424" s="61">
        <f t="shared" si="12"/>
        <v>19800</v>
      </c>
      <c r="AD424" s="61">
        <f t="shared" si="13"/>
        <v>15840</v>
      </c>
    </row>
    <row r="425" spans="1:30">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c r="X425" s="61">
        <f t="shared" si="12"/>
        <v>160</v>
      </c>
      <c r="AD425" s="61">
        <f t="shared" si="13"/>
        <v>128</v>
      </c>
    </row>
    <row r="426" spans="1:30">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c r="X426" s="61">
        <f t="shared" si="12"/>
        <v>275000</v>
      </c>
      <c r="AD426" s="61">
        <f t="shared" si="13"/>
        <v>275000</v>
      </c>
    </row>
    <row r="427" spans="1:30">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c r="X427" s="61">
        <f t="shared" si="12"/>
        <v>15600</v>
      </c>
      <c r="AD427" s="61">
        <f t="shared" si="13"/>
        <v>14820</v>
      </c>
    </row>
    <row r="428" spans="1:30">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c r="X428" s="61">
        <f t="shared" si="12"/>
        <v>110500</v>
      </c>
      <c r="AD428" s="61">
        <f t="shared" si="13"/>
        <v>88400</v>
      </c>
    </row>
    <row r="429" spans="1:30">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c r="X429" s="61">
        <f t="shared" si="12"/>
        <v>840</v>
      </c>
      <c r="AD429" s="61">
        <f t="shared" si="13"/>
        <v>756</v>
      </c>
    </row>
    <row r="430" spans="1:30">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c r="X430" s="61">
        <f t="shared" si="12"/>
        <v>33000</v>
      </c>
      <c r="AD430" s="61">
        <f t="shared" si="13"/>
        <v>33000</v>
      </c>
    </row>
    <row r="431" spans="1:30">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c r="X431" s="61">
        <f t="shared" si="12"/>
        <v>1140</v>
      </c>
      <c r="AD431" s="61">
        <f t="shared" si="13"/>
        <v>912</v>
      </c>
    </row>
    <row r="432" spans="1:30">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c r="X432" s="61">
        <f t="shared" si="12"/>
        <v>585</v>
      </c>
      <c r="AD432" s="61">
        <f t="shared" si="13"/>
        <v>497.25</v>
      </c>
    </row>
    <row r="433" spans="1:30">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c r="X433" s="61">
        <f t="shared" si="12"/>
        <v>84000</v>
      </c>
      <c r="AD433" s="61">
        <f t="shared" si="13"/>
        <v>79800</v>
      </c>
    </row>
    <row r="434" spans="1:30">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c r="X434" s="61">
        <f t="shared" si="12"/>
        <v>160</v>
      </c>
      <c r="AD434" s="61">
        <f t="shared" si="13"/>
        <v>160</v>
      </c>
    </row>
    <row r="435" spans="1:30">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c r="X435" s="61">
        <f t="shared" si="12"/>
        <v>56000</v>
      </c>
      <c r="AD435" s="61">
        <f t="shared" si="13"/>
        <v>53200</v>
      </c>
    </row>
    <row r="436" spans="1:30">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c r="X436" s="61">
        <f t="shared" si="12"/>
        <v>102000</v>
      </c>
      <c r="AD436" s="61">
        <f t="shared" si="13"/>
        <v>91800</v>
      </c>
    </row>
    <row r="437" spans="1:30">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c r="X437" s="61">
        <f t="shared" si="12"/>
        <v>60</v>
      </c>
      <c r="AD437" s="61">
        <f t="shared" si="13"/>
        <v>48</v>
      </c>
    </row>
    <row r="438" spans="1:30">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c r="X438" s="61">
        <f t="shared" si="12"/>
        <v>180</v>
      </c>
      <c r="AD438" s="61">
        <f t="shared" si="13"/>
        <v>153</v>
      </c>
    </row>
    <row r="439" spans="1:30">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c r="X439" s="61">
        <f t="shared" si="12"/>
        <v>7000</v>
      </c>
      <c r="AD439" s="61">
        <f t="shared" si="13"/>
        <v>5950</v>
      </c>
    </row>
    <row r="440" spans="1:30">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c r="X440" s="61">
        <f t="shared" si="12"/>
        <v>40</v>
      </c>
      <c r="AD440" s="61">
        <f t="shared" si="13"/>
        <v>36</v>
      </c>
    </row>
    <row r="441" spans="1:30">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c r="X441" s="61">
        <f t="shared" si="12"/>
        <v>280</v>
      </c>
      <c r="AD441" s="61">
        <f t="shared" si="13"/>
        <v>224</v>
      </c>
    </row>
    <row r="442" spans="1:30">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c r="X442" s="61">
        <f t="shared" si="12"/>
        <v>14000</v>
      </c>
      <c r="AD442" s="61">
        <f t="shared" si="13"/>
        <v>14000</v>
      </c>
    </row>
    <row r="443" spans="1:30">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c r="X443" s="61">
        <f t="shared" si="12"/>
        <v>31500</v>
      </c>
      <c r="AD443" s="61">
        <f t="shared" si="13"/>
        <v>29925</v>
      </c>
    </row>
    <row r="444" spans="1:30">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c r="X444" s="61">
        <f t="shared" si="12"/>
        <v>540</v>
      </c>
      <c r="AD444" s="61">
        <f t="shared" si="13"/>
        <v>540</v>
      </c>
    </row>
    <row r="445" spans="1:30">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c r="X445" s="61">
        <f t="shared" si="12"/>
        <v>4800</v>
      </c>
      <c r="AD445" s="61">
        <f t="shared" si="13"/>
        <v>4800</v>
      </c>
    </row>
    <row r="446" spans="1:30">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c r="X446" s="61">
        <f t="shared" si="12"/>
        <v>550000</v>
      </c>
      <c r="AD446" s="61">
        <f t="shared" si="13"/>
        <v>522500</v>
      </c>
    </row>
    <row r="447" spans="1:30">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c r="X447" s="61">
        <f t="shared" si="12"/>
        <v>900</v>
      </c>
      <c r="AD447" s="61">
        <f t="shared" si="13"/>
        <v>765</v>
      </c>
    </row>
    <row r="448" spans="1:30">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c r="X448" s="61">
        <f t="shared" si="12"/>
        <v>180</v>
      </c>
      <c r="AD448" s="61">
        <f t="shared" si="13"/>
        <v>144</v>
      </c>
    </row>
    <row r="449" spans="1:30">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c r="X449" s="61">
        <f t="shared" si="12"/>
        <v>440000</v>
      </c>
      <c r="AD449" s="61">
        <f t="shared" si="13"/>
        <v>440000</v>
      </c>
    </row>
    <row r="450" spans="1:30">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c r="X450" s="61">
        <f t="shared" si="12"/>
        <v>4800</v>
      </c>
      <c r="AD450" s="61">
        <f t="shared" si="13"/>
        <v>4320</v>
      </c>
    </row>
    <row r="451" spans="1:30">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c r="X451" s="61">
        <f t="shared" ref="X451:X501" si="14">M451*N451</f>
        <v>119000</v>
      </c>
      <c r="AD451" s="61">
        <f t="shared" ref="AD451:AD501" si="15">(N451*M451)-(M451*N451)*(O451/100)</f>
        <v>107100</v>
      </c>
    </row>
    <row r="452" spans="1:30">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c r="X452" s="61">
        <f t="shared" si="14"/>
        <v>45</v>
      </c>
      <c r="AD452" s="61">
        <f t="shared" si="15"/>
        <v>45</v>
      </c>
    </row>
    <row r="453" spans="1:30">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c r="X453" s="61">
        <f t="shared" si="14"/>
        <v>880000</v>
      </c>
      <c r="AD453" s="61">
        <f t="shared" si="15"/>
        <v>748000</v>
      </c>
    </row>
    <row r="454" spans="1:30">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c r="X454" s="61">
        <f t="shared" si="14"/>
        <v>5600</v>
      </c>
      <c r="AD454" s="61">
        <f t="shared" si="15"/>
        <v>5600</v>
      </c>
    </row>
    <row r="455" spans="1:30">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c r="X455" s="61">
        <f t="shared" si="14"/>
        <v>3600</v>
      </c>
      <c r="AD455" s="61">
        <f t="shared" si="15"/>
        <v>3600</v>
      </c>
    </row>
    <row r="456" spans="1:30">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c r="X456" s="61">
        <f t="shared" si="14"/>
        <v>24500</v>
      </c>
      <c r="AD456" s="61">
        <f t="shared" si="15"/>
        <v>20825</v>
      </c>
    </row>
    <row r="457" spans="1:30">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c r="X457" s="61">
        <f t="shared" si="14"/>
        <v>495000</v>
      </c>
      <c r="AD457" s="61">
        <f t="shared" si="15"/>
        <v>420750</v>
      </c>
    </row>
    <row r="458" spans="1:30">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c r="X458" s="61">
        <f t="shared" si="14"/>
        <v>144000</v>
      </c>
      <c r="AD458" s="61">
        <f t="shared" si="15"/>
        <v>144000</v>
      </c>
    </row>
    <row r="459" spans="1:30">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c r="X459" s="61">
        <f t="shared" si="14"/>
        <v>420</v>
      </c>
      <c r="AD459" s="61">
        <f t="shared" si="15"/>
        <v>378</v>
      </c>
    </row>
    <row r="460" spans="1:30">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c r="X460" s="61">
        <f t="shared" si="14"/>
        <v>37400</v>
      </c>
      <c r="AD460" s="61">
        <f t="shared" si="15"/>
        <v>31790</v>
      </c>
    </row>
    <row r="461" spans="1:30">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c r="X461" s="61">
        <f t="shared" si="14"/>
        <v>11900</v>
      </c>
      <c r="AD461" s="61">
        <f t="shared" si="15"/>
        <v>10710</v>
      </c>
    </row>
    <row r="462" spans="1:30">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c r="X462" s="61">
        <f t="shared" si="14"/>
        <v>1045000</v>
      </c>
      <c r="AD462" s="61">
        <f t="shared" si="15"/>
        <v>836000</v>
      </c>
    </row>
    <row r="463" spans="1:30">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c r="X463" s="61">
        <f t="shared" si="14"/>
        <v>60</v>
      </c>
      <c r="AD463" s="61">
        <f t="shared" si="15"/>
        <v>54</v>
      </c>
    </row>
    <row r="464" spans="1:30">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c r="X464" s="61">
        <f t="shared" si="14"/>
        <v>56000</v>
      </c>
      <c r="AD464" s="61">
        <f t="shared" si="15"/>
        <v>56000</v>
      </c>
    </row>
    <row r="465" spans="1:30">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c r="X465" s="61">
        <f t="shared" si="14"/>
        <v>280</v>
      </c>
      <c r="AD465" s="61">
        <f t="shared" si="15"/>
        <v>252</v>
      </c>
    </row>
    <row r="466" spans="1:30">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c r="X466" s="61">
        <f t="shared" si="14"/>
        <v>24200</v>
      </c>
      <c r="AD466" s="61">
        <f t="shared" si="15"/>
        <v>20570</v>
      </c>
    </row>
    <row r="467" spans="1:30">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c r="X467" s="61">
        <f t="shared" si="14"/>
        <v>110000</v>
      </c>
      <c r="AD467" s="61">
        <f t="shared" si="15"/>
        <v>110000</v>
      </c>
    </row>
    <row r="468" spans="1:30">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c r="X468" s="61">
        <f t="shared" si="14"/>
        <v>15400</v>
      </c>
      <c r="AD468" s="61">
        <f t="shared" si="15"/>
        <v>14630</v>
      </c>
    </row>
    <row r="469" spans="1:30">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c r="X469" s="61">
        <f t="shared" si="14"/>
        <v>495</v>
      </c>
      <c r="AD469" s="61">
        <f t="shared" si="15"/>
        <v>420.75</v>
      </c>
    </row>
    <row r="470" spans="1:30">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c r="X470" s="61">
        <f t="shared" si="14"/>
        <v>960</v>
      </c>
      <c r="AD470" s="61">
        <f t="shared" si="15"/>
        <v>912</v>
      </c>
    </row>
    <row r="471" spans="1:30">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c r="X471" s="61">
        <f t="shared" si="14"/>
        <v>990000</v>
      </c>
      <c r="AD471" s="61">
        <f t="shared" si="15"/>
        <v>990000</v>
      </c>
    </row>
    <row r="472" spans="1:30">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c r="X472" s="61">
        <f t="shared" si="14"/>
        <v>20400</v>
      </c>
      <c r="AD472" s="61">
        <f t="shared" si="15"/>
        <v>19380</v>
      </c>
    </row>
    <row r="473" spans="1:30">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c r="X473" s="61">
        <f t="shared" si="14"/>
        <v>605000</v>
      </c>
      <c r="AD473" s="61">
        <f t="shared" si="15"/>
        <v>605000</v>
      </c>
    </row>
    <row r="474" spans="1:30">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c r="X474" s="61">
        <f t="shared" si="14"/>
        <v>14000</v>
      </c>
      <c r="AD474" s="61">
        <f t="shared" si="15"/>
        <v>11200</v>
      </c>
    </row>
    <row r="475" spans="1:30">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c r="X475" s="61">
        <f t="shared" si="14"/>
        <v>100</v>
      </c>
      <c r="AD475" s="61">
        <f t="shared" si="15"/>
        <v>95</v>
      </c>
    </row>
    <row r="476" spans="1:30">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c r="X476" s="61">
        <f t="shared" si="14"/>
        <v>715000</v>
      </c>
      <c r="AD476" s="61">
        <f t="shared" si="15"/>
        <v>679250</v>
      </c>
    </row>
    <row r="477" spans="1:30">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c r="X477" s="61">
        <f t="shared" si="14"/>
        <v>660000</v>
      </c>
      <c r="AD477" s="61">
        <f t="shared" si="15"/>
        <v>627000</v>
      </c>
    </row>
    <row r="478" spans="1:30">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c r="X478" s="61">
        <f t="shared" si="14"/>
        <v>720</v>
      </c>
      <c r="AD478" s="61">
        <f t="shared" si="15"/>
        <v>576</v>
      </c>
    </row>
    <row r="479" spans="1:30">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c r="X479" s="61">
        <f t="shared" si="14"/>
        <v>6000</v>
      </c>
      <c r="AD479" s="61">
        <f t="shared" si="15"/>
        <v>5400</v>
      </c>
    </row>
    <row r="480" spans="1:30">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c r="X480" s="61">
        <f t="shared" si="14"/>
        <v>90</v>
      </c>
      <c r="AD480" s="61">
        <f t="shared" si="15"/>
        <v>81</v>
      </c>
    </row>
    <row r="481" spans="1:30">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c r="X481" s="61">
        <f t="shared" si="14"/>
        <v>36000</v>
      </c>
      <c r="AD481" s="61">
        <f t="shared" si="15"/>
        <v>36000</v>
      </c>
    </row>
    <row r="482" spans="1:30">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c r="X482" s="61">
        <f t="shared" si="14"/>
        <v>36000</v>
      </c>
      <c r="AD482" s="61">
        <f t="shared" si="15"/>
        <v>28800</v>
      </c>
    </row>
    <row r="483" spans="1:30">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c r="X483" s="61">
        <f t="shared" si="14"/>
        <v>76500</v>
      </c>
      <c r="AD483" s="61">
        <f t="shared" si="15"/>
        <v>65025</v>
      </c>
    </row>
    <row r="484" spans="1:30">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c r="X484" s="61">
        <f t="shared" si="14"/>
        <v>11900</v>
      </c>
      <c r="AD484" s="61">
        <f t="shared" si="15"/>
        <v>11900</v>
      </c>
    </row>
    <row r="485" spans="1:30">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c r="X485" s="61">
        <f t="shared" si="14"/>
        <v>14000</v>
      </c>
      <c r="AD485" s="61">
        <f t="shared" si="15"/>
        <v>13300</v>
      </c>
    </row>
    <row r="486" spans="1:30">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c r="X486" s="61">
        <f t="shared" si="14"/>
        <v>15600</v>
      </c>
      <c r="AD486" s="61">
        <f t="shared" si="15"/>
        <v>12480</v>
      </c>
    </row>
    <row r="487" spans="1:30">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c r="X487" s="61">
        <f t="shared" si="14"/>
        <v>1100000</v>
      </c>
      <c r="AD487" s="61">
        <f t="shared" si="15"/>
        <v>990000</v>
      </c>
    </row>
    <row r="488" spans="1:30">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c r="X488" s="61">
        <f t="shared" si="14"/>
        <v>9600</v>
      </c>
      <c r="AD488" s="61">
        <f t="shared" si="15"/>
        <v>9600</v>
      </c>
    </row>
    <row r="489" spans="1:30">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c r="X489" s="61">
        <f t="shared" si="14"/>
        <v>360</v>
      </c>
      <c r="AD489" s="61">
        <f t="shared" si="15"/>
        <v>324</v>
      </c>
    </row>
    <row r="490" spans="1:30">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c r="X490" s="61">
        <f t="shared" si="14"/>
        <v>132000</v>
      </c>
      <c r="AD490" s="61">
        <f t="shared" si="15"/>
        <v>118800</v>
      </c>
    </row>
    <row r="491" spans="1:30">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c r="X491" s="61">
        <f t="shared" si="14"/>
        <v>17000</v>
      </c>
      <c r="AD491" s="61">
        <f t="shared" si="15"/>
        <v>16150</v>
      </c>
    </row>
    <row r="492" spans="1:30">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c r="X492" s="61">
        <f t="shared" si="14"/>
        <v>15400</v>
      </c>
      <c r="AD492" s="61">
        <f t="shared" si="15"/>
        <v>15400</v>
      </c>
    </row>
    <row r="493" spans="1:30">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c r="X493" s="61">
        <f t="shared" si="14"/>
        <v>170000</v>
      </c>
      <c r="AD493" s="61">
        <f t="shared" si="15"/>
        <v>170000</v>
      </c>
    </row>
    <row r="494" spans="1:30">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c r="X494" s="61">
        <f t="shared" si="14"/>
        <v>13200</v>
      </c>
      <c r="AD494" s="61">
        <f t="shared" si="15"/>
        <v>12540</v>
      </c>
    </row>
    <row r="495" spans="1:30">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c r="X495" s="61">
        <f t="shared" si="14"/>
        <v>9800</v>
      </c>
      <c r="AD495" s="61">
        <f t="shared" si="15"/>
        <v>9800</v>
      </c>
    </row>
    <row r="496" spans="1:30">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c r="X496" s="61">
        <f t="shared" si="14"/>
        <v>19200</v>
      </c>
      <c r="AD496" s="61">
        <f t="shared" si="15"/>
        <v>16320</v>
      </c>
    </row>
    <row r="497" spans="1:30">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c r="X497" s="61">
        <f t="shared" si="14"/>
        <v>44000</v>
      </c>
      <c r="AD497" s="61">
        <f t="shared" si="15"/>
        <v>44000</v>
      </c>
    </row>
    <row r="498" spans="1:30">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c r="X498" s="61">
        <f t="shared" si="14"/>
        <v>144000</v>
      </c>
      <c r="AD498" s="61">
        <f t="shared" si="15"/>
        <v>122400</v>
      </c>
    </row>
    <row r="499" spans="1:30">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c r="X499" s="61">
        <f t="shared" si="14"/>
        <v>3600</v>
      </c>
      <c r="AD499" s="61">
        <f t="shared" si="15"/>
        <v>2880</v>
      </c>
    </row>
    <row r="500" spans="1:30">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c r="X500" s="61">
        <f t="shared" si="14"/>
        <v>330000</v>
      </c>
      <c r="AD500" s="61">
        <f t="shared" si="15"/>
        <v>264000</v>
      </c>
    </row>
    <row r="501" spans="1:30">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c r="X501" s="61">
        <f t="shared" si="14"/>
        <v>70000</v>
      </c>
      <c r="AD501" s="61">
        <f t="shared" si="15"/>
        <v>70000</v>
      </c>
    </row>
  </sheetData>
  <mergeCells count="6">
    <mergeCell ref="Z3:AA4"/>
    <mergeCell ref="AB3:AB4"/>
    <mergeCell ref="Z10:AA11"/>
    <mergeCell ref="Z6:AA6"/>
    <mergeCell ref="Z8:AA8"/>
    <mergeCell ref="AB10:AB11"/>
  </mergeCells>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tableParts count="2">
    <tablePart r:id="rId15"/>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topLeftCell="N2" workbookViewId="0">
      <selection activeCell="Y14" sqref="Y14"/>
    </sheetView>
  </sheetViews>
  <sheetFormatPr defaultRowHeight="14.25"/>
  <cols>
    <col min="26" max="26" width="14.25" bestFit="1" customWidth="1"/>
  </cols>
  <sheetData>
    <row r="1" spans="1:26" ht="15">
      <c r="A1" s="1"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c r="S1" s="2" t="s">
        <v>18</v>
      </c>
      <c r="T1" s="2" t="s">
        <v>19</v>
      </c>
      <c r="U1" s="2" t="s">
        <v>20</v>
      </c>
      <c r="V1" s="20" t="s">
        <v>21</v>
      </c>
    </row>
    <row r="2" spans="1:26">
      <c r="A2" s="3" t="s">
        <v>26</v>
      </c>
      <c r="B2" s="4" t="s">
        <v>27</v>
      </c>
      <c r="C2" s="4" t="s">
        <v>28</v>
      </c>
      <c r="D2" s="4" t="s">
        <v>29</v>
      </c>
      <c r="E2" s="4" t="s">
        <v>30</v>
      </c>
      <c r="F2" s="4" t="s">
        <v>31</v>
      </c>
      <c r="G2" s="4" t="s">
        <v>32</v>
      </c>
      <c r="H2" s="4" t="s">
        <v>33</v>
      </c>
      <c r="I2" s="4" t="s">
        <v>34</v>
      </c>
      <c r="J2" s="4" t="s">
        <v>35</v>
      </c>
      <c r="K2" s="4" t="s">
        <v>36</v>
      </c>
      <c r="L2" s="4" t="s">
        <v>37</v>
      </c>
      <c r="M2" s="4">
        <v>4</v>
      </c>
      <c r="N2" s="4">
        <v>2200</v>
      </c>
      <c r="O2" s="15">
        <v>10</v>
      </c>
      <c r="P2" s="4">
        <v>7920</v>
      </c>
      <c r="Q2" s="4">
        <v>4</v>
      </c>
      <c r="R2" s="4" t="s">
        <v>38</v>
      </c>
      <c r="S2" s="4" t="s">
        <v>39</v>
      </c>
      <c r="T2" s="5" t="s">
        <v>40</v>
      </c>
      <c r="U2" s="6" t="s">
        <v>41</v>
      </c>
      <c r="V2" s="21" t="s">
        <v>42</v>
      </c>
    </row>
    <row r="3" spans="1:26" ht="15" customHeight="1">
      <c r="A3" s="7" t="s">
        <v>43</v>
      </c>
      <c r="B3" s="8" t="s">
        <v>27</v>
      </c>
      <c r="C3" s="8" t="s">
        <v>44</v>
      </c>
      <c r="D3" s="8" t="s">
        <v>45</v>
      </c>
      <c r="E3" s="8" t="s">
        <v>46</v>
      </c>
      <c r="F3" s="8" t="s">
        <v>31</v>
      </c>
      <c r="G3" s="8" t="s">
        <v>32</v>
      </c>
      <c r="H3" s="8" t="s">
        <v>47</v>
      </c>
      <c r="I3" s="8" t="s">
        <v>48</v>
      </c>
      <c r="J3" s="8" t="s">
        <v>49</v>
      </c>
      <c r="K3" s="8" t="s">
        <v>50</v>
      </c>
      <c r="L3" s="8" t="s">
        <v>51</v>
      </c>
      <c r="M3" s="8">
        <v>17</v>
      </c>
      <c r="N3" s="8">
        <v>12000</v>
      </c>
      <c r="O3" s="16">
        <v>10</v>
      </c>
      <c r="P3" s="8">
        <v>183600</v>
      </c>
      <c r="Q3" s="8">
        <v>1</v>
      </c>
      <c r="R3" s="8" t="s">
        <v>52</v>
      </c>
      <c r="S3" s="8" t="s">
        <v>53</v>
      </c>
      <c r="T3" s="8" t="s">
        <v>54</v>
      </c>
      <c r="U3" s="9" t="s">
        <v>55</v>
      </c>
      <c r="V3" s="22" t="s">
        <v>42</v>
      </c>
      <c r="X3" s="135" t="s">
        <v>2121</v>
      </c>
      <c r="Y3" s="136"/>
      <c r="Z3" s="139">
        <f>FV(10%/12, 5*12, -50000)</f>
        <v>3871853.6086715083</v>
      </c>
    </row>
    <row r="4" spans="1:26">
      <c r="A4" s="3" t="s">
        <v>56</v>
      </c>
      <c r="B4" s="4" t="s">
        <v>57</v>
      </c>
      <c r="C4" s="4" t="s">
        <v>58</v>
      </c>
      <c r="D4" s="4" t="s">
        <v>59</v>
      </c>
      <c r="E4" s="4" t="s">
        <v>60</v>
      </c>
      <c r="F4" s="4" t="s">
        <v>61</v>
      </c>
      <c r="G4" s="4" t="s">
        <v>32</v>
      </c>
      <c r="H4" s="4" t="s">
        <v>62</v>
      </c>
      <c r="I4" s="4" t="s">
        <v>63</v>
      </c>
      <c r="J4" s="4" t="s">
        <v>35</v>
      </c>
      <c r="K4" s="4" t="s">
        <v>50</v>
      </c>
      <c r="L4" s="4" t="s">
        <v>64</v>
      </c>
      <c r="M4" s="4">
        <v>5</v>
      </c>
      <c r="N4" s="4">
        <v>55000</v>
      </c>
      <c r="O4" s="15">
        <v>5</v>
      </c>
      <c r="P4" s="4">
        <v>261250</v>
      </c>
      <c r="Q4" s="4">
        <v>3</v>
      </c>
      <c r="R4" s="4" t="s">
        <v>52</v>
      </c>
      <c r="S4" s="4" t="s">
        <v>65</v>
      </c>
      <c r="T4" s="4" t="s">
        <v>66</v>
      </c>
      <c r="U4" s="6" t="s">
        <v>67</v>
      </c>
      <c r="V4" s="21" t="s">
        <v>68</v>
      </c>
      <c r="X4" s="137"/>
      <c r="Y4" s="138"/>
      <c r="Z4" s="140"/>
    </row>
    <row r="5" spans="1:26" ht="15">
      <c r="A5" s="7" t="s">
        <v>43</v>
      </c>
      <c r="B5" s="8" t="s">
        <v>27</v>
      </c>
      <c r="C5" s="8" t="s">
        <v>28</v>
      </c>
      <c r="D5" s="8" t="s">
        <v>69</v>
      </c>
      <c r="E5" s="8" t="s">
        <v>70</v>
      </c>
      <c r="F5" s="8" t="s">
        <v>31</v>
      </c>
      <c r="G5" s="8" t="s">
        <v>32</v>
      </c>
      <c r="H5" s="8" t="s">
        <v>71</v>
      </c>
      <c r="I5" s="8" t="s">
        <v>63</v>
      </c>
      <c r="J5" s="8" t="s">
        <v>35</v>
      </c>
      <c r="K5" s="8" t="s">
        <v>36</v>
      </c>
      <c r="L5" s="8" t="s">
        <v>37</v>
      </c>
      <c r="M5" s="8">
        <v>5</v>
      </c>
      <c r="N5" s="8">
        <v>2200</v>
      </c>
      <c r="O5" s="16">
        <v>5</v>
      </c>
      <c r="P5" s="8">
        <v>10450</v>
      </c>
      <c r="Q5" s="8">
        <v>5</v>
      </c>
      <c r="R5" s="8" t="s">
        <v>52</v>
      </c>
      <c r="S5" s="8" t="s">
        <v>65</v>
      </c>
      <c r="T5" s="10" t="s">
        <v>54</v>
      </c>
      <c r="U5" s="9" t="s">
        <v>72</v>
      </c>
      <c r="V5" s="22" t="s">
        <v>73</v>
      </c>
      <c r="X5" s="40"/>
      <c r="Y5" s="29"/>
      <c r="Z5" s="65"/>
    </row>
    <row r="6" spans="1:26">
      <c r="A6" s="3" t="s">
        <v>74</v>
      </c>
      <c r="B6" s="4" t="s">
        <v>75</v>
      </c>
      <c r="C6" s="4" t="s">
        <v>76</v>
      </c>
      <c r="D6" s="4" t="s">
        <v>77</v>
      </c>
      <c r="E6" s="4" t="s">
        <v>78</v>
      </c>
      <c r="F6" s="4" t="s">
        <v>79</v>
      </c>
      <c r="G6" s="4" t="s">
        <v>80</v>
      </c>
      <c r="H6" s="4" t="s">
        <v>81</v>
      </c>
      <c r="I6" s="4" t="s">
        <v>48</v>
      </c>
      <c r="J6" s="4" t="s">
        <v>49</v>
      </c>
      <c r="K6" s="4" t="s">
        <v>50</v>
      </c>
      <c r="L6" s="4" t="s">
        <v>82</v>
      </c>
      <c r="M6" s="4">
        <v>8</v>
      </c>
      <c r="N6" s="4">
        <v>1200</v>
      </c>
      <c r="O6" s="15">
        <v>5</v>
      </c>
      <c r="P6" s="4">
        <v>9120</v>
      </c>
      <c r="Q6" s="4">
        <v>2</v>
      </c>
      <c r="R6" s="4" t="s">
        <v>83</v>
      </c>
      <c r="S6" s="4" t="s">
        <v>65</v>
      </c>
      <c r="T6" s="4" t="s">
        <v>84</v>
      </c>
      <c r="U6" s="6" t="s">
        <v>85</v>
      </c>
      <c r="V6" s="21" t="s">
        <v>68</v>
      </c>
      <c r="X6" s="137" t="s">
        <v>2122</v>
      </c>
      <c r="Y6" s="138"/>
      <c r="Z6" s="141">
        <f>PMT(10%/12, 5*12, 0, 5000000)</f>
        <v>-64568.556889674721</v>
      </c>
    </row>
    <row r="7" spans="1:26">
      <c r="A7" s="7" t="s">
        <v>86</v>
      </c>
      <c r="B7" s="8" t="s">
        <v>87</v>
      </c>
      <c r="C7" s="8" t="s">
        <v>28</v>
      </c>
      <c r="D7" s="8" t="s">
        <v>88</v>
      </c>
      <c r="E7" s="8" t="s">
        <v>89</v>
      </c>
      <c r="F7" s="8" t="s">
        <v>90</v>
      </c>
      <c r="G7" s="8" t="s">
        <v>80</v>
      </c>
      <c r="H7" s="8" t="s">
        <v>91</v>
      </c>
      <c r="I7" s="8" t="s">
        <v>34</v>
      </c>
      <c r="J7" s="8" t="s">
        <v>35</v>
      </c>
      <c r="K7" s="8" t="s">
        <v>36</v>
      </c>
      <c r="L7" s="8" t="s">
        <v>37</v>
      </c>
      <c r="M7" s="8">
        <v>4</v>
      </c>
      <c r="N7" s="8">
        <v>2200</v>
      </c>
      <c r="O7" s="16">
        <v>0</v>
      </c>
      <c r="P7" s="8">
        <v>8800</v>
      </c>
      <c r="Q7" s="8">
        <v>1</v>
      </c>
      <c r="R7" s="8" t="s">
        <v>92</v>
      </c>
      <c r="S7" s="8" t="s">
        <v>39</v>
      </c>
      <c r="T7" s="8" t="s">
        <v>93</v>
      </c>
      <c r="U7" s="9" t="s">
        <v>94</v>
      </c>
      <c r="V7" s="22" t="s">
        <v>42</v>
      </c>
      <c r="X7" s="137"/>
      <c r="Y7" s="138"/>
      <c r="Z7" s="141"/>
    </row>
    <row r="8" spans="1:26" ht="15">
      <c r="A8" s="3" t="s">
        <v>95</v>
      </c>
      <c r="B8" s="4" t="s">
        <v>27</v>
      </c>
      <c r="C8" s="4" t="s">
        <v>96</v>
      </c>
      <c r="D8" s="4" t="s">
        <v>97</v>
      </c>
      <c r="E8" s="4" t="s">
        <v>98</v>
      </c>
      <c r="F8" s="4" t="s">
        <v>99</v>
      </c>
      <c r="G8" s="4" t="s">
        <v>32</v>
      </c>
      <c r="H8" s="4" t="s">
        <v>100</v>
      </c>
      <c r="I8" s="4" t="s">
        <v>34</v>
      </c>
      <c r="J8" s="4" t="s">
        <v>35</v>
      </c>
      <c r="K8" s="4" t="s">
        <v>36</v>
      </c>
      <c r="L8" s="4" t="s">
        <v>101</v>
      </c>
      <c r="M8" s="4">
        <v>2</v>
      </c>
      <c r="N8" s="4">
        <v>3500</v>
      </c>
      <c r="O8" s="15">
        <v>5</v>
      </c>
      <c r="P8" s="4">
        <v>6650</v>
      </c>
      <c r="Q8" s="4">
        <v>1</v>
      </c>
      <c r="R8" s="4" t="s">
        <v>92</v>
      </c>
      <c r="S8" s="4" t="s">
        <v>39</v>
      </c>
      <c r="T8" s="4" t="s">
        <v>54</v>
      </c>
      <c r="U8" s="6" t="s">
        <v>102</v>
      </c>
      <c r="V8" s="21" t="s">
        <v>42</v>
      </c>
      <c r="X8" s="40"/>
      <c r="Y8" s="29"/>
      <c r="Z8" s="65"/>
    </row>
    <row r="9" spans="1:26">
      <c r="A9" s="7" t="s">
        <v>103</v>
      </c>
      <c r="B9" s="8" t="s">
        <v>104</v>
      </c>
      <c r="C9" s="8" t="s">
        <v>44</v>
      </c>
      <c r="D9" s="8" t="s">
        <v>105</v>
      </c>
      <c r="E9" s="8" t="s">
        <v>106</v>
      </c>
      <c r="F9" s="8" t="s">
        <v>107</v>
      </c>
      <c r="G9" s="8" t="s">
        <v>32</v>
      </c>
      <c r="H9" s="8" t="s">
        <v>108</v>
      </c>
      <c r="I9" s="8" t="s">
        <v>109</v>
      </c>
      <c r="J9" s="8" t="s">
        <v>110</v>
      </c>
      <c r="K9" s="8" t="s">
        <v>50</v>
      </c>
      <c r="L9" s="8" t="s">
        <v>51</v>
      </c>
      <c r="M9" s="8">
        <v>14</v>
      </c>
      <c r="N9" s="8">
        <v>12000</v>
      </c>
      <c r="O9" s="16">
        <v>15</v>
      </c>
      <c r="P9" s="8">
        <v>142800</v>
      </c>
      <c r="Q9" s="8">
        <v>4</v>
      </c>
      <c r="R9" s="8" t="s">
        <v>52</v>
      </c>
      <c r="S9" s="8" t="s">
        <v>39</v>
      </c>
      <c r="T9" s="10" t="s">
        <v>111</v>
      </c>
      <c r="U9" s="9" t="s">
        <v>112</v>
      </c>
      <c r="V9" s="22" t="s">
        <v>42</v>
      </c>
      <c r="X9" s="142" t="s">
        <v>2123</v>
      </c>
      <c r="Y9" s="143"/>
      <c r="Z9" s="146">
        <f>PMT(9%/12, 5*12, 1000000)</f>
        <v>-20758.355226354008</v>
      </c>
    </row>
    <row r="10" spans="1:26">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15">
        <v>15</v>
      </c>
      <c r="P10" s="4">
        <v>40800</v>
      </c>
      <c r="Q10" s="4">
        <v>4</v>
      </c>
      <c r="R10" s="4" t="s">
        <v>92</v>
      </c>
      <c r="S10" s="4" t="s">
        <v>119</v>
      </c>
      <c r="T10" s="4" t="s">
        <v>54</v>
      </c>
      <c r="U10" s="6" t="s">
        <v>120</v>
      </c>
      <c r="V10" s="21" t="s">
        <v>42</v>
      </c>
      <c r="X10" s="144"/>
      <c r="Y10" s="145"/>
      <c r="Z10" s="147"/>
    </row>
    <row r="11" spans="1:26">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16">
        <v>0</v>
      </c>
      <c r="P11" s="8">
        <v>360</v>
      </c>
      <c r="Q11" s="8">
        <v>4</v>
      </c>
      <c r="R11" s="8" t="s">
        <v>83</v>
      </c>
      <c r="S11" s="8" t="s">
        <v>119</v>
      </c>
      <c r="T11" s="10" t="s">
        <v>128</v>
      </c>
      <c r="U11" s="9" t="s">
        <v>129</v>
      </c>
      <c r="V11" s="22" t="s">
        <v>42</v>
      </c>
    </row>
    <row r="12" spans="1:26">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15">
        <v>0</v>
      </c>
      <c r="P12" s="4">
        <v>35200</v>
      </c>
      <c r="Q12" s="4">
        <v>2</v>
      </c>
      <c r="R12" s="4" t="s">
        <v>83</v>
      </c>
      <c r="S12" s="4" t="s">
        <v>53</v>
      </c>
      <c r="T12" s="4" t="s">
        <v>136</v>
      </c>
      <c r="U12" s="6" t="s">
        <v>137</v>
      </c>
      <c r="V12" s="21" t="s">
        <v>68</v>
      </c>
    </row>
    <row r="13" spans="1:26">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16">
        <v>5</v>
      </c>
      <c r="P13" s="8">
        <v>33250</v>
      </c>
      <c r="Q13" s="8">
        <v>5</v>
      </c>
      <c r="R13" s="8" t="s">
        <v>83</v>
      </c>
      <c r="S13" s="8" t="s">
        <v>65</v>
      </c>
      <c r="T13" s="8" t="s">
        <v>54</v>
      </c>
      <c r="U13" s="9" t="s">
        <v>143</v>
      </c>
      <c r="V13" s="22" t="s">
        <v>73</v>
      </c>
    </row>
    <row r="14" spans="1:26">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15">
        <v>10</v>
      </c>
      <c r="P14" s="4">
        <v>29700</v>
      </c>
      <c r="Q14" s="4">
        <v>1</v>
      </c>
      <c r="R14" s="4" t="s">
        <v>92</v>
      </c>
      <c r="S14" s="4" t="s">
        <v>119</v>
      </c>
      <c r="T14" s="4" t="s">
        <v>148</v>
      </c>
      <c r="U14" s="6" t="s">
        <v>149</v>
      </c>
      <c r="V14" s="21" t="s">
        <v>68</v>
      </c>
    </row>
    <row r="15" spans="1:26">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16">
        <v>5</v>
      </c>
      <c r="P15" s="8">
        <v>35530</v>
      </c>
      <c r="Q15" s="8">
        <v>1</v>
      </c>
      <c r="R15" s="8" t="s">
        <v>38</v>
      </c>
      <c r="S15" s="8" t="s">
        <v>155</v>
      </c>
      <c r="T15" s="10" t="s">
        <v>156</v>
      </c>
      <c r="U15" s="9" t="s">
        <v>157</v>
      </c>
      <c r="V15" s="22" t="s">
        <v>42</v>
      </c>
    </row>
    <row r="16" spans="1:26">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15">
        <v>15</v>
      </c>
      <c r="P16" s="4">
        <v>44625</v>
      </c>
      <c r="Q16" s="4">
        <v>2</v>
      </c>
      <c r="R16" s="4" t="s">
        <v>38</v>
      </c>
      <c r="S16" s="4" t="s">
        <v>119</v>
      </c>
      <c r="T16" s="5" t="s">
        <v>54</v>
      </c>
      <c r="U16" s="6" t="s">
        <v>163</v>
      </c>
      <c r="V16" s="21" t="s">
        <v>73</v>
      </c>
    </row>
    <row r="17" spans="1:22">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16">
        <v>5</v>
      </c>
      <c r="P17" s="8">
        <v>3420</v>
      </c>
      <c r="Q17" s="8">
        <v>5</v>
      </c>
      <c r="R17" s="8" t="s">
        <v>92</v>
      </c>
      <c r="S17" s="8" t="s">
        <v>39</v>
      </c>
      <c r="T17" s="8" t="s">
        <v>169</v>
      </c>
      <c r="U17" s="9" t="s">
        <v>170</v>
      </c>
      <c r="V17" s="22" t="s">
        <v>42</v>
      </c>
    </row>
    <row r="18" spans="1:22">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15">
        <v>20</v>
      </c>
      <c r="P18" s="4">
        <v>88400</v>
      </c>
      <c r="Q18" s="4">
        <v>4</v>
      </c>
      <c r="R18" s="4" t="s">
        <v>83</v>
      </c>
      <c r="S18" s="4" t="s">
        <v>53</v>
      </c>
      <c r="T18" s="4" t="s">
        <v>179</v>
      </c>
      <c r="U18" s="6" t="s">
        <v>180</v>
      </c>
      <c r="V18" s="21" t="s">
        <v>68</v>
      </c>
    </row>
    <row r="19" spans="1:22">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16">
        <v>20</v>
      </c>
      <c r="P19" s="8">
        <v>27200</v>
      </c>
      <c r="Q19" s="8">
        <v>5</v>
      </c>
      <c r="R19" s="8" t="s">
        <v>83</v>
      </c>
      <c r="S19" s="8" t="s">
        <v>65</v>
      </c>
      <c r="T19" s="8" t="s">
        <v>93</v>
      </c>
      <c r="U19" s="9" t="s">
        <v>186</v>
      </c>
      <c r="V19" s="22" t="s">
        <v>68</v>
      </c>
    </row>
    <row r="20" spans="1:22">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15">
        <v>5</v>
      </c>
      <c r="P20" s="4">
        <v>5985</v>
      </c>
      <c r="Q20" s="4">
        <v>3</v>
      </c>
      <c r="R20" s="4" t="s">
        <v>92</v>
      </c>
      <c r="S20" s="4" t="s">
        <v>39</v>
      </c>
      <c r="T20" s="5" t="s">
        <v>194</v>
      </c>
      <c r="U20" s="6" t="s">
        <v>195</v>
      </c>
      <c r="V20" s="21" t="s">
        <v>68</v>
      </c>
    </row>
    <row r="21" spans="1:22">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16">
        <v>20</v>
      </c>
      <c r="P21" s="8">
        <v>352000</v>
      </c>
      <c r="Q21" s="8">
        <v>1</v>
      </c>
      <c r="R21" s="8" t="s">
        <v>38</v>
      </c>
      <c r="S21" s="8" t="s">
        <v>155</v>
      </c>
      <c r="T21" s="8" t="s">
        <v>54</v>
      </c>
      <c r="U21" s="9" t="s">
        <v>200</v>
      </c>
      <c r="V21" s="22" t="s">
        <v>42</v>
      </c>
    </row>
    <row r="22" spans="1:22">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15">
        <v>20</v>
      </c>
      <c r="P22" s="4">
        <v>5600</v>
      </c>
      <c r="Q22" s="4">
        <v>4</v>
      </c>
      <c r="R22" s="4" t="s">
        <v>83</v>
      </c>
      <c r="S22" s="4" t="s">
        <v>65</v>
      </c>
      <c r="T22" s="4" t="s">
        <v>136</v>
      </c>
      <c r="U22" s="6" t="s">
        <v>207</v>
      </c>
      <c r="V22" s="21" t="s">
        <v>73</v>
      </c>
    </row>
    <row r="23" spans="1:22">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16">
        <v>5</v>
      </c>
      <c r="P23" s="8">
        <v>3325</v>
      </c>
      <c r="Q23" s="8">
        <v>3</v>
      </c>
      <c r="R23" s="8" t="s">
        <v>92</v>
      </c>
      <c r="S23" s="8" t="s">
        <v>119</v>
      </c>
      <c r="T23" s="8" t="s">
        <v>54</v>
      </c>
      <c r="U23" s="9" t="s">
        <v>212</v>
      </c>
      <c r="V23" s="22" t="s">
        <v>73</v>
      </c>
    </row>
    <row r="24" spans="1:22">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15">
        <v>15</v>
      </c>
      <c r="P24" s="4">
        <v>11305</v>
      </c>
      <c r="Q24" s="4">
        <v>3</v>
      </c>
      <c r="R24" s="4" t="s">
        <v>52</v>
      </c>
      <c r="S24" s="4" t="s">
        <v>155</v>
      </c>
      <c r="T24" s="4" t="s">
        <v>148</v>
      </c>
      <c r="U24" s="6" t="s">
        <v>217</v>
      </c>
      <c r="V24" s="21" t="s">
        <v>68</v>
      </c>
    </row>
    <row r="25" spans="1:22">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16">
        <v>0</v>
      </c>
      <c r="P25" s="8">
        <v>660000</v>
      </c>
      <c r="Q25" s="8">
        <v>1</v>
      </c>
      <c r="R25" s="8" t="s">
        <v>83</v>
      </c>
      <c r="S25" s="8" t="s">
        <v>53</v>
      </c>
      <c r="T25" s="8" t="s">
        <v>84</v>
      </c>
      <c r="U25" s="9" t="s">
        <v>223</v>
      </c>
      <c r="V25" s="22" t="s">
        <v>68</v>
      </c>
    </row>
    <row r="26" spans="1:22">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15">
        <v>5</v>
      </c>
      <c r="P26" s="4">
        <v>19</v>
      </c>
      <c r="Q26" s="4">
        <v>5</v>
      </c>
      <c r="R26" s="4" t="s">
        <v>83</v>
      </c>
      <c r="S26" s="4" t="s">
        <v>39</v>
      </c>
      <c r="T26" s="4" t="s">
        <v>232</v>
      </c>
      <c r="U26" s="6" t="s">
        <v>233</v>
      </c>
      <c r="V26" s="21" t="s">
        <v>73</v>
      </c>
    </row>
    <row r="27" spans="1:22">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16">
        <v>15</v>
      </c>
      <c r="P27" s="8">
        <v>34</v>
      </c>
      <c r="Q27" s="8">
        <v>1</v>
      </c>
      <c r="R27" s="8" t="s">
        <v>92</v>
      </c>
      <c r="S27" s="8" t="s">
        <v>39</v>
      </c>
      <c r="T27" s="8" t="s">
        <v>93</v>
      </c>
      <c r="U27" s="9" t="s">
        <v>238</v>
      </c>
      <c r="V27" s="22" t="s">
        <v>68</v>
      </c>
    </row>
    <row r="28" spans="1:22">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15">
        <v>15</v>
      </c>
      <c r="P28" s="4">
        <v>35700</v>
      </c>
      <c r="Q28" s="4">
        <v>4</v>
      </c>
      <c r="R28" s="4" t="s">
        <v>38</v>
      </c>
      <c r="S28" s="4" t="s">
        <v>53</v>
      </c>
      <c r="T28" s="4" t="s">
        <v>84</v>
      </c>
      <c r="U28" s="6" t="s">
        <v>243</v>
      </c>
      <c r="V28" s="21" t="s">
        <v>73</v>
      </c>
    </row>
    <row r="29" spans="1:22">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16">
        <v>0</v>
      </c>
      <c r="P29" s="8">
        <v>13200</v>
      </c>
      <c r="Q29" s="8">
        <v>2</v>
      </c>
      <c r="R29" s="8" t="s">
        <v>92</v>
      </c>
      <c r="S29" s="8" t="s">
        <v>155</v>
      </c>
      <c r="T29" s="8" t="s">
        <v>54</v>
      </c>
      <c r="U29" s="9" t="s">
        <v>248</v>
      </c>
      <c r="V29" s="22" t="s">
        <v>42</v>
      </c>
    </row>
    <row r="30" spans="1:22">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15">
        <v>65</v>
      </c>
      <c r="P30" s="4">
        <v>51000</v>
      </c>
      <c r="Q30" s="4">
        <v>1</v>
      </c>
      <c r="R30" s="4" t="s">
        <v>83</v>
      </c>
      <c r="S30" s="4" t="s">
        <v>65</v>
      </c>
      <c r="T30" s="4" t="s">
        <v>136</v>
      </c>
      <c r="U30" s="6" t="s">
        <v>253</v>
      </c>
      <c r="V30" s="21" t="s">
        <v>42</v>
      </c>
    </row>
    <row r="31" spans="1:22">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16">
        <v>5</v>
      </c>
      <c r="P31" s="8">
        <v>114</v>
      </c>
      <c r="Q31" s="8">
        <v>3</v>
      </c>
      <c r="R31" s="8" t="s">
        <v>38</v>
      </c>
      <c r="S31" s="8" t="s">
        <v>155</v>
      </c>
      <c r="T31" s="8" t="s">
        <v>260</v>
      </c>
      <c r="U31" s="9" t="s">
        <v>261</v>
      </c>
      <c r="V31" s="22" t="s">
        <v>73</v>
      </c>
    </row>
    <row r="32" spans="1:22">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15">
        <v>20</v>
      </c>
      <c r="P32" s="4">
        <v>684</v>
      </c>
      <c r="Q32" s="4">
        <v>4</v>
      </c>
      <c r="R32" s="4" t="s">
        <v>52</v>
      </c>
      <c r="S32" s="4" t="s">
        <v>65</v>
      </c>
      <c r="T32" s="4" t="s">
        <v>54</v>
      </c>
      <c r="U32" s="6" t="s">
        <v>268</v>
      </c>
      <c r="V32" s="21" t="s">
        <v>73</v>
      </c>
    </row>
    <row r="33" spans="1:22">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16">
        <v>0</v>
      </c>
      <c r="P33" s="8">
        <v>132000</v>
      </c>
      <c r="Q33" s="8">
        <v>3</v>
      </c>
      <c r="R33" s="8" t="s">
        <v>92</v>
      </c>
      <c r="S33" s="8" t="s">
        <v>39</v>
      </c>
      <c r="T33" s="8" t="s">
        <v>148</v>
      </c>
      <c r="U33" s="9" t="s">
        <v>274</v>
      </c>
      <c r="V33" s="22" t="s">
        <v>68</v>
      </c>
    </row>
    <row r="34" spans="1:22">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15">
        <v>5</v>
      </c>
      <c r="P34" s="4">
        <v>41800</v>
      </c>
      <c r="Q34" s="4">
        <v>1</v>
      </c>
      <c r="R34" s="4" t="s">
        <v>38</v>
      </c>
      <c r="S34" s="4" t="s">
        <v>53</v>
      </c>
      <c r="T34" s="4" t="s">
        <v>260</v>
      </c>
      <c r="U34" s="6" t="s">
        <v>278</v>
      </c>
      <c r="V34" s="21" t="s">
        <v>68</v>
      </c>
    </row>
    <row r="35" spans="1:22">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16">
        <v>0</v>
      </c>
      <c r="P35" s="8">
        <v>60</v>
      </c>
      <c r="Q35" s="8">
        <v>2</v>
      </c>
      <c r="R35" s="8" t="s">
        <v>83</v>
      </c>
      <c r="S35" s="8" t="s">
        <v>39</v>
      </c>
      <c r="T35" s="8" t="s">
        <v>282</v>
      </c>
      <c r="U35" s="9" t="s">
        <v>283</v>
      </c>
      <c r="V35" s="22" t="s">
        <v>73</v>
      </c>
    </row>
    <row r="36" spans="1:22">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15">
        <v>20</v>
      </c>
      <c r="P36" s="4">
        <v>648</v>
      </c>
      <c r="Q36" s="4">
        <v>4</v>
      </c>
      <c r="R36" s="4" t="s">
        <v>52</v>
      </c>
      <c r="S36" s="4" t="s">
        <v>39</v>
      </c>
      <c r="T36" s="4" t="s">
        <v>136</v>
      </c>
      <c r="U36" s="6" t="s">
        <v>288</v>
      </c>
      <c r="V36" s="21" t="s">
        <v>73</v>
      </c>
    </row>
    <row r="37" spans="1:22">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16">
        <v>20</v>
      </c>
      <c r="P37" s="8">
        <v>3840</v>
      </c>
      <c r="Q37" s="8">
        <v>3</v>
      </c>
      <c r="R37" s="8" t="s">
        <v>52</v>
      </c>
      <c r="S37" s="8" t="s">
        <v>65</v>
      </c>
      <c r="T37" s="8" t="s">
        <v>136</v>
      </c>
      <c r="U37" s="9" t="s">
        <v>293</v>
      </c>
      <c r="V37" s="22" t="s">
        <v>42</v>
      </c>
    </row>
    <row r="38" spans="1:22">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15">
        <v>0</v>
      </c>
      <c r="P38" s="4">
        <v>550000</v>
      </c>
      <c r="Q38" s="4">
        <v>1</v>
      </c>
      <c r="R38" s="4" t="s">
        <v>92</v>
      </c>
      <c r="S38" s="4" t="s">
        <v>53</v>
      </c>
      <c r="T38" s="4" t="s">
        <v>84</v>
      </c>
      <c r="U38" s="6" t="s">
        <v>300</v>
      </c>
      <c r="V38" s="21" t="s">
        <v>73</v>
      </c>
    </row>
    <row r="39" spans="1:22">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16">
        <v>10</v>
      </c>
      <c r="P39" s="8">
        <v>63000</v>
      </c>
      <c r="Q39" s="8">
        <v>3</v>
      </c>
      <c r="R39" s="8" t="s">
        <v>83</v>
      </c>
      <c r="S39" s="8" t="s">
        <v>53</v>
      </c>
      <c r="T39" s="8" t="s">
        <v>260</v>
      </c>
      <c r="U39" s="9" t="s">
        <v>304</v>
      </c>
      <c r="V39" s="22" t="s">
        <v>73</v>
      </c>
    </row>
    <row r="40" spans="1:22">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15">
        <v>0</v>
      </c>
      <c r="P40" s="4">
        <v>100</v>
      </c>
      <c r="Q40" s="4">
        <v>1</v>
      </c>
      <c r="R40" s="4" t="s">
        <v>38</v>
      </c>
      <c r="S40" s="4" t="s">
        <v>53</v>
      </c>
      <c r="T40" s="4" t="s">
        <v>54</v>
      </c>
      <c r="U40" s="6" t="s">
        <v>310</v>
      </c>
      <c r="V40" s="21" t="s">
        <v>73</v>
      </c>
    </row>
    <row r="41" spans="1:22">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16">
        <v>0</v>
      </c>
      <c r="P41" s="8">
        <v>170000</v>
      </c>
      <c r="Q41" s="8">
        <v>1</v>
      </c>
      <c r="R41" s="8" t="s">
        <v>92</v>
      </c>
      <c r="S41" s="8" t="s">
        <v>119</v>
      </c>
      <c r="T41" s="8" t="s">
        <v>66</v>
      </c>
      <c r="U41" s="9" t="s">
        <v>315</v>
      </c>
      <c r="V41" s="22" t="s">
        <v>73</v>
      </c>
    </row>
    <row r="42" spans="1:22">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15">
        <v>15</v>
      </c>
      <c r="P42" s="4">
        <v>408</v>
      </c>
      <c r="Q42" s="4">
        <v>5</v>
      </c>
      <c r="R42" s="4" t="s">
        <v>92</v>
      </c>
      <c r="S42" s="4" t="s">
        <v>53</v>
      </c>
      <c r="T42" s="4" t="s">
        <v>93</v>
      </c>
      <c r="U42" s="6" t="s">
        <v>320</v>
      </c>
      <c r="V42" s="21" t="s">
        <v>68</v>
      </c>
    </row>
    <row r="43" spans="1:22">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16">
        <v>5</v>
      </c>
      <c r="P43" s="8">
        <v>26600</v>
      </c>
      <c r="Q43" s="8">
        <v>1</v>
      </c>
      <c r="R43" s="8" t="s">
        <v>83</v>
      </c>
      <c r="S43" s="8" t="s">
        <v>119</v>
      </c>
      <c r="T43" s="8" t="s">
        <v>66</v>
      </c>
      <c r="U43" s="9" t="s">
        <v>324</v>
      </c>
      <c r="V43" s="22" t="s">
        <v>68</v>
      </c>
    </row>
    <row r="44" spans="1:22">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15">
        <v>0</v>
      </c>
      <c r="P44" s="4">
        <v>8500</v>
      </c>
      <c r="Q44" s="4">
        <v>2</v>
      </c>
      <c r="R44" s="4" t="s">
        <v>83</v>
      </c>
      <c r="S44" s="4" t="s">
        <v>119</v>
      </c>
      <c r="T44" s="4" t="s">
        <v>84</v>
      </c>
      <c r="U44" s="6" t="s">
        <v>329</v>
      </c>
      <c r="V44" s="21" t="s">
        <v>68</v>
      </c>
    </row>
    <row r="45" spans="1:22">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16">
        <v>15</v>
      </c>
      <c r="P45" s="8">
        <v>306</v>
      </c>
      <c r="Q45" s="8">
        <v>2</v>
      </c>
      <c r="R45" s="8" t="s">
        <v>83</v>
      </c>
      <c r="S45" s="8" t="s">
        <v>65</v>
      </c>
      <c r="T45" s="8" t="s">
        <v>336</v>
      </c>
      <c r="U45" s="9" t="s">
        <v>337</v>
      </c>
      <c r="V45" s="22" t="s">
        <v>42</v>
      </c>
    </row>
    <row r="46" spans="1:22">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15">
        <v>5</v>
      </c>
      <c r="P46" s="4">
        <v>33440</v>
      </c>
      <c r="Q46" s="4">
        <v>5</v>
      </c>
      <c r="R46" s="4" t="s">
        <v>83</v>
      </c>
      <c r="S46" s="4" t="s">
        <v>65</v>
      </c>
      <c r="T46" s="4" t="s">
        <v>260</v>
      </c>
      <c r="U46" s="6" t="s">
        <v>342</v>
      </c>
      <c r="V46" s="21" t="s">
        <v>73</v>
      </c>
    </row>
    <row r="47" spans="1:22">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16">
        <v>20</v>
      </c>
      <c r="P47" s="8">
        <v>53200</v>
      </c>
      <c r="Q47" s="8">
        <v>3</v>
      </c>
      <c r="R47" s="8" t="s">
        <v>38</v>
      </c>
      <c r="S47" s="8" t="s">
        <v>155</v>
      </c>
      <c r="T47" s="8" t="s">
        <v>84</v>
      </c>
      <c r="U47" s="9" t="s">
        <v>347</v>
      </c>
      <c r="V47" s="22" t="s">
        <v>73</v>
      </c>
    </row>
    <row r="48" spans="1:22">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15">
        <v>15</v>
      </c>
      <c r="P48" s="4">
        <v>8925</v>
      </c>
      <c r="Q48" s="4">
        <v>4</v>
      </c>
      <c r="R48" s="4" t="s">
        <v>92</v>
      </c>
      <c r="S48" s="4" t="s">
        <v>119</v>
      </c>
      <c r="T48" s="4" t="s">
        <v>352</v>
      </c>
      <c r="U48" s="6" t="s">
        <v>353</v>
      </c>
      <c r="V48" s="21" t="s">
        <v>42</v>
      </c>
    </row>
    <row r="49" spans="1:22">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16">
        <v>20</v>
      </c>
      <c r="P49" s="8">
        <v>10640</v>
      </c>
      <c r="Q49" s="8">
        <v>1</v>
      </c>
      <c r="R49" s="8" t="s">
        <v>38</v>
      </c>
      <c r="S49" s="8" t="s">
        <v>119</v>
      </c>
      <c r="T49" s="8" t="s">
        <v>260</v>
      </c>
      <c r="U49" s="9" t="s">
        <v>358</v>
      </c>
      <c r="V49" s="22" t="s">
        <v>42</v>
      </c>
    </row>
    <row r="50" spans="1:22">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15">
        <v>0</v>
      </c>
      <c r="P50" s="4">
        <v>228000</v>
      </c>
      <c r="Q50" s="4">
        <v>1</v>
      </c>
      <c r="R50" s="4" t="s">
        <v>52</v>
      </c>
      <c r="S50" s="4" t="s">
        <v>65</v>
      </c>
      <c r="T50" s="4" t="s">
        <v>84</v>
      </c>
      <c r="U50" s="6" t="s">
        <v>362</v>
      </c>
      <c r="V50" s="21" t="s">
        <v>42</v>
      </c>
    </row>
    <row r="51" spans="1:22">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16">
        <v>5</v>
      </c>
      <c r="P51" s="8">
        <v>6840</v>
      </c>
      <c r="Q51" s="8">
        <v>2</v>
      </c>
      <c r="R51" s="8" t="s">
        <v>38</v>
      </c>
      <c r="S51" s="8" t="s">
        <v>39</v>
      </c>
      <c r="T51" s="8" t="s">
        <v>179</v>
      </c>
      <c r="U51" s="9" t="s">
        <v>367</v>
      </c>
      <c r="V51" s="22" t="s">
        <v>68</v>
      </c>
    </row>
    <row r="52" spans="1:22">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15">
        <v>15</v>
      </c>
      <c r="P52" s="4">
        <v>13090</v>
      </c>
      <c r="Q52" s="4">
        <v>1</v>
      </c>
      <c r="R52" s="4" t="s">
        <v>92</v>
      </c>
      <c r="S52" s="4" t="s">
        <v>65</v>
      </c>
      <c r="T52" s="4" t="s">
        <v>66</v>
      </c>
      <c r="U52" s="6" t="s">
        <v>373</v>
      </c>
      <c r="V52" s="21" t="s">
        <v>42</v>
      </c>
    </row>
    <row r="53" spans="1:22">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16">
        <v>10</v>
      </c>
      <c r="P53" s="8">
        <v>432</v>
      </c>
      <c r="Q53" s="8">
        <v>5</v>
      </c>
      <c r="R53" s="8" t="s">
        <v>83</v>
      </c>
      <c r="S53" s="8" t="s">
        <v>65</v>
      </c>
      <c r="T53" s="8" t="s">
        <v>148</v>
      </c>
      <c r="U53" s="9" t="s">
        <v>378</v>
      </c>
      <c r="V53" s="22" t="s">
        <v>73</v>
      </c>
    </row>
    <row r="54" spans="1:22">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15">
        <v>5</v>
      </c>
      <c r="P54" s="4">
        <v>627000</v>
      </c>
      <c r="Q54" s="4">
        <v>2</v>
      </c>
      <c r="R54" s="4" t="s">
        <v>92</v>
      </c>
      <c r="S54" s="4" t="s">
        <v>53</v>
      </c>
      <c r="T54" s="4" t="s">
        <v>232</v>
      </c>
      <c r="U54" s="6" t="s">
        <v>383</v>
      </c>
      <c r="V54" s="21" t="s">
        <v>68</v>
      </c>
    </row>
    <row r="55" spans="1:22">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16">
        <v>0</v>
      </c>
      <c r="P55" s="8">
        <v>2100</v>
      </c>
      <c r="Q55" s="8">
        <v>3</v>
      </c>
      <c r="R55" s="8" t="s">
        <v>83</v>
      </c>
      <c r="S55" s="8" t="s">
        <v>155</v>
      </c>
      <c r="T55" s="8" t="s">
        <v>54</v>
      </c>
      <c r="U55" s="9" t="s">
        <v>388</v>
      </c>
      <c r="V55" s="22" t="s">
        <v>73</v>
      </c>
    </row>
    <row r="56" spans="1:22">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15">
        <v>15</v>
      </c>
      <c r="P56" s="4">
        <v>969</v>
      </c>
      <c r="Q56" s="4">
        <v>4</v>
      </c>
      <c r="R56" s="4" t="s">
        <v>83</v>
      </c>
      <c r="S56" s="4" t="s">
        <v>53</v>
      </c>
      <c r="T56" s="4" t="s">
        <v>136</v>
      </c>
      <c r="U56" s="6" t="s">
        <v>394</v>
      </c>
      <c r="V56" s="21" t="s">
        <v>73</v>
      </c>
    </row>
    <row r="57" spans="1:22">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16">
        <v>20</v>
      </c>
      <c r="P57" s="8">
        <v>432</v>
      </c>
      <c r="Q57" s="8">
        <v>1</v>
      </c>
      <c r="R57" s="8" t="s">
        <v>52</v>
      </c>
      <c r="S57" s="8" t="s">
        <v>119</v>
      </c>
      <c r="T57" s="8" t="s">
        <v>336</v>
      </c>
      <c r="U57" s="9" t="s">
        <v>400</v>
      </c>
      <c r="V57" s="22" t="s">
        <v>68</v>
      </c>
    </row>
    <row r="58" spans="1:22">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15">
        <v>0</v>
      </c>
      <c r="P58" s="4">
        <v>4200</v>
      </c>
      <c r="Q58" s="4">
        <v>4</v>
      </c>
      <c r="R58" s="4" t="s">
        <v>92</v>
      </c>
      <c r="S58" s="4" t="s">
        <v>53</v>
      </c>
      <c r="T58" s="4" t="s">
        <v>405</v>
      </c>
      <c r="U58" s="6" t="s">
        <v>406</v>
      </c>
      <c r="V58" s="21" t="s">
        <v>73</v>
      </c>
    </row>
    <row r="59" spans="1:22">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16">
        <v>5</v>
      </c>
      <c r="P59" s="8">
        <v>769.5</v>
      </c>
      <c r="Q59" s="8">
        <v>1</v>
      </c>
      <c r="R59" s="8" t="s">
        <v>83</v>
      </c>
      <c r="S59" s="8" t="s">
        <v>65</v>
      </c>
      <c r="T59" s="8" t="s">
        <v>136</v>
      </c>
      <c r="U59" s="9" t="s">
        <v>410</v>
      </c>
      <c r="V59" s="22" t="s">
        <v>68</v>
      </c>
    </row>
    <row r="60" spans="1:22">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15">
        <v>5</v>
      </c>
      <c r="P60" s="4">
        <v>152</v>
      </c>
      <c r="Q60" s="4">
        <v>1</v>
      </c>
      <c r="R60" s="4" t="s">
        <v>83</v>
      </c>
      <c r="S60" s="4" t="s">
        <v>39</v>
      </c>
      <c r="T60" s="4" t="s">
        <v>93</v>
      </c>
      <c r="U60" s="6" t="s">
        <v>414</v>
      </c>
      <c r="V60" s="21" t="s">
        <v>415</v>
      </c>
    </row>
    <row r="61" spans="1:22">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16">
        <v>10</v>
      </c>
      <c r="P61" s="8">
        <v>5040</v>
      </c>
      <c r="Q61" s="8">
        <v>1</v>
      </c>
      <c r="R61" s="8" t="s">
        <v>52</v>
      </c>
      <c r="S61" s="8" t="s">
        <v>65</v>
      </c>
      <c r="T61" s="10" t="s">
        <v>420</v>
      </c>
      <c r="U61" s="9" t="s">
        <v>421</v>
      </c>
      <c r="V61" s="22" t="s">
        <v>73</v>
      </c>
    </row>
    <row r="62" spans="1:22">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15">
        <v>15</v>
      </c>
      <c r="P62" s="4">
        <v>119</v>
      </c>
      <c r="Q62" s="4">
        <v>5</v>
      </c>
      <c r="R62" s="4" t="s">
        <v>83</v>
      </c>
      <c r="S62" s="4" t="s">
        <v>53</v>
      </c>
      <c r="T62" s="4" t="s">
        <v>54</v>
      </c>
      <c r="U62" s="6" t="s">
        <v>424</v>
      </c>
      <c r="V62" s="21" t="s">
        <v>42</v>
      </c>
    </row>
    <row r="63" spans="1:22">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16">
        <v>0</v>
      </c>
      <c r="P63" s="8">
        <v>320</v>
      </c>
      <c r="Q63" s="8">
        <v>5</v>
      </c>
      <c r="R63" s="8" t="s">
        <v>52</v>
      </c>
      <c r="S63" s="8" t="s">
        <v>65</v>
      </c>
      <c r="T63" s="8" t="s">
        <v>148</v>
      </c>
      <c r="U63" s="9" t="s">
        <v>428</v>
      </c>
      <c r="V63" s="22" t="s">
        <v>68</v>
      </c>
    </row>
    <row r="64" spans="1:22">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15">
        <v>0</v>
      </c>
      <c r="P64" s="4">
        <v>675</v>
      </c>
      <c r="Q64" s="4">
        <v>4</v>
      </c>
      <c r="R64" s="4" t="s">
        <v>38</v>
      </c>
      <c r="S64" s="4" t="s">
        <v>65</v>
      </c>
      <c r="T64" s="4" t="s">
        <v>66</v>
      </c>
      <c r="U64" s="6" t="s">
        <v>433</v>
      </c>
      <c r="V64" s="21" t="s">
        <v>73</v>
      </c>
    </row>
    <row r="65" spans="1:22">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16">
        <v>10</v>
      </c>
      <c r="P65" s="8">
        <v>9450</v>
      </c>
      <c r="Q65" s="8">
        <v>3</v>
      </c>
      <c r="R65" s="8" t="s">
        <v>52</v>
      </c>
      <c r="S65" s="8" t="s">
        <v>155</v>
      </c>
      <c r="T65" s="8" t="s">
        <v>260</v>
      </c>
      <c r="U65" s="9" t="s">
        <v>437</v>
      </c>
      <c r="V65" s="22" t="s">
        <v>42</v>
      </c>
    </row>
    <row r="66" spans="1:22">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15">
        <v>15</v>
      </c>
      <c r="P66" s="4">
        <v>114.75</v>
      </c>
      <c r="Q66" s="4">
        <v>2</v>
      </c>
      <c r="R66" s="4" t="s">
        <v>92</v>
      </c>
      <c r="S66" s="4" t="s">
        <v>119</v>
      </c>
      <c r="T66" s="4" t="s">
        <v>66</v>
      </c>
      <c r="U66" s="6" t="s">
        <v>442</v>
      </c>
      <c r="V66" s="21" t="s">
        <v>68</v>
      </c>
    </row>
    <row r="67" spans="1:22">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16">
        <v>15</v>
      </c>
      <c r="P67" s="8">
        <v>13090</v>
      </c>
      <c r="Q67" s="8">
        <v>5</v>
      </c>
      <c r="R67" s="8" t="s">
        <v>92</v>
      </c>
      <c r="S67" s="8" t="s">
        <v>119</v>
      </c>
      <c r="T67" s="8" t="s">
        <v>148</v>
      </c>
      <c r="U67" s="9" t="s">
        <v>447</v>
      </c>
      <c r="V67" s="22" t="s">
        <v>42</v>
      </c>
    </row>
    <row r="68" spans="1:22">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15">
        <v>10</v>
      </c>
      <c r="P68" s="4">
        <v>769.5</v>
      </c>
      <c r="Q68" s="4">
        <v>5</v>
      </c>
      <c r="R68" s="4" t="s">
        <v>83</v>
      </c>
      <c r="S68" s="4" t="s">
        <v>119</v>
      </c>
      <c r="T68" s="4" t="s">
        <v>54</v>
      </c>
      <c r="U68" s="6" t="s">
        <v>452</v>
      </c>
      <c r="V68" s="21" t="s">
        <v>73</v>
      </c>
    </row>
    <row r="69" spans="1:22">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16">
        <v>15</v>
      </c>
      <c r="P69" s="8">
        <v>20825</v>
      </c>
      <c r="Q69" s="8">
        <v>1</v>
      </c>
      <c r="R69" s="8" t="s">
        <v>38</v>
      </c>
      <c r="S69" s="8" t="s">
        <v>155</v>
      </c>
      <c r="T69" s="8" t="s">
        <v>260</v>
      </c>
      <c r="U69" s="9" t="s">
        <v>456</v>
      </c>
      <c r="V69" s="22" t="s">
        <v>68</v>
      </c>
    </row>
    <row r="70" spans="1:22">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15">
        <v>20</v>
      </c>
      <c r="P70" s="4">
        <v>47600</v>
      </c>
      <c r="Q70" s="4">
        <v>4</v>
      </c>
      <c r="R70" s="4" t="s">
        <v>52</v>
      </c>
      <c r="S70" s="4" t="s">
        <v>119</v>
      </c>
      <c r="T70" s="4" t="s">
        <v>66</v>
      </c>
      <c r="U70" s="6" t="s">
        <v>461</v>
      </c>
      <c r="V70" s="21" t="s">
        <v>42</v>
      </c>
    </row>
    <row r="71" spans="1:22">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16">
        <v>10</v>
      </c>
      <c r="P71" s="8">
        <v>792000</v>
      </c>
      <c r="Q71" s="8">
        <v>1</v>
      </c>
      <c r="R71" s="8" t="s">
        <v>83</v>
      </c>
      <c r="S71" s="8" t="s">
        <v>65</v>
      </c>
      <c r="T71" s="8" t="s">
        <v>54</v>
      </c>
      <c r="U71" s="9" t="s">
        <v>465</v>
      </c>
      <c r="V71" s="22" t="s">
        <v>42</v>
      </c>
    </row>
    <row r="72" spans="1:22">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15">
        <v>20</v>
      </c>
      <c r="P72" s="4">
        <v>19200</v>
      </c>
      <c r="Q72" s="4">
        <v>1</v>
      </c>
      <c r="R72" s="4" t="s">
        <v>38</v>
      </c>
      <c r="S72" s="4" t="s">
        <v>155</v>
      </c>
      <c r="T72" s="5" t="s">
        <v>470</v>
      </c>
      <c r="U72" s="6" t="s">
        <v>471</v>
      </c>
      <c r="V72" s="21" t="s">
        <v>68</v>
      </c>
    </row>
    <row r="73" spans="1:22">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16">
        <v>5</v>
      </c>
      <c r="P73" s="8">
        <v>171</v>
      </c>
      <c r="Q73" s="8">
        <v>1</v>
      </c>
      <c r="R73" s="8" t="s">
        <v>83</v>
      </c>
      <c r="S73" s="8" t="s">
        <v>53</v>
      </c>
      <c r="T73" s="8" t="s">
        <v>136</v>
      </c>
      <c r="U73" s="9" t="s">
        <v>475</v>
      </c>
      <c r="V73" s="22" t="s">
        <v>68</v>
      </c>
    </row>
    <row r="74" spans="1:22">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15">
        <v>5</v>
      </c>
      <c r="P74" s="4">
        <v>1140</v>
      </c>
      <c r="Q74" s="4">
        <v>3</v>
      </c>
      <c r="R74" s="4" t="s">
        <v>92</v>
      </c>
      <c r="S74" s="4" t="s">
        <v>65</v>
      </c>
      <c r="T74" s="4" t="s">
        <v>54</v>
      </c>
      <c r="U74" s="6" t="s">
        <v>480</v>
      </c>
      <c r="V74" s="21" t="s">
        <v>73</v>
      </c>
    </row>
    <row r="75" spans="1:22">
      <c r="A75" s="7" t="s">
        <v>481</v>
      </c>
      <c r="B75" s="8" t="s">
        <v>57</v>
      </c>
      <c r="C75" s="8" t="s">
        <v>28</v>
      </c>
      <c r="D75" s="8" t="s">
        <v>482</v>
      </c>
      <c r="E75" s="8" t="s">
        <v>483</v>
      </c>
      <c r="F75" s="8" t="s">
        <v>167</v>
      </c>
      <c r="G75" s="8" t="s">
        <v>32</v>
      </c>
      <c r="H75" s="8" t="s">
        <v>484</v>
      </c>
      <c r="I75" s="8"/>
      <c r="J75" s="8" t="s">
        <v>35</v>
      </c>
      <c r="K75" s="8" t="s">
        <v>36</v>
      </c>
      <c r="L75" s="8" t="s">
        <v>37</v>
      </c>
      <c r="M75" s="8">
        <v>1</v>
      </c>
      <c r="N75" s="8">
        <v>2200</v>
      </c>
      <c r="O75" s="16">
        <v>15</v>
      </c>
      <c r="P75" s="8">
        <v>1870</v>
      </c>
      <c r="Q75" s="8">
        <v>4</v>
      </c>
      <c r="R75" s="8" t="s">
        <v>83</v>
      </c>
      <c r="S75" s="8" t="s">
        <v>65</v>
      </c>
      <c r="T75" s="8" t="s">
        <v>66</v>
      </c>
      <c r="U75" s="9" t="s">
        <v>485</v>
      </c>
      <c r="V75" s="22" t="s">
        <v>42</v>
      </c>
    </row>
    <row r="76" spans="1:22">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15">
        <v>10</v>
      </c>
      <c r="P76" s="4">
        <v>3240</v>
      </c>
      <c r="Q76" s="4">
        <v>5</v>
      </c>
      <c r="R76" s="4" t="s">
        <v>38</v>
      </c>
      <c r="S76" s="4" t="s">
        <v>53</v>
      </c>
      <c r="T76" s="4" t="s">
        <v>136</v>
      </c>
      <c r="U76" s="6" t="s">
        <v>490</v>
      </c>
      <c r="V76" s="21" t="s">
        <v>42</v>
      </c>
    </row>
    <row r="77" spans="1:22">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16">
        <v>20</v>
      </c>
      <c r="P77" s="8">
        <v>28000</v>
      </c>
      <c r="Q77" s="8">
        <v>5</v>
      </c>
      <c r="R77" s="8" t="s">
        <v>83</v>
      </c>
      <c r="S77" s="8" t="s">
        <v>39</v>
      </c>
      <c r="T77" s="8" t="s">
        <v>54</v>
      </c>
      <c r="U77" s="9" t="s">
        <v>495</v>
      </c>
      <c r="V77" s="22" t="s">
        <v>42</v>
      </c>
    </row>
    <row r="78" spans="1:22">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15">
        <v>5</v>
      </c>
      <c r="P78" s="4">
        <v>11970</v>
      </c>
      <c r="Q78" s="4">
        <v>3</v>
      </c>
      <c r="R78" s="4" t="s">
        <v>83</v>
      </c>
      <c r="S78" s="4" t="s">
        <v>119</v>
      </c>
      <c r="T78" s="4" t="s">
        <v>93</v>
      </c>
      <c r="U78" s="6" t="s">
        <v>499</v>
      </c>
      <c r="V78" s="21" t="s">
        <v>73</v>
      </c>
    </row>
    <row r="79" spans="1:22">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16">
        <v>15</v>
      </c>
      <c r="P79" s="8">
        <v>7140</v>
      </c>
      <c r="Q79" s="8">
        <v>2</v>
      </c>
      <c r="R79" s="8" t="s">
        <v>92</v>
      </c>
      <c r="S79" s="8" t="s">
        <v>53</v>
      </c>
      <c r="T79" s="8" t="s">
        <v>232</v>
      </c>
      <c r="U79" s="9" t="s">
        <v>504</v>
      </c>
      <c r="V79" s="22" t="s">
        <v>42</v>
      </c>
    </row>
    <row r="80" spans="1:22">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15">
        <v>0</v>
      </c>
      <c r="P80" s="4">
        <v>9600</v>
      </c>
      <c r="Q80" s="4">
        <v>4</v>
      </c>
      <c r="R80" s="4" t="s">
        <v>83</v>
      </c>
      <c r="S80" s="4" t="s">
        <v>53</v>
      </c>
      <c r="T80" s="4" t="s">
        <v>84</v>
      </c>
      <c r="U80" s="6" t="s">
        <v>509</v>
      </c>
      <c r="V80" s="21" t="s">
        <v>68</v>
      </c>
    </row>
    <row r="81" spans="1:22">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16">
        <v>0</v>
      </c>
      <c r="P81" s="8">
        <v>120</v>
      </c>
      <c r="Q81" s="8">
        <v>2</v>
      </c>
      <c r="R81" s="8" t="s">
        <v>92</v>
      </c>
      <c r="S81" s="8" t="s">
        <v>53</v>
      </c>
      <c r="T81" s="8" t="s">
        <v>136</v>
      </c>
      <c r="U81" s="9" t="s">
        <v>514</v>
      </c>
      <c r="V81" s="22" t="s">
        <v>42</v>
      </c>
    </row>
    <row r="82" spans="1:22">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15">
        <v>15</v>
      </c>
      <c r="P82" s="4">
        <v>382.5</v>
      </c>
      <c r="Q82" s="4">
        <v>3</v>
      </c>
      <c r="R82" s="4" t="s">
        <v>52</v>
      </c>
      <c r="S82" s="4" t="s">
        <v>39</v>
      </c>
      <c r="T82" s="4" t="s">
        <v>336</v>
      </c>
      <c r="U82" s="6" t="s">
        <v>519</v>
      </c>
      <c r="V82" s="21" t="s">
        <v>73</v>
      </c>
    </row>
    <row r="83" spans="1:22">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16">
        <v>5</v>
      </c>
      <c r="P83" s="8">
        <v>39900</v>
      </c>
      <c r="Q83" s="8">
        <v>3</v>
      </c>
      <c r="R83" s="8" t="s">
        <v>52</v>
      </c>
      <c r="S83" s="8" t="s">
        <v>65</v>
      </c>
      <c r="T83" s="8" t="s">
        <v>232</v>
      </c>
      <c r="U83" s="9" t="s">
        <v>524</v>
      </c>
      <c r="V83" s="22" t="s">
        <v>68</v>
      </c>
    </row>
    <row r="84" spans="1:22">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15">
        <v>15</v>
      </c>
      <c r="P84" s="4">
        <v>102</v>
      </c>
      <c r="Q84" s="4">
        <v>1</v>
      </c>
      <c r="R84" s="4" t="s">
        <v>92</v>
      </c>
      <c r="S84" s="4" t="s">
        <v>119</v>
      </c>
      <c r="T84" s="4" t="s">
        <v>136</v>
      </c>
      <c r="U84" s="6" t="s">
        <v>527</v>
      </c>
      <c r="V84" s="21" t="s">
        <v>42</v>
      </c>
    </row>
    <row r="85" spans="1:22">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16">
        <v>15</v>
      </c>
      <c r="P85" s="8">
        <v>18360</v>
      </c>
      <c r="Q85" s="8">
        <v>3</v>
      </c>
      <c r="R85" s="8" t="s">
        <v>83</v>
      </c>
      <c r="S85" s="8" t="s">
        <v>119</v>
      </c>
      <c r="T85" s="8" t="s">
        <v>136</v>
      </c>
      <c r="U85" s="9" t="s">
        <v>532</v>
      </c>
      <c r="V85" s="22" t="s">
        <v>68</v>
      </c>
    </row>
    <row r="86" spans="1:22">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15">
        <v>15</v>
      </c>
      <c r="P86" s="4">
        <v>183600</v>
      </c>
      <c r="Q86" s="4">
        <v>2</v>
      </c>
      <c r="R86" s="4" t="s">
        <v>38</v>
      </c>
      <c r="S86" s="4" t="s">
        <v>53</v>
      </c>
      <c r="T86" s="4" t="s">
        <v>54</v>
      </c>
      <c r="U86" s="6" t="s">
        <v>537</v>
      </c>
      <c r="V86" s="21" t="s">
        <v>42</v>
      </c>
    </row>
    <row r="87" spans="1:22">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16">
        <v>0</v>
      </c>
      <c r="P87" s="8">
        <v>140</v>
      </c>
      <c r="Q87" s="8">
        <v>2</v>
      </c>
      <c r="R87" s="8" t="s">
        <v>83</v>
      </c>
      <c r="S87" s="8" t="s">
        <v>39</v>
      </c>
      <c r="T87" s="8" t="s">
        <v>93</v>
      </c>
      <c r="U87" s="9" t="s">
        <v>541</v>
      </c>
      <c r="V87" s="22" t="s">
        <v>73</v>
      </c>
    </row>
    <row r="88" spans="1:22">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15">
        <v>20</v>
      </c>
      <c r="P88" s="4">
        <v>56000</v>
      </c>
      <c r="Q88" s="4">
        <v>4</v>
      </c>
      <c r="R88" s="4" t="s">
        <v>83</v>
      </c>
      <c r="S88" s="4" t="s">
        <v>119</v>
      </c>
      <c r="T88" s="4" t="s">
        <v>260</v>
      </c>
      <c r="U88" s="6" t="s">
        <v>545</v>
      </c>
      <c r="V88" s="21" t="s">
        <v>68</v>
      </c>
    </row>
    <row r="89" spans="1:22">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16">
        <v>20</v>
      </c>
      <c r="P89" s="8">
        <v>54400</v>
      </c>
      <c r="Q89" s="8">
        <v>3</v>
      </c>
      <c r="R89" s="8" t="s">
        <v>83</v>
      </c>
      <c r="S89" s="8" t="s">
        <v>119</v>
      </c>
      <c r="T89" s="8" t="s">
        <v>148</v>
      </c>
      <c r="U89" s="9" t="s">
        <v>550</v>
      </c>
      <c r="V89" s="22" t="s">
        <v>68</v>
      </c>
    </row>
    <row r="90" spans="1:22">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15">
        <v>5</v>
      </c>
      <c r="P90" s="4">
        <v>68400</v>
      </c>
      <c r="Q90" s="4">
        <v>4</v>
      </c>
      <c r="R90" s="4" t="s">
        <v>52</v>
      </c>
      <c r="S90" s="4" t="s">
        <v>39</v>
      </c>
      <c r="T90" s="4" t="s">
        <v>336</v>
      </c>
      <c r="U90" s="6" t="s">
        <v>556</v>
      </c>
      <c r="V90" s="21" t="s">
        <v>42</v>
      </c>
    </row>
    <row r="91" spans="1:22">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16">
        <v>0</v>
      </c>
      <c r="P91" s="8">
        <v>127500</v>
      </c>
      <c r="Q91" s="8">
        <v>4</v>
      </c>
      <c r="R91" s="8" t="s">
        <v>52</v>
      </c>
      <c r="S91" s="8" t="s">
        <v>39</v>
      </c>
      <c r="T91" s="8" t="s">
        <v>54</v>
      </c>
      <c r="U91" s="9" t="s">
        <v>560</v>
      </c>
      <c r="V91" s="22" t="s">
        <v>73</v>
      </c>
    </row>
    <row r="92" spans="1:22">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15">
        <v>15</v>
      </c>
      <c r="P92" s="4">
        <v>5100</v>
      </c>
      <c r="Q92" s="4">
        <v>1</v>
      </c>
      <c r="R92" s="4" t="s">
        <v>52</v>
      </c>
      <c r="S92" s="4" t="s">
        <v>39</v>
      </c>
      <c r="T92" s="4" t="s">
        <v>66</v>
      </c>
      <c r="U92" s="6" t="s">
        <v>564</v>
      </c>
      <c r="V92" s="21" t="s">
        <v>73</v>
      </c>
    </row>
    <row r="93" spans="1:22">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16">
        <v>0</v>
      </c>
      <c r="P93" s="8">
        <v>80</v>
      </c>
      <c r="Q93" s="8">
        <v>4</v>
      </c>
      <c r="R93" s="8" t="s">
        <v>52</v>
      </c>
      <c r="S93" s="8" t="s">
        <v>53</v>
      </c>
      <c r="T93" s="8" t="s">
        <v>66</v>
      </c>
      <c r="U93" s="9" t="s">
        <v>569</v>
      </c>
      <c r="V93" s="22" t="s">
        <v>42</v>
      </c>
    </row>
    <row r="94" spans="1:22">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15">
        <v>0</v>
      </c>
      <c r="P94" s="4">
        <v>200</v>
      </c>
      <c r="Q94" s="4">
        <v>3</v>
      </c>
      <c r="R94" s="4" t="s">
        <v>38</v>
      </c>
      <c r="S94" s="4" t="s">
        <v>155</v>
      </c>
      <c r="T94" s="4" t="s">
        <v>54</v>
      </c>
      <c r="U94" s="6" t="s">
        <v>574</v>
      </c>
      <c r="V94" s="21" t="s">
        <v>68</v>
      </c>
    </row>
    <row r="95" spans="1:22">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16">
        <v>10</v>
      </c>
      <c r="P95" s="8">
        <v>35640</v>
      </c>
      <c r="Q95" s="8">
        <v>3</v>
      </c>
      <c r="R95" s="8" t="s">
        <v>38</v>
      </c>
      <c r="S95" s="8" t="s">
        <v>39</v>
      </c>
      <c r="T95" s="8" t="s">
        <v>179</v>
      </c>
      <c r="U95" s="9" t="s">
        <v>579</v>
      </c>
      <c r="V95" s="22" t="s">
        <v>73</v>
      </c>
    </row>
    <row r="96" spans="1:22">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15">
        <v>15</v>
      </c>
      <c r="P96" s="4">
        <v>20825</v>
      </c>
      <c r="Q96" s="4">
        <v>3</v>
      </c>
      <c r="R96" s="4" t="s">
        <v>52</v>
      </c>
      <c r="S96" s="4" t="s">
        <v>53</v>
      </c>
      <c r="T96" s="4" t="s">
        <v>336</v>
      </c>
      <c r="U96" s="6" t="s">
        <v>584</v>
      </c>
      <c r="V96" s="21" t="s">
        <v>42</v>
      </c>
    </row>
    <row r="97" spans="1:22">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16">
        <v>15</v>
      </c>
      <c r="P97" s="8">
        <v>137275</v>
      </c>
      <c r="Q97" s="8">
        <v>4</v>
      </c>
      <c r="R97" s="8" t="s">
        <v>83</v>
      </c>
      <c r="S97" s="8" t="s">
        <v>155</v>
      </c>
      <c r="T97" s="8" t="s">
        <v>148</v>
      </c>
      <c r="U97" s="9" t="s">
        <v>589</v>
      </c>
      <c r="V97" s="22" t="s">
        <v>68</v>
      </c>
    </row>
    <row r="98" spans="1:22">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15">
        <v>15</v>
      </c>
      <c r="P98" s="4">
        <v>132600</v>
      </c>
      <c r="Q98" s="4">
        <v>4</v>
      </c>
      <c r="R98" s="4" t="s">
        <v>38</v>
      </c>
      <c r="S98" s="4" t="s">
        <v>53</v>
      </c>
      <c r="T98" s="4" t="s">
        <v>260</v>
      </c>
      <c r="U98" s="6" t="s">
        <v>594</v>
      </c>
      <c r="V98" s="21" t="s">
        <v>42</v>
      </c>
    </row>
    <row r="99" spans="1:22">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16">
        <v>0</v>
      </c>
      <c r="P99" s="8">
        <v>140</v>
      </c>
      <c r="Q99" s="8">
        <v>1</v>
      </c>
      <c r="R99" s="8" t="s">
        <v>83</v>
      </c>
      <c r="S99" s="8" t="s">
        <v>155</v>
      </c>
      <c r="T99" s="8" t="s">
        <v>336</v>
      </c>
      <c r="U99" s="9" t="s">
        <v>598</v>
      </c>
      <c r="V99" s="22" t="s">
        <v>73</v>
      </c>
    </row>
    <row r="100" spans="1:22">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15">
        <v>15</v>
      </c>
      <c r="P100" s="4">
        <v>999999</v>
      </c>
      <c r="Q100" s="4">
        <v>4</v>
      </c>
      <c r="R100" s="4" t="s">
        <v>83</v>
      </c>
      <c r="S100" s="4" t="s">
        <v>39</v>
      </c>
      <c r="T100" s="4" t="s">
        <v>179</v>
      </c>
      <c r="U100" s="6" t="s">
        <v>603</v>
      </c>
      <c r="V100" s="21" t="s">
        <v>68</v>
      </c>
    </row>
    <row r="101" spans="1:22">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16">
        <v>5</v>
      </c>
      <c r="P101" s="8">
        <v>384.75</v>
      </c>
      <c r="Q101" s="8">
        <v>3</v>
      </c>
      <c r="R101" s="8" t="s">
        <v>38</v>
      </c>
      <c r="S101" s="8" t="s">
        <v>39</v>
      </c>
      <c r="T101" s="8" t="s">
        <v>93</v>
      </c>
      <c r="U101" s="9" t="s">
        <v>607</v>
      </c>
      <c r="V101" s="22" t="s">
        <v>42</v>
      </c>
    </row>
    <row r="102" spans="1:22">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15">
        <v>10</v>
      </c>
      <c r="P102" s="4">
        <v>1026</v>
      </c>
      <c r="Q102" s="4">
        <v>5</v>
      </c>
      <c r="R102" s="4" t="s">
        <v>52</v>
      </c>
      <c r="S102" s="4" t="s">
        <v>119</v>
      </c>
      <c r="T102" s="4" t="s">
        <v>136</v>
      </c>
      <c r="U102" s="6" t="s">
        <v>612</v>
      </c>
      <c r="V102" s="21" t="s">
        <v>42</v>
      </c>
    </row>
    <row r="103" spans="1:22">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16">
        <v>5</v>
      </c>
      <c r="P103" s="8">
        <v>2660</v>
      </c>
      <c r="Q103" s="8">
        <v>3</v>
      </c>
      <c r="R103" s="8" t="s">
        <v>52</v>
      </c>
      <c r="S103" s="8" t="s">
        <v>65</v>
      </c>
      <c r="T103" s="8" t="s">
        <v>336</v>
      </c>
      <c r="U103" s="9" t="s">
        <v>617</v>
      </c>
      <c r="V103" s="22" t="s">
        <v>42</v>
      </c>
    </row>
    <row r="104" spans="1:22">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15">
        <v>0</v>
      </c>
      <c r="P104" s="4">
        <v>56000</v>
      </c>
      <c r="Q104" s="4">
        <v>2</v>
      </c>
      <c r="R104" s="4" t="s">
        <v>83</v>
      </c>
      <c r="S104" s="4" t="s">
        <v>53</v>
      </c>
      <c r="T104" s="4" t="s">
        <v>336</v>
      </c>
      <c r="U104" s="6" t="s">
        <v>621</v>
      </c>
      <c r="V104" s="21" t="s">
        <v>42</v>
      </c>
    </row>
    <row r="105" spans="1:22">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16">
        <v>20</v>
      </c>
      <c r="P105" s="8">
        <v>180</v>
      </c>
      <c r="Q105" s="8">
        <v>3</v>
      </c>
      <c r="R105" s="8" t="s">
        <v>83</v>
      </c>
      <c r="S105" s="8" t="s">
        <v>39</v>
      </c>
      <c r="T105" s="8" t="s">
        <v>260</v>
      </c>
      <c r="U105" s="9" t="s">
        <v>626</v>
      </c>
      <c r="V105" s="22" t="s">
        <v>42</v>
      </c>
    </row>
    <row r="106" spans="1:22">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15">
        <v>10</v>
      </c>
      <c r="P106" s="4">
        <v>162</v>
      </c>
      <c r="Q106" s="4">
        <v>4</v>
      </c>
      <c r="R106" s="4" t="s">
        <v>83</v>
      </c>
      <c r="S106" s="4" t="s">
        <v>39</v>
      </c>
      <c r="T106" s="4" t="s">
        <v>93</v>
      </c>
      <c r="U106" s="6" t="s">
        <v>630</v>
      </c>
      <c r="V106" s="21" t="s">
        <v>68</v>
      </c>
    </row>
    <row r="107" spans="1:22">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16">
        <v>5</v>
      </c>
      <c r="P107" s="8">
        <v>10260</v>
      </c>
      <c r="Q107" s="8">
        <v>3</v>
      </c>
      <c r="R107" s="8" t="s">
        <v>92</v>
      </c>
      <c r="S107" s="8" t="s">
        <v>39</v>
      </c>
      <c r="T107" s="8" t="s">
        <v>66</v>
      </c>
      <c r="U107" s="9" t="s">
        <v>634</v>
      </c>
      <c r="V107" s="22" t="s">
        <v>68</v>
      </c>
    </row>
    <row r="108" spans="1:22">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15">
        <v>10</v>
      </c>
      <c r="P108" s="4">
        <v>9450</v>
      </c>
      <c r="Q108" s="4">
        <v>2</v>
      </c>
      <c r="R108" s="4" t="s">
        <v>83</v>
      </c>
      <c r="S108" s="4" t="s">
        <v>155</v>
      </c>
      <c r="T108" s="4" t="s">
        <v>148</v>
      </c>
      <c r="U108" s="6" t="s">
        <v>638</v>
      </c>
      <c r="V108" s="21" t="s">
        <v>73</v>
      </c>
    </row>
    <row r="109" spans="1:22">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16">
        <v>15</v>
      </c>
      <c r="P109" s="8">
        <v>6120</v>
      </c>
      <c r="Q109" s="8">
        <v>4</v>
      </c>
      <c r="R109" s="8" t="s">
        <v>92</v>
      </c>
      <c r="S109" s="8" t="s">
        <v>39</v>
      </c>
      <c r="T109" s="8" t="s">
        <v>232</v>
      </c>
      <c r="U109" s="9" t="s">
        <v>642</v>
      </c>
      <c r="V109" s="22" t="s">
        <v>73</v>
      </c>
    </row>
    <row r="110" spans="1:22">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15">
        <v>15</v>
      </c>
      <c r="P110" s="4">
        <v>17340</v>
      </c>
      <c r="Q110" s="4">
        <v>1</v>
      </c>
      <c r="R110" s="4" t="s">
        <v>38</v>
      </c>
      <c r="S110" s="4" t="s">
        <v>65</v>
      </c>
      <c r="T110" s="4" t="s">
        <v>93</v>
      </c>
      <c r="U110" s="6" t="s">
        <v>647</v>
      </c>
      <c r="V110" s="21" t="s">
        <v>42</v>
      </c>
    </row>
    <row r="111" spans="1:22">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16">
        <v>0</v>
      </c>
      <c r="P111" s="8">
        <v>127500</v>
      </c>
      <c r="Q111" s="8">
        <v>3</v>
      </c>
      <c r="R111" s="8" t="s">
        <v>38</v>
      </c>
      <c r="S111" s="8" t="s">
        <v>119</v>
      </c>
      <c r="T111" s="8" t="s">
        <v>232</v>
      </c>
      <c r="U111" s="9" t="s">
        <v>651</v>
      </c>
      <c r="V111" s="22" t="s">
        <v>68</v>
      </c>
    </row>
    <row r="112" spans="1:22">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15">
        <v>20</v>
      </c>
      <c r="P112" s="4">
        <v>960</v>
      </c>
      <c r="Q112" s="4">
        <v>1</v>
      </c>
      <c r="R112" s="4" t="s">
        <v>92</v>
      </c>
      <c r="S112" s="4" t="s">
        <v>119</v>
      </c>
      <c r="T112" s="4" t="s">
        <v>136</v>
      </c>
      <c r="U112" s="6" t="s">
        <v>654</v>
      </c>
      <c r="V112" s="21" t="s">
        <v>68</v>
      </c>
    </row>
    <row r="113" spans="1:22">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16">
        <v>10</v>
      </c>
      <c r="P113" s="8">
        <v>38250</v>
      </c>
      <c r="Q113" s="8">
        <v>1</v>
      </c>
      <c r="R113" s="8" t="s">
        <v>83</v>
      </c>
      <c r="S113" s="8" t="s">
        <v>65</v>
      </c>
      <c r="T113" s="8" t="s">
        <v>136</v>
      </c>
      <c r="U113" s="9" t="s">
        <v>658</v>
      </c>
      <c r="V113" s="22" t="s">
        <v>42</v>
      </c>
    </row>
    <row r="114" spans="1:22">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15">
        <v>5</v>
      </c>
      <c r="P114" s="4">
        <v>513</v>
      </c>
      <c r="Q114" s="4">
        <v>2</v>
      </c>
      <c r="R114" s="4" t="s">
        <v>52</v>
      </c>
      <c r="S114" s="4" t="s">
        <v>39</v>
      </c>
      <c r="T114" s="4" t="s">
        <v>66</v>
      </c>
      <c r="U114" s="6" t="s">
        <v>663</v>
      </c>
      <c r="V114" s="21" t="s">
        <v>73</v>
      </c>
    </row>
    <row r="115" spans="1:22">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16">
        <v>5</v>
      </c>
      <c r="P115" s="8">
        <v>285</v>
      </c>
      <c r="Q115" s="8">
        <v>2</v>
      </c>
      <c r="R115" s="8" t="s">
        <v>38</v>
      </c>
      <c r="S115" s="8" t="s">
        <v>65</v>
      </c>
      <c r="T115" s="8" t="s">
        <v>232</v>
      </c>
      <c r="U115" s="9" t="s">
        <v>667</v>
      </c>
      <c r="V115" s="22" t="s">
        <v>42</v>
      </c>
    </row>
    <row r="116" spans="1:22">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15">
        <v>0</v>
      </c>
      <c r="P116" s="4">
        <v>2100</v>
      </c>
      <c r="Q116" s="4">
        <v>4</v>
      </c>
      <c r="R116" s="4" t="s">
        <v>83</v>
      </c>
      <c r="S116" s="4" t="s">
        <v>65</v>
      </c>
      <c r="T116" s="4" t="s">
        <v>66</v>
      </c>
      <c r="U116" s="6" t="s">
        <v>672</v>
      </c>
      <c r="V116" s="21" t="s">
        <v>42</v>
      </c>
    </row>
    <row r="117" spans="1:22">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16">
        <v>15</v>
      </c>
      <c r="P117" s="8">
        <v>102</v>
      </c>
      <c r="Q117" s="8">
        <v>5</v>
      </c>
      <c r="R117" s="8" t="s">
        <v>83</v>
      </c>
      <c r="S117" s="8" t="s">
        <v>155</v>
      </c>
      <c r="T117" s="8" t="s">
        <v>179</v>
      </c>
      <c r="U117" s="9" t="s">
        <v>675</v>
      </c>
      <c r="V117" s="22" t="s">
        <v>42</v>
      </c>
    </row>
    <row r="118" spans="1:22">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15">
        <v>15</v>
      </c>
      <c r="P118" s="4">
        <v>1190</v>
      </c>
      <c r="Q118" s="4">
        <v>4</v>
      </c>
      <c r="R118" s="4" t="s">
        <v>38</v>
      </c>
      <c r="S118" s="4" t="s">
        <v>155</v>
      </c>
      <c r="T118" s="4" t="s">
        <v>148</v>
      </c>
      <c r="U118" s="6" t="s">
        <v>680</v>
      </c>
      <c r="V118" s="21" t="s">
        <v>68</v>
      </c>
    </row>
    <row r="119" spans="1:22">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16">
        <v>0</v>
      </c>
      <c r="P119" s="8">
        <v>720</v>
      </c>
      <c r="Q119" s="8">
        <v>1</v>
      </c>
      <c r="R119" s="8" t="s">
        <v>52</v>
      </c>
      <c r="S119" s="8" t="s">
        <v>65</v>
      </c>
      <c r="T119" s="8" t="s">
        <v>336</v>
      </c>
      <c r="U119" s="9" t="s">
        <v>685</v>
      </c>
      <c r="V119" s="22" t="s">
        <v>42</v>
      </c>
    </row>
    <row r="120" spans="1:22">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15">
        <v>15</v>
      </c>
      <c r="P120" s="4">
        <v>7140</v>
      </c>
      <c r="Q120" s="4">
        <v>4</v>
      </c>
      <c r="R120" s="4" t="s">
        <v>92</v>
      </c>
      <c r="S120" s="4" t="s">
        <v>155</v>
      </c>
      <c r="T120" s="4" t="s">
        <v>84</v>
      </c>
      <c r="U120" s="6" t="s">
        <v>691</v>
      </c>
      <c r="V120" s="21" t="s">
        <v>68</v>
      </c>
    </row>
    <row r="121" spans="1:22">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16">
        <v>15</v>
      </c>
      <c r="P121" s="8">
        <v>142800</v>
      </c>
      <c r="Q121" s="8">
        <v>2</v>
      </c>
      <c r="R121" s="8" t="s">
        <v>52</v>
      </c>
      <c r="S121" s="8" t="s">
        <v>65</v>
      </c>
      <c r="T121" s="8" t="s">
        <v>148</v>
      </c>
      <c r="U121" s="9" t="s">
        <v>694</v>
      </c>
      <c r="V121" s="22" t="s">
        <v>68</v>
      </c>
    </row>
    <row r="122" spans="1:22">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15">
        <v>20</v>
      </c>
      <c r="P122" s="4">
        <v>54400</v>
      </c>
      <c r="Q122" s="4">
        <v>3</v>
      </c>
      <c r="R122" s="4" t="s">
        <v>83</v>
      </c>
      <c r="S122" s="4" t="s">
        <v>53</v>
      </c>
      <c r="T122" s="4" t="s">
        <v>136</v>
      </c>
      <c r="U122" s="6" t="s">
        <v>698</v>
      </c>
      <c r="V122" s="21" t="s">
        <v>42</v>
      </c>
    </row>
    <row r="123" spans="1:22">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16">
        <v>0</v>
      </c>
      <c r="P123" s="8">
        <v>135</v>
      </c>
      <c r="Q123" s="8">
        <v>4</v>
      </c>
      <c r="R123" s="8" t="s">
        <v>92</v>
      </c>
      <c r="S123" s="8" t="s">
        <v>65</v>
      </c>
      <c r="T123" s="8" t="s">
        <v>93</v>
      </c>
      <c r="U123" s="9" t="s">
        <v>701</v>
      </c>
      <c r="V123" s="22" t="s">
        <v>73</v>
      </c>
    </row>
    <row r="124" spans="1:22">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15">
        <v>5</v>
      </c>
      <c r="P124" s="4">
        <v>8645</v>
      </c>
      <c r="Q124" s="4">
        <v>3</v>
      </c>
      <c r="R124" s="4" t="s">
        <v>83</v>
      </c>
      <c r="S124" s="4" t="s">
        <v>119</v>
      </c>
      <c r="T124" s="4" t="s">
        <v>336</v>
      </c>
      <c r="U124" s="6" t="s">
        <v>704</v>
      </c>
      <c r="V124" s="21" t="s">
        <v>68</v>
      </c>
    </row>
    <row r="125" spans="1:22">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16">
        <v>20</v>
      </c>
      <c r="P125" s="8">
        <v>13440</v>
      </c>
      <c r="Q125" s="8">
        <v>5</v>
      </c>
      <c r="R125" s="8" t="s">
        <v>52</v>
      </c>
      <c r="S125" s="8" t="s">
        <v>65</v>
      </c>
      <c r="T125" s="8" t="s">
        <v>179</v>
      </c>
      <c r="U125" s="9" t="s">
        <v>709</v>
      </c>
      <c r="V125" s="22" t="s">
        <v>42</v>
      </c>
    </row>
    <row r="126" spans="1:22">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15">
        <v>5</v>
      </c>
      <c r="P126" s="4">
        <v>85.5</v>
      </c>
      <c r="Q126" s="4">
        <v>3</v>
      </c>
      <c r="R126" s="4" t="s">
        <v>92</v>
      </c>
      <c r="S126" s="4" t="s">
        <v>39</v>
      </c>
      <c r="T126" s="4" t="s">
        <v>148</v>
      </c>
      <c r="U126" s="6" t="s">
        <v>713</v>
      </c>
      <c r="V126" s="21" t="s">
        <v>73</v>
      </c>
    </row>
    <row r="127" spans="1:22">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16">
        <v>20</v>
      </c>
      <c r="P127" s="8">
        <v>1920</v>
      </c>
      <c r="Q127" s="8">
        <v>3</v>
      </c>
      <c r="R127" s="8" t="s">
        <v>83</v>
      </c>
      <c r="S127" s="8" t="s">
        <v>119</v>
      </c>
      <c r="T127" s="8" t="s">
        <v>179</v>
      </c>
      <c r="U127" s="9" t="s">
        <v>718</v>
      </c>
      <c r="V127" s="22" t="s">
        <v>42</v>
      </c>
    </row>
    <row r="128" spans="1:22">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15">
        <v>5</v>
      </c>
      <c r="P128" s="4">
        <v>522500</v>
      </c>
      <c r="Q128" s="4">
        <v>5</v>
      </c>
      <c r="R128" s="4" t="s">
        <v>92</v>
      </c>
      <c r="S128" s="4" t="s">
        <v>65</v>
      </c>
      <c r="T128" s="4" t="s">
        <v>136</v>
      </c>
      <c r="U128" s="6" t="s">
        <v>722</v>
      </c>
      <c r="V128" s="21" t="s">
        <v>68</v>
      </c>
    </row>
    <row r="129" spans="1:22">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16">
        <v>10</v>
      </c>
      <c r="P129" s="8">
        <v>47250</v>
      </c>
      <c r="Q129" s="8">
        <v>3</v>
      </c>
      <c r="R129" s="8" t="s">
        <v>52</v>
      </c>
      <c r="S129" s="8" t="s">
        <v>119</v>
      </c>
      <c r="T129" s="8" t="s">
        <v>260</v>
      </c>
      <c r="U129" s="9" t="s">
        <v>726</v>
      </c>
      <c r="V129" s="22" t="s">
        <v>42</v>
      </c>
    </row>
    <row r="130" spans="1:22">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15">
        <v>15</v>
      </c>
      <c r="P130" s="4">
        <v>18700</v>
      </c>
      <c r="Q130" s="4">
        <v>4</v>
      </c>
      <c r="R130" s="4" t="s">
        <v>83</v>
      </c>
      <c r="S130" s="4" t="s">
        <v>53</v>
      </c>
      <c r="T130" s="4" t="s">
        <v>148</v>
      </c>
      <c r="U130" s="6" t="s">
        <v>730</v>
      </c>
      <c r="V130" s="21" t="s">
        <v>68</v>
      </c>
    </row>
    <row r="131" spans="1:22">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16">
        <v>5</v>
      </c>
      <c r="P131" s="8">
        <v>36575</v>
      </c>
      <c r="Q131" s="8">
        <v>5</v>
      </c>
      <c r="R131" s="8" t="s">
        <v>38</v>
      </c>
      <c r="S131" s="8" t="s">
        <v>39</v>
      </c>
      <c r="T131" s="8" t="s">
        <v>260</v>
      </c>
      <c r="U131" s="9" t="s">
        <v>733</v>
      </c>
      <c r="V131" s="22" t="s">
        <v>73</v>
      </c>
    </row>
    <row r="132" spans="1:22">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15">
        <v>0</v>
      </c>
      <c r="P132" s="4">
        <v>16800</v>
      </c>
      <c r="Q132" s="4">
        <v>5</v>
      </c>
      <c r="R132" s="4" t="s">
        <v>38</v>
      </c>
      <c r="S132" s="4" t="s">
        <v>53</v>
      </c>
      <c r="T132" s="4" t="s">
        <v>179</v>
      </c>
      <c r="U132" s="6" t="s">
        <v>738</v>
      </c>
      <c r="V132" s="21" t="s">
        <v>73</v>
      </c>
    </row>
    <row r="133" spans="1:22">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16">
        <v>20</v>
      </c>
      <c r="P133" s="8">
        <v>176</v>
      </c>
      <c r="Q133" s="8">
        <v>4</v>
      </c>
      <c r="R133" s="8" t="s">
        <v>52</v>
      </c>
      <c r="S133" s="8" t="s">
        <v>39</v>
      </c>
      <c r="T133" s="8" t="s">
        <v>148</v>
      </c>
      <c r="U133" s="9" t="s">
        <v>742</v>
      </c>
      <c r="V133" s="22" t="s">
        <v>42</v>
      </c>
    </row>
    <row r="134" spans="1:22">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15">
        <v>10</v>
      </c>
      <c r="P134" s="4">
        <v>64800</v>
      </c>
      <c r="Q134" s="4">
        <v>5</v>
      </c>
      <c r="R134" s="4" t="s">
        <v>92</v>
      </c>
      <c r="S134" s="4" t="s">
        <v>155</v>
      </c>
      <c r="T134" s="4" t="s">
        <v>84</v>
      </c>
      <c r="U134" s="6" t="s">
        <v>746</v>
      </c>
      <c r="V134" s="21" t="s">
        <v>42</v>
      </c>
    </row>
    <row r="135" spans="1:22">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16">
        <v>5</v>
      </c>
      <c r="P135" s="8">
        <v>12540</v>
      </c>
      <c r="Q135" s="8">
        <v>4</v>
      </c>
      <c r="R135" s="8" t="s">
        <v>38</v>
      </c>
      <c r="S135" s="8" t="s">
        <v>53</v>
      </c>
      <c r="T135" s="8" t="s">
        <v>84</v>
      </c>
      <c r="U135" s="9" t="s">
        <v>749</v>
      </c>
      <c r="V135" s="22" t="s">
        <v>42</v>
      </c>
    </row>
    <row r="136" spans="1:22">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15">
        <v>5</v>
      </c>
      <c r="P136" s="4">
        <v>9975</v>
      </c>
      <c r="Q136" s="4">
        <v>4</v>
      </c>
      <c r="R136" s="4" t="s">
        <v>52</v>
      </c>
      <c r="S136" s="4" t="s">
        <v>53</v>
      </c>
      <c r="T136" s="4" t="s">
        <v>66</v>
      </c>
      <c r="U136" s="6" t="s">
        <v>752</v>
      </c>
      <c r="V136" s="21" t="s">
        <v>68</v>
      </c>
    </row>
    <row r="137" spans="1:22">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16">
        <v>20</v>
      </c>
      <c r="P137" s="8">
        <v>34000</v>
      </c>
      <c r="Q137" s="8">
        <v>5</v>
      </c>
      <c r="R137" s="8" t="s">
        <v>38</v>
      </c>
      <c r="S137" s="8" t="s">
        <v>65</v>
      </c>
      <c r="T137" s="8" t="s">
        <v>84</v>
      </c>
      <c r="U137" s="9" t="s">
        <v>757</v>
      </c>
      <c r="V137" s="22" t="s">
        <v>68</v>
      </c>
    </row>
    <row r="138" spans="1:22">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15">
        <v>10</v>
      </c>
      <c r="P138" s="4">
        <v>44100</v>
      </c>
      <c r="Q138" s="4">
        <v>4</v>
      </c>
      <c r="R138" s="4" t="s">
        <v>92</v>
      </c>
      <c r="S138" s="4" t="s">
        <v>39</v>
      </c>
      <c r="T138" s="4" t="s">
        <v>54</v>
      </c>
      <c r="U138" s="6" t="s">
        <v>762</v>
      </c>
      <c r="V138" s="21" t="s">
        <v>73</v>
      </c>
    </row>
    <row r="139" spans="1:22">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16">
        <v>0</v>
      </c>
      <c r="P139" s="8">
        <v>360</v>
      </c>
      <c r="Q139" s="8">
        <v>1</v>
      </c>
      <c r="R139" s="8" t="s">
        <v>83</v>
      </c>
      <c r="S139" s="8" t="s">
        <v>155</v>
      </c>
      <c r="T139" s="8" t="s">
        <v>336</v>
      </c>
      <c r="U139" s="9" t="s">
        <v>767</v>
      </c>
      <c r="V139" s="22" t="s">
        <v>73</v>
      </c>
    </row>
    <row r="140" spans="1:22">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15">
        <v>5</v>
      </c>
      <c r="P140" s="4">
        <v>470.25</v>
      </c>
      <c r="Q140" s="4">
        <v>3</v>
      </c>
      <c r="R140" s="4" t="s">
        <v>83</v>
      </c>
      <c r="S140" s="4" t="s">
        <v>53</v>
      </c>
      <c r="T140" s="4" t="s">
        <v>232</v>
      </c>
      <c r="U140" s="6" t="s">
        <v>772</v>
      </c>
      <c r="V140" s="21" t="s">
        <v>42</v>
      </c>
    </row>
    <row r="141" spans="1:22">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16">
        <v>0</v>
      </c>
      <c r="P141" s="8">
        <v>1045000</v>
      </c>
      <c r="Q141" s="8">
        <v>2</v>
      </c>
      <c r="R141" s="8" t="s">
        <v>83</v>
      </c>
      <c r="S141" s="8" t="s">
        <v>39</v>
      </c>
      <c r="T141" s="8" t="s">
        <v>93</v>
      </c>
      <c r="U141" s="9" t="s">
        <v>777</v>
      </c>
      <c r="V141" s="22" t="s">
        <v>73</v>
      </c>
    </row>
    <row r="142" spans="1:22">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15">
        <v>20</v>
      </c>
      <c r="P142" s="4">
        <v>56000</v>
      </c>
      <c r="Q142" s="4">
        <v>4</v>
      </c>
      <c r="R142" s="4" t="s">
        <v>52</v>
      </c>
      <c r="S142" s="4" t="s">
        <v>53</v>
      </c>
      <c r="T142" s="4" t="s">
        <v>66</v>
      </c>
      <c r="U142" s="6" t="s">
        <v>781</v>
      </c>
      <c r="V142" s="21" t="s">
        <v>42</v>
      </c>
    </row>
    <row r="143" spans="1:22">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16">
        <v>0</v>
      </c>
      <c r="P143" s="8">
        <v>37400</v>
      </c>
      <c r="Q143" s="8">
        <v>5</v>
      </c>
      <c r="R143" s="8" t="s">
        <v>52</v>
      </c>
      <c r="S143" s="8" t="s">
        <v>39</v>
      </c>
      <c r="T143" s="8" t="s">
        <v>93</v>
      </c>
      <c r="U143" s="9" t="s">
        <v>785</v>
      </c>
      <c r="V143" s="22" t="s">
        <v>68</v>
      </c>
    </row>
    <row r="144" spans="1:22">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15">
        <v>5</v>
      </c>
      <c r="P144" s="4">
        <v>11400</v>
      </c>
      <c r="Q144" s="4">
        <v>2</v>
      </c>
      <c r="R144" s="4" t="s">
        <v>38</v>
      </c>
      <c r="S144" s="4" t="s">
        <v>53</v>
      </c>
      <c r="T144" s="4" t="s">
        <v>93</v>
      </c>
      <c r="U144" s="6" t="s">
        <v>789</v>
      </c>
      <c r="V144" s="21" t="s">
        <v>73</v>
      </c>
    </row>
    <row r="145" spans="1:22">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16">
        <v>0</v>
      </c>
      <c r="P145" s="8">
        <v>180</v>
      </c>
      <c r="Q145" s="8">
        <v>4</v>
      </c>
      <c r="R145" s="8" t="s">
        <v>52</v>
      </c>
      <c r="S145" s="8" t="s">
        <v>155</v>
      </c>
      <c r="T145" s="8" t="s">
        <v>232</v>
      </c>
      <c r="U145" s="9" t="s">
        <v>794</v>
      </c>
      <c r="V145" s="22" t="s">
        <v>42</v>
      </c>
    </row>
    <row r="146" spans="1:22">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15">
        <v>10</v>
      </c>
      <c r="P146" s="4">
        <v>35640</v>
      </c>
      <c r="Q146" s="4">
        <v>1</v>
      </c>
      <c r="R146" s="4" t="s">
        <v>83</v>
      </c>
      <c r="S146" s="4" t="s">
        <v>155</v>
      </c>
      <c r="T146" s="4" t="s">
        <v>66</v>
      </c>
      <c r="U146" s="6" t="s">
        <v>799</v>
      </c>
      <c r="V146" s="21" t="s">
        <v>73</v>
      </c>
    </row>
    <row r="147" spans="1:22">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16">
        <v>5</v>
      </c>
      <c r="P147" s="8">
        <v>1026</v>
      </c>
      <c r="Q147" s="8">
        <v>3</v>
      </c>
      <c r="R147" s="8" t="s">
        <v>83</v>
      </c>
      <c r="S147" s="8" t="s">
        <v>53</v>
      </c>
      <c r="T147" s="8" t="s">
        <v>84</v>
      </c>
      <c r="U147" s="9" t="s">
        <v>804</v>
      </c>
      <c r="V147" s="22" t="s">
        <v>68</v>
      </c>
    </row>
    <row r="148" spans="1:22">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15">
        <v>15</v>
      </c>
      <c r="P148" s="4">
        <v>514250</v>
      </c>
      <c r="Q148" s="4">
        <v>4</v>
      </c>
      <c r="R148" s="4" t="s">
        <v>92</v>
      </c>
      <c r="S148" s="4" t="s">
        <v>119</v>
      </c>
      <c r="T148" s="4" t="s">
        <v>136</v>
      </c>
      <c r="U148" s="6" t="s">
        <v>807</v>
      </c>
      <c r="V148" s="21" t="s">
        <v>73</v>
      </c>
    </row>
    <row r="149" spans="1:22">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16">
        <v>5</v>
      </c>
      <c r="P149" s="8">
        <v>40375</v>
      </c>
      <c r="Q149" s="8">
        <v>4</v>
      </c>
      <c r="R149" s="8" t="s">
        <v>38</v>
      </c>
      <c r="S149" s="8" t="s">
        <v>155</v>
      </c>
      <c r="T149" s="8" t="s">
        <v>260</v>
      </c>
      <c r="U149" s="9" t="s">
        <v>810</v>
      </c>
      <c r="V149" s="22" t="s">
        <v>42</v>
      </c>
    </row>
    <row r="150" spans="1:22">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15">
        <v>15</v>
      </c>
      <c r="P150" s="4">
        <v>9520</v>
      </c>
      <c r="Q150" s="4">
        <v>4</v>
      </c>
      <c r="R150" s="4" t="s">
        <v>83</v>
      </c>
      <c r="S150" s="4" t="s">
        <v>65</v>
      </c>
      <c r="T150" s="4" t="s">
        <v>148</v>
      </c>
      <c r="U150" s="6" t="s">
        <v>812</v>
      </c>
      <c r="V150" s="21" t="s">
        <v>42</v>
      </c>
    </row>
    <row r="151" spans="1:22">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16">
        <v>10</v>
      </c>
      <c r="P151" s="8">
        <v>3780</v>
      </c>
      <c r="Q151" s="8">
        <v>4</v>
      </c>
      <c r="R151" s="8" t="s">
        <v>38</v>
      </c>
      <c r="S151" s="8" t="s">
        <v>53</v>
      </c>
      <c r="T151" s="8" t="s">
        <v>136</v>
      </c>
      <c r="U151" s="9" t="s">
        <v>815</v>
      </c>
      <c r="V151" s="22" t="s">
        <v>73</v>
      </c>
    </row>
    <row r="152" spans="1:22">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15">
        <v>10</v>
      </c>
      <c r="P152" s="4">
        <v>63000</v>
      </c>
      <c r="Q152" s="4">
        <v>4</v>
      </c>
      <c r="R152" s="4" t="s">
        <v>92</v>
      </c>
      <c r="S152" s="4" t="s">
        <v>53</v>
      </c>
      <c r="T152" s="4" t="s">
        <v>66</v>
      </c>
      <c r="U152" s="6" t="s">
        <v>818</v>
      </c>
      <c r="V152" s="21" t="s">
        <v>68</v>
      </c>
    </row>
    <row r="153" spans="1:22">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16">
        <v>10</v>
      </c>
      <c r="P153" s="8">
        <v>36</v>
      </c>
      <c r="Q153" s="8">
        <v>1</v>
      </c>
      <c r="R153" s="8" t="s">
        <v>52</v>
      </c>
      <c r="S153" s="8" t="s">
        <v>119</v>
      </c>
      <c r="T153" s="8" t="s">
        <v>54</v>
      </c>
      <c r="U153" s="9" t="s">
        <v>823</v>
      </c>
      <c r="V153" s="22" t="s">
        <v>68</v>
      </c>
    </row>
    <row r="154" spans="1:22">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15">
        <v>20</v>
      </c>
      <c r="P154" s="4">
        <v>28160</v>
      </c>
      <c r="Q154" s="4">
        <v>2</v>
      </c>
      <c r="R154" s="4" t="s">
        <v>92</v>
      </c>
      <c r="S154" s="4" t="s">
        <v>155</v>
      </c>
      <c r="T154" s="4" t="s">
        <v>148</v>
      </c>
      <c r="U154" s="6" t="s">
        <v>827</v>
      </c>
      <c r="V154" s="21" t="s">
        <v>68</v>
      </c>
    </row>
    <row r="155" spans="1:22">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16">
        <v>0</v>
      </c>
      <c r="P155" s="8">
        <v>180000</v>
      </c>
      <c r="Q155" s="8">
        <v>1</v>
      </c>
      <c r="R155" s="8" t="s">
        <v>83</v>
      </c>
      <c r="S155" s="8" t="s">
        <v>65</v>
      </c>
      <c r="T155" s="8" t="s">
        <v>232</v>
      </c>
      <c r="U155" s="9" t="s">
        <v>831</v>
      </c>
      <c r="V155" s="22" t="s">
        <v>68</v>
      </c>
    </row>
    <row r="156" spans="1:22">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15">
        <v>15</v>
      </c>
      <c r="P156" s="4">
        <v>714</v>
      </c>
      <c r="Q156" s="4">
        <v>4</v>
      </c>
      <c r="R156" s="4" t="s">
        <v>92</v>
      </c>
      <c r="S156" s="4" t="s">
        <v>53</v>
      </c>
      <c r="T156" s="4" t="s">
        <v>54</v>
      </c>
      <c r="U156" s="6" t="s">
        <v>836</v>
      </c>
      <c r="V156" s="21" t="s">
        <v>42</v>
      </c>
    </row>
    <row r="157" spans="1:22">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16">
        <v>5</v>
      </c>
      <c r="P157" s="8">
        <v>10260</v>
      </c>
      <c r="Q157" s="8">
        <v>5</v>
      </c>
      <c r="R157" s="8" t="s">
        <v>52</v>
      </c>
      <c r="S157" s="8" t="s">
        <v>65</v>
      </c>
      <c r="T157" s="8" t="s">
        <v>66</v>
      </c>
      <c r="U157" s="9" t="s">
        <v>841</v>
      </c>
      <c r="V157" s="22" t="s">
        <v>68</v>
      </c>
    </row>
    <row r="158" spans="1:22">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15">
        <v>10</v>
      </c>
      <c r="P158" s="4">
        <v>3240</v>
      </c>
      <c r="Q158" s="4">
        <v>2</v>
      </c>
      <c r="R158" s="4" t="s">
        <v>83</v>
      </c>
      <c r="S158" s="4" t="s">
        <v>155</v>
      </c>
      <c r="T158" s="4" t="s">
        <v>232</v>
      </c>
      <c r="U158" s="6" t="s">
        <v>845</v>
      </c>
      <c r="V158" s="21" t="s">
        <v>73</v>
      </c>
    </row>
    <row r="159" spans="1:22">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16">
        <v>10</v>
      </c>
      <c r="P159" s="8">
        <v>108</v>
      </c>
      <c r="Q159" s="8">
        <v>2</v>
      </c>
      <c r="R159" s="8" t="s">
        <v>92</v>
      </c>
      <c r="S159" s="8" t="s">
        <v>65</v>
      </c>
      <c r="T159" s="8" t="s">
        <v>336</v>
      </c>
      <c r="U159" s="9" t="s">
        <v>848</v>
      </c>
      <c r="V159" s="22" t="s">
        <v>42</v>
      </c>
    </row>
    <row r="160" spans="1:22">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15">
        <v>20</v>
      </c>
      <c r="P160" s="4">
        <v>25200</v>
      </c>
      <c r="Q160" s="4">
        <v>1</v>
      </c>
      <c r="R160" s="4" t="s">
        <v>52</v>
      </c>
      <c r="S160" s="4" t="s">
        <v>39</v>
      </c>
      <c r="T160" s="4" t="s">
        <v>84</v>
      </c>
      <c r="U160" s="6" t="s">
        <v>852</v>
      </c>
      <c r="V160" s="21" t="s">
        <v>42</v>
      </c>
    </row>
    <row r="161" spans="1:22">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16">
        <v>5</v>
      </c>
      <c r="P161" s="8">
        <v>209000</v>
      </c>
      <c r="Q161" s="8">
        <v>2</v>
      </c>
      <c r="R161" s="8" t="s">
        <v>38</v>
      </c>
      <c r="S161" s="8" t="s">
        <v>155</v>
      </c>
      <c r="T161" s="8" t="s">
        <v>232</v>
      </c>
      <c r="U161" s="9" t="s">
        <v>855</v>
      </c>
      <c r="V161" s="22" t="s">
        <v>68</v>
      </c>
    </row>
    <row r="162" spans="1:22">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15">
        <v>20</v>
      </c>
      <c r="P162" s="4">
        <v>6160</v>
      </c>
      <c r="Q162" s="4">
        <v>4</v>
      </c>
      <c r="R162" s="4" t="s">
        <v>38</v>
      </c>
      <c r="S162" s="4" t="s">
        <v>155</v>
      </c>
      <c r="T162" s="4" t="s">
        <v>336</v>
      </c>
      <c r="U162" s="6" t="s">
        <v>859</v>
      </c>
      <c r="V162" s="21" t="s">
        <v>73</v>
      </c>
    </row>
    <row r="163" spans="1:22">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16">
        <v>5</v>
      </c>
      <c r="P163" s="8">
        <v>18240</v>
      </c>
      <c r="Q163" s="8">
        <v>1</v>
      </c>
      <c r="R163" s="8" t="s">
        <v>83</v>
      </c>
      <c r="S163" s="8" t="s">
        <v>39</v>
      </c>
      <c r="T163" s="8" t="s">
        <v>179</v>
      </c>
      <c r="U163" s="9" t="s">
        <v>862</v>
      </c>
      <c r="V163" s="22" t="s">
        <v>68</v>
      </c>
    </row>
    <row r="164" spans="1:22">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15">
        <v>5</v>
      </c>
      <c r="P164" s="4">
        <v>1140</v>
      </c>
      <c r="Q164" s="4">
        <v>4</v>
      </c>
      <c r="R164" s="4" t="s">
        <v>83</v>
      </c>
      <c r="S164" s="4" t="s">
        <v>39</v>
      </c>
      <c r="T164" s="4" t="s">
        <v>179</v>
      </c>
      <c r="U164" s="6" t="s">
        <v>866</v>
      </c>
      <c r="V164" s="21" t="s">
        <v>42</v>
      </c>
    </row>
    <row r="165" spans="1:22">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16">
        <v>0</v>
      </c>
      <c r="P165" s="8">
        <v>420</v>
      </c>
      <c r="Q165" s="8">
        <v>2</v>
      </c>
      <c r="R165" s="8" t="s">
        <v>92</v>
      </c>
      <c r="S165" s="8" t="s">
        <v>155</v>
      </c>
      <c r="T165" s="8" t="s">
        <v>336</v>
      </c>
      <c r="U165" s="9" t="s">
        <v>871</v>
      </c>
      <c r="V165" s="22" t="s">
        <v>42</v>
      </c>
    </row>
    <row r="166" spans="1:22">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15">
        <v>0</v>
      </c>
      <c r="P166" s="4">
        <v>30800</v>
      </c>
      <c r="Q166" s="4">
        <v>2</v>
      </c>
      <c r="R166" s="4" t="s">
        <v>92</v>
      </c>
      <c r="S166" s="4" t="s">
        <v>39</v>
      </c>
      <c r="T166" s="4" t="s">
        <v>179</v>
      </c>
      <c r="U166" s="6" t="s">
        <v>874</v>
      </c>
      <c r="V166" s="21" t="s">
        <v>73</v>
      </c>
    </row>
    <row r="167" spans="1:22">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16">
        <v>15</v>
      </c>
      <c r="P167" s="8">
        <v>44625</v>
      </c>
      <c r="Q167" s="8">
        <v>2</v>
      </c>
      <c r="R167" s="8" t="s">
        <v>92</v>
      </c>
      <c r="S167" s="8" t="s">
        <v>65</v>
      </c>
      <c r="T167" s="8" t="s">
        <v>179</v>
      </c>
      <c r="U167" s="9" t="s">
        <v>878</v>
      </c>
      <c r="V167" s="22" t="s">
        <v>68</v>
      </c>
    </row>
    <row r="168" spans="1:22">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15">
        <v>5</v>
      </c>
      <c r="P168" s="4">
        <v>63175</v>
      </c>
      <c r="Q168" s="4">
        <v>2</v>
      </c>
      <c r="R168" s="4" t="s">
        <v>38</v>
      </c>
      <c r="S168" s="4" t="s">
        <v>119</v>
      </c>
      <c r="T168" s="4" t="s">
        <v>136</v>
      </c>
      <c r="U168" s="6" t="s">
        <v>883</v>
      </c>
      <c r="V168" s="21" t="s">
        <v>73</v>
      </c>
    </row>
    <row r="169" spans="1:22">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16">
        <v>5</v>
      </c>
      <c r="P169" s="8">
        <v>627000</v>
      </c>
      <c r="Q169" s="8">
        <v>4</v>
      </c>
      <c r="R169" s="8" t="s">
        <v>83</v>
      </c>
      <c r="S169" s="8" t="s">
        <v>65</v>
      </c>
      <c r="T169" s="8" t="s">
        <v>336</v>
      </c>
      <c r="U169" s="9" t="s">
        <v>887</v>
      </c>
      <c r="V169" s="22" t="s">
        <v>73</v>
      </c>
    </row>
    <row r="170" spans="1:22">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15">
        <v>10</v>
      </c>
      <c r="P170" s="4">
        <v>6480</v>
      </c>
      <c r="Q170" s="4">
        <v>5</v>
      </c>
      <c r="R170" s="4" t="s">
        <v>52</v>
      </c>
      <c r="S170" s="4" t="s">
        <v>119</v>
      </c>
      <c r="T170" s="4" t="s">
        <v>66</v>
      </c>
      <c r="U170" s="6" t="s">
        <v>890</v>
      </c>
      <c r="V170" s="21" t="s">
        <v>73</v>
      </c>
    </row>
    <row r="171" spans="1:22">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16">
        <v>0</v>
      </c>
      <c r="P171" s="8">
        <v>8500</v>
      </c>
      <c r="Q171" s="8">
        <v>1</v>
      </c>
      <c r="R171" s="8" t="s">
        <v>92</v>
      </c>
      <c r="S171" s="8" t="s">
        <v>155</v>
      </c>
      <c r="T171" s="8" t="s">
        <v>260</v>
      </c>
      <c r="U171" s="9" t="s">
        <v>893</v>
      </c>
      <c r="V171" s="22" t="s">
        <v>73</v>
      </c>
    </row>
    <row r="172" spans="1:22">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15">
        <v>10</v>
      </c>
      <c r="P172" s="4">
        <v>990000</v>
      </c>
      <c r="Q172" s="4">
        <v>5</v>
      </c>
      <c r="R172" s="4" t="s">
        <v>52</v>
      </c>
      <c r="S172" s="4" t="s">
        <v>155</v>
      </c>
      <c r="T172" s="4" t="s">
        <v>136</v>
      </c>
      <c r="U172" s="6" t="s">
        <v>898</v>
      </c>
      <c r="V172" s="21" t="s">
        <v>42</v>
      </c>
    </row>
    <row r="173" spans="1:22">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16">
        <v>15</v>
      </c>
      <c r="P173" s="8">
        <v>8160</v>
      </c>
      <c r="Q173" s="8">
        <v>2</v>
      </c>
      <c r="R173" s="8" t="s">
        <v>92</v>
      </c>
      <c r="S173" s="8" t="s">
        <v>119</v>
      </c>
      <c r="T173" s="8" t="s">
        <v>232</v>
      </c>
      <c r="U173" s="9" t="s">
        <v>902</v>
      </c>
      <c r="V173" s="22" t="s">
        <v>73</v>
      </c>
    </row>
    <row r="174" spans="1:22">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15">
        <v>5</v>
      </c>
      <c r="P174" s="4">
        <v>63175</v>
      </c>
      <c r="Q174" s="4">
        <v>4</v>
      </c>
      <c r="R174" s="4" t="s">
        <v>92</v>
      </c>
      <c r="S174" s="4" t="s">
        <v>53</v>
      </c>
      <c r="T174" s="4" t="s">
        <v>54</v>
      </c>
      <c r="U174" s="6" t="s">
        <v>907</v>
      </c>
      <c r="V174" s="21" t="s">
        <v>68</v>
      </c>
    </row>
    <row r="175" spans="1:22">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16">
        <v>20</v>
      </c>
      <c r="P175" s="8">
        <v>216</v>
      </c>
      <c r="Q175" s="8">
        <v>1</v>
      </c>
      <c r="R175" s="8" t="s">
        <v>83</v>
      </c>
      <c r="S175" s="8" t="s">
        <v>53</v>
      </c>
      <c r="T175" s="8" t="s">
        <v>911</v>
      </c>
      <c r="U175" s="9" t="s">
        <v>912</v>
      </c>
      <c r="V175" s="22" t="s">
        <v>68</v>
      </c>
    </row>
    <row r="176" spans="1:22">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15">
        <v>15</v>
      </c>
      <c r="P176" s="4">
        <v>650.25</v>
      </c>
      <c r="Q176" s="4">
        <v>5</v>
      </c>
      <c r="R176" s="4" t="s">
        <v>38</v>
      </c>
      <c r="S176" s="4" t="s">
        <v>119</v>
      </c>
      <c r="T176" s="4" t="s">
        <v>260</v>
      </c>
      <c r="U176" s="6" t="s">
        <v>916</v>
      </c>
      <c r="V176" s="21" t="s">
        <v>68</v>
      </c>
    </row>
    <row r="177" spans="1:22">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16">
        <v>5</v>
      </c>
      <c r="P177" s="8">
        <v>361</v>
      </c>
      <c r="Q177" s="8">
        <v>4</v>
      </c>
      <c r="R177" s="8" t="s">
        <v>38</v>
      </c>
      <c r="S177" s="8" t="s">
        <v>39</v>
      </c>
      <c r="T177" s="8" t="s">
        <v>54</v>
      </c>
      <c r="U177" s="9" t="s">
        <v>920</v>
      </c>
      <c r="V177" s="22" t="s">
        <v>68</v>
      </c>
    </row>
    <row r="178" spans="1:22">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15">
        <v>0</v>
      </c>
      <c r="P178" s="4">
        <v>220</v>
      </c>
      <c r="Q178" s="4">
        <v>3</v>
      </c>
      <c r="R178" s="4" t="s">
        <v>52</v>
      </c>
      <c r="S178" s="4" t="s">
        <v>53</v>
      </c>
      <c r="T178" s="4" t="s">
        <v>260</v>
      </c>
      <c r="U178" s="6" t="s">
        <v>925</v>
      </c>
      <c r="V178" s="21" t="s">
        <v>42</v>
      </c>
    </row>
    <row r="179" spans="1:22">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16">
        <v>0</v>
      </c>
      <c r="P179" s="8">
        <v>720</v>
      </c>
      <c r="Q179" s="8">
        <v>2</v>
      </c>
      <c r="R179" s="8" t="s">
        <v>52</v>
      </c>
      <c r="S179" s="8" t="s">
        <v>53</v>
      </c>
      <c r="T179" s="8" t="s">
        <v>179</v>
      </c>
      <c r="U179" s="9" t="s">
        <v>929</v>
      </c>
      <c r="V179" s="22" t="s">
        <v>42</v>
      </c>
    </row>
    <row r="180" spans="1:22">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15">
        <v>15</v>
      </c>
      <c r="P180" s="4">
        <v>535.5</v>
      </c>
      <c r="Q180" s="4">
        <v>5</v>
      </c>
      <c r="R180" s="4" t="s">
        <v>92</v>
      </c>
      <c r="S180" s="4" t="s">
        <v>119</v>
      </c>
      <c r="T180" s="4" t="s">
        <v>232</v>
      </c>
      <c r="U180" s="6" t="s">
        <v>934</v>
      </c>
      <c r="V180" s="21" t="s">
        <v>68</v>
      </c>
    </row>
    <row r="181" spans="1:22">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16">
        <v>10</v>
      </c>
      <c r="P181" s="8">
        <v>9450</v>
      </c>
      <c r="Q181" s="8">
        <v>3</v>
      </c>
      <c r="R181" s="8" t="s">
        <v>52</v>
      </c>
      <c r="S181" s="8" t="s">
        <v>53</v>
      </c>
      <c r="T181" s="8" t="s">
        <v>54</v>
      </c>
      <c r="U181" s="9" t="s">
        <v>938</v>
      </c>
      <c r="V181" s="22" t="s">
        <v>68</v>
      </c>
    </row>
    <row r="182" spans="1:22">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15">
        <v>15</v>
      </c>
      <c r="P182" s="4">
        <v>137275</v>
      </c>
      <c r="Q182" s="4">
        <v>2</v>
      </c>
      <c r="R182" s="4" t="s">
        <v>38</v>
      </c>
      <c r="S182" s="4" t="s">
        <v>39</v>
      </c>
      <c r="T182" s="4" t="s">
        <v>148</v>
      </c>
      <c r="U182" s="6" t="s">
        <v>942</v>
      </c>
      <c r="V182" s="21" t="s">
        <v>73</v>
      </c>
    </row>
    <row r="183" spans="1:22">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16">
        <v>20</v>
      </c>
      <c r="P183" s="8">
        <v>912</v>
      </c>
      <c r="Q183" s="8">
        <v>4</v>
      </c>
      <c r="R183" s="8" t="s">
        <v>83</v>
      </c>
      <c r="S183" s="8" t="s">
        <v>53</v>
      </c>
      <c r="T183" s="8" t="s">
        <v>260</v>
      </c>
      <c r="U183" s="9" t="s">
        <v>946</v>
      </c>
      <c r="V183" s="22" t="s">
        <v>68</v>
      </c>
    </row>
    <row r="184" spans="1:22">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15">
        <v>15</v>
      </c>
      <c r="P184" s="4">
        <v>382.5</v>
      </c>
      <c r="Q184" s="4">
        <v>4</v>
      </c>
      <c r="R184" s="4" t="s">
        <v>38</v>
      </c>
      <c r="S184" s="4" t="s">
        <v>155</v>
      </c>
      <c r="T184" s="4" t="s">
        <v>148</v>
      </c>
      <c r="U184" s="6" t="s">
        <v>950</v>
      </c>
      <c r="V184" s="21" t="s">
        <v>42</v>
      </c>
    </row>
    <row r="185" spans="1:22">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16">
        <v>20</v>
      </c>
      <c r="P185" s="8">
        <v>12320</v>
      </c>
      <c r="Q185" s="8">
        <v>5</v>
      </c>
      <c r="R185" s="8" t="s">
        <v>92</v>
      </c>
      <c r="S185" s="8" t="s">
        <v>53</v>
      </c>
      <c r="T185" s="8" t="s">
        <v>84</v>
      </c>
      <c r="U185" s="9" t="s">
        <v>955</v>
      </c>
      <c r="V185" s="22" t="s">
        <v>68</v>
      </c>
    </row>
    <row r="186" spans="1:22">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15">
        <v>20</v>
      </c>
      <c r="P186" s="4">
        <v>136000</v>
      </c>
      <c r="Q186" s="4">
        <v>4</v>
      </c>
      <c r="R186" s="4" t="s">
        <v>52</v>
      </c>
      <c r="S186" s="4" t="s">
        <v>39</v>
      </c>
      <c r="T186" s="4" t="s">
        <v>148</v>
      </c>
      <c r="U186" s="6" t="s">
        <v>959</v>
      </c>
      <c r="V186" s="21" t="s">
        <v>42</v>
      </c>
    </row>
    <row r="187" spans="1:22">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16">
        <v>5</v>
      </c>
      <c r="P187" s="8">
        <v>20900</v>
      </c>
      <c r="Q187" s="8">
        <v>2</v>
      </c>
      <c r="R187" s="8" t="s">
        <v>52</v>
      </c>
      <c r="S187" s="8" t="s">
        <v>53</v>
      </c>
      <c r="T187" s="8" t="s">
        <v>260</v>
      </c>
      <c r="U187" s="9" t="s">
        <v>963</v>
      </c>
      <c r="V187" s="22" t="s">
        <v>42</v>
      </c>
    </row>
    <row r="188" spans="1:22">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15">
        <v>20</v>
      </c>
      <c r="P188" s="4">
        <v>720</v>
      </c>
      <c r="Q188" s="4">
        <v>1</v>
      </c>
      <c r="R188" s="4" t="s">
        <v>83</v>
      </c>
      <c r="S188" s="4" t="s">
        <v>39</v>
      </c>
      <c r="T188" s="4" t="s">
        <v>136</v>
      </c>
      <c r="U188" s="6" t="s">
        <v>967</v>
      </c>
      <c r="V188" s="21" t="s">
        <v>42</v>
      </c>
    </row>
    <row r="189" spans="1:22">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16">
        <v>5</v>
      </c>
      <c r="P189" s="8">
        <v>59850</v>
      </c>
      <c r="Q189" s="8">
        <v>1</v>
      </c>
      <c r="R189" s="8" t="s">
        <v>83</v>
      </c>
      <c r="S189" s="8" t="s">
        <v>53</v>
      </c>
      <c r="T189" s="8" t="s">
        <v>232</v>
      </c>
      <c r="U189" s="9" t="s">
        <v>971</v>
      </c>
      <c r="V189" s="22" t="s">
        <v>73</v>
      </c>
    </row>
    <row r="190" spans="1:22">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15">
        <v>5</v>
      </c>
      <c r="P190" s="4">
        <v>68400</v>
      </c>
      <c r="Q190" s="4">
        <v>1</v>
      </c>
      <c r="R190" s="4" t="s">
        <v>52</v>
      </c>
      <c r="S190" s="4" t="s">
        <v>53</v>
      </c>
      <c r="T190" s="4" t="s">
        <v>336</v>
      </c>
      <c r="U190" s="6" t="s">
        <v>976</v>
      </c>
      <c r="V190" s="21" t="s">
        <v>73</v>
      </c>
    </row>
    <row r="191" spans="1:22">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16">
        <v>10</v>
      </c>
      <c r="P191" s="8">
        <v>342</v>
      </c>
      <c r="Q191" s="8">
        <v>2</v>
      </c>
      <c r="R191" s="8" t="s">
        <v>52</v>
      </c>
      <c r="S191" s="8" t="s">
        <v>39</v>
      </c>
      <c r="T191" s="8" t="s">
        <v>336</v>
      </c>
      <c r="U191" s="9" t="s">
        <v>979</v>
      </c>
      <c r="V191" s="22" t="s">
        <v>68</v>
      </c>
    </row>
    <row r="192" spans="1:22">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15">
        <v>0</v>
      </c>
      <c r="P192" s="4">
        <v>15400</v>
      </c>
      <c r="Q192" s="4">
        <v>1</v>
      </c>
      <c r="R192" s="4" t="s">
        <v>83</v>
      </c>
      <c r="S192" s="4" t="s">
        <v>119</v>
      </c>
      <c r="T192" s="4" t="s">
        <v>232</v>
      </c>
      <c r="U192" s="6" t="s">
        <v>982</v>
      </c>
      <c r="V192" s="21" t="s">
        <v>73</v>
      </c>
    </row>
    <row r="193" spans="1:22">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16">
        <v>5</v>
      </c>
      <c r="P193" s="8">
        <v>34200</v>
      </c>
      <c r="Q193" s="8">
        <v>3</v>
      </c>
      <c r="R193" s="8" t="s">
        <v>83</v>
      </c>
      <c r="S193" s="8" t="s">
        <v>65</v>
      </c>
      <c r="T193" s="8" t="s">
        <v>336</v>
      </c>
      <c r="U193" s="9" t="s">
        <v>986</v>
      </c>
      <c r="V193" s="22" t="s">
        <v>73</v>
      </c>
    </row>
    <row r="194" spans="1:22">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15">
        <v>0</v>
      </c>
      <c r="P194" s="4">
        <v>35200</v>
      </c>
      <c r="Q194" s="4">
        <v>5</v>
      </c>
      <c r="R194" s="4" t="s">
        <v>83</v>
      </c>
      <c r="S194" s="4" t="s">
        <v>39</v>
      </c>
      <c r="T194" s="4" t="s">
        <v>179</v>
      </c>
      <c r="U194" s="6" t="s">
        <v>989</v>
      </c>
      <c r="V194" s="21" t="s">
        <v>68</v>
      </c>
    </row>
    <row r="195" spans="1:22">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16">
        <v>5</v>
      </c>
      <c r="P195" s="8">
        <v>16720</v>
      </c>
      <c r="Q195" s="8">
        <v>2</v>
      </c>
      <c r="R195" s="8" t="s">
        <v>92</v>
      </c>
      <c r="S195" s="8" t="s">
        <v>155</v>
      </c>
      <c r="T195" s="8" t="s">
        <v>260</v>
      </c>
      <c r="U195" s="9" t="s">
        <v>994</v>
      </c>
      <c r="V195" s="22" t="s">
        <v>42</v>
      </c>
    </row>
    <row r="196" spans="1:22">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15">
        <v>10</v>
      </c>
      <c r="P196" s="4">
        <v>19800</v>
      </c>
      <c r="Q196" s="4">
        <v>5</v>
      </c>
      <c r="R196" s="4" t="s">
        <v>52</v>
      </c>
      <c r="S196" s="4" t="s">
        <v>119</v>
      </c>
      <c r="T196" s="4" t="s">
        <v>260</v>
      </c>
      <c r="U196" s="6" t="s">
        <v>997</v>
      </c>
      <c r="V196" s="21" t="s">
        <v>68</v>
      </c>
    </row>
    <row r="197" spans="1:22">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16">
        <v>10</v>
      </c>
      <c r="P197" s="8">
        <v>126</v>
      </c>
      <c r="Q197" s="8">
        <v>4</v>
      </c>
      <c r="R197" s="8" t="s">
        <v>83</v>
      </c>
      <c r="S197" s="8" t="s">
        <v>65</v>
      </c>
      <c r="T197" s="8" t="s">
        <v>93</v>
      </c>
      <c r="U197" s="9" t="s">
        <v>1000</v>
      </c>
      <c r="V197" s="22" t="s">
        <v>42</v>
      </c>
    </row>
    <row r="198" spans="1:22">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15">
        <v>20</v>
      </c>
      <c r="P198" s="4">
        <v>129200</v>
      </c>
      <c r="Q198" s="4">
        <v>3</v>
      </c>
      <c r="R198" s="4" t="s">
        <v>52</v>
      </c>
      <c r="S198" s="4" t="s">
        <v>65</v>
      </c>
      <c r="T198" s="4" t="s">
        <v>232</v>
      </c>
      <c r="U198" s="6" t="s">
        <v>1004</v>
      </c>
      <c r="V198" s="21" t="s">
        <v>68</v>
      </c>
    </row>
    <row r="199" spans="1:22">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16">
        <v>0</v>
      </c>
      <c r="P199" s="8">
        <v>960</v>
      </c>
      <c r="Q199" s="8">
        <v>2</v>
      </c>
      <c r="R199" s="8" t="s">
        <v>52</v>
      </c>
      <c r="S199" s="8" t="s">
        <v>119</v>
      </c>
      <c r="T199" s="8" t="s">
        <v>148</v>
      </c>
      <c r="U199" s="9" t="s">
        <v>1007</v>
      </c>
      <c r="V199" s="22" t="s">
        <v>42</v>
      </c>
    </row>
    <row r="200" spans="1:22">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15">
        <v>5</v>
      </c>
      <c r="P200" s="4">
        <v>59850</v>
      </c>
      <c r="Q200" s="4">
        <v>1</v>
      </c>
      <c r="R200" s="4" t="s">
        <v>92</v>
      </c>
      <c r="S200" s="4" t="s">
        <v>119</v>
      </c>
      <c r="T200" s="4" t="s">
        <v>232</v>
      </c>
      <c r="U200" s="6" t="s">
        <v>1012</v>
      </c>
      <c r="V200" s="21" t="s">
        <v>68</v>
      </c>
    </row>
    <row r="201" spans="1:22">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16">
        <v>0</v>
      </c>
      <c r="P201" s="8">
        <v>880000</v>
      </c>
      <c r="Q201" s="8">
        <v>1</v>
      </c>
      <c r="R201" s="8" t="s">
        <v>83</v>
      </c>
      <c r="S201" s="8" t="s">
        <v>65</v>
      </c>
      <c r="T201" s="8" t="s">
        <v>148</v>
      </c>
      <c r="U201" s="9" t="s">
        <v>1016</v>
      </c>
      <c r="V201" s="22" t="s">
        <v>73</v>
      </c>
    </row>
    <row r="202" spans="1:22">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15">
        <v>15</v>
      </c>
      <c r="P202" s="4">
        <v>18360</v>
      </c>
      <c r="Q202" s="4">
        <v>2</v>
      </c>
      <c r="R202" s="4" t="s">
        <v>52</v>
      </c>
      <c r="S202" s="4" t="s">
        <v>39</v>
      </c>
      <c r="T202" s="4" t="s">
        <v>232</v>
      </c>
      <c r="U202" s="6" t="s">
        <v>1019</v>
      </c>
      <c r="V202" s="21" t="s">
        <v>73</v>
      </c>
    </row>
    <row r="203" spans="1:22">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16">
        <v>15</v>
      </c>
      <c r="P203" s="8">
        <v>76.5</v>
      </c>
      <c r="Q203" s="8">
        <v>5</v>
      </c>
      <c r="R203" s="8" t="s">
        <v>38</v>
      </c>
      <c r="S203" s="8" t="s">
        <v>65</v>
      </c>
      <c r="T203" s="8" t="s">
        <v>84</v>
      </c>
      <c r="U203" s="9" t="s">
        <v>1024</v>
      </c>
      <c r="V203" s="22" t="s">
        <v>73</v>
      </c>
    </row>
    <row r="204" spans="1:22">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15">
        <v>0</v>
      </c>
      <c r="P204" s="4">
        <v>170000</v>
      </c>
      <c r="Q204" s="4">
        <v>4</v>
      </c>
      <c r="R204" s="4" t="s">
        <v>52</v>
      </c>
      <c r="S204" s="4" t="s">
        <v>65</v>
      </c>
      <c r="T204" s="4" t="s">
        <v>66</v>
      </c>
      <c r="U204" s="6" t="s">
        <v>1027</v>
      </c>
      <c r="V204" s="21" t="s">
        <v>73</v>
      </c>
    </row>
    <row r="205" spans="1:22">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16">
        <v>5</v>
      </c>
      <c r="P205" s="8">
        <v>19950</v>
      </c>
      <c r="Q205" s="8">
        <v>1</v>
      </c>
      <c r="R205" s="8" t="s">
        <v>38</v>
      </c>
      <c r="S205" s="8" t="s">
        <v>155</v>
      </c>
      <c r="T205" s="8" t="s">
        <v>136</v>
      </c>
      <c r="U205" s="9" t="s">
        <v>1030</v>
      </c>
      <c r="V205" s="22" t="s">
        <v>42</v>
      </c>
    </row>
    <row r="206" spans="1:22">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15">
        <v>5</v>
      </c>
      <c r="P206" s="4">
        <v>342</v>
      </c>
      <c r="Q206" s="4">
        <v>2</v>
      </c>
      <c r="R206" s="4" t="s">
        <v>38</v>
      </c>
      <c r="S206" s="4" t="s">
        <v>53</v>
      </c>
      <c r="T206" s="4" t="s">
        <v>179</v>
      </c>
      <c r="U206" s="6" t="s">
        <v>1033</v>
      </c>
      <c r="V206" s="21" t="s">
        <v>68</v>
      </c>
    </row>
    <row r="207" spans="1:22">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16">
        <v>15</v>
      </c>
      <c r="P207" s="8">
        <v>33660</v>
      </c>
      <c r="Q207" s="8">
        <v>4</v>
      </c>
      <c r="R207" s="8" t="s">
        <v>83</v>
      </c>
      <c r="S207" s="8" t="s">
        <v>65</v>
      </c>
      <c r="T207" s="8" t="s">
        <v>336</v>
      </c>
      <c r="U207" s="9" t="s">
        <v>1037</v>
      </c>
      <c r="V207" s="22" t="s">
        <v>68</v>
      </c>
    </row>
    <row r="208" spans="1:22">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15">
        <v>15</v>
      </c>
      <c r="P208" s="4">
        <v>10710</v>
      </c>
      <c r="Q208" s="4">
        <v>3</v>
      </c>
      <c r="R208" s="4" t="s">
        <v>83</v>
      </c>
      <c r="S208" s="4" t="s">
        <v>155</v>
      </c>
      <c r="T208" s="4" t="s">
        <v>232</v>
      </c>
      <c r="U208" s="6" t="s">
        <v>1041</v>
      </c>
      <c r="V208" s="21" t="s">
        <v>73</v>
      </c>
    </row>
    <row r="209" spans="1:22">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16">
        <v>0</v>
      </c>
      <c r="P209" s="8">
        <v>660000</v>
      </c>
      <c r="Q209" s="8">
        <v>2</v>
      </c>
      <c r="R209" s="8" t="s">
        <v>92</v>
      </c>
      <c r="S209" s="8" t="s">
        <v>53</v>
      </c>
      <c r="T209" s="8" t="s">
        <v>336</v>
      </c>
      <c r="U209" s="9" t="s">
        <v>1046</v>
      </c>
      <c r="V209" s="22" t="s">
        <v>73</v>
      </c>
    </row>
    <row r="210" spans="1:22">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15">
        <v>5</v>
      </c>
      <c r="P210" s="4">
        <v>79800</v>
      </c>
      <c r="Q210" s="4">
        <v>3</v>
      </c>
      <c r="R210" s="4" t="s">
        <v>83</v>
      </c>
      <c r="S210" s="4" t="s">
        <v>155</v>
      </c>
      <c r="T210" s="4" t="s">
        <v>54</v>
      </c>
      <c r="U210" s="6" t="s">
        <v>1050</v>
      </c>
      <c r="V210" s="21" t="s">
        <v>68</v>
      </c>
    </row>
    <row r="211" spans="1:22">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16">
        <v>15</v>
      </c>
      <c r="P211" s="8">
        <v>81600</v>
      </c>
      <c r="Q211" s="8">
        <v>4</v>
      </c>
      <c r="R211" s="8" t="s">
        <v>83</v>
      </c>
      <c r="S211" s="8" t="s">
        <v>53</v>
      </c>
      <c r="T211" s="8" t="s">
        <v>260</v>
      </c>
      <c r="U211" s="9" t="s">
        <v>1054</v>
      </c>
      <c r="V211" s="22" t="s">
        <v>42</v>
      </c>
    </row>
    <row r="212" spans="1:22">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15">
        <v>5</v>
      </c>
      <c r="P212" s="4">
        <v>63175</v>
      </c>
      <c r="Q212" s="4">
        <v>3</v>
      </c>
      <c r="R212" s="4" t="s">
        <v>83</v>
      </c>
      <c r="S212" s="4" t="s">
        <v>65</v>
      </c>
      <c r="T212" s="4" t="s">
        <v>336</v>
      </c>
      <c r="U212" s="6" t="s">
        <v>1058</v>
      </c>
      <c r="V212" s="21" t="s">
        <v>68</v>
      </c>
    </row>
    <row r="213" spans="1:22">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16">
        <v>5</v>
      </c>
      <c r="P213" s="8">
        <v>299.25</v>
      </c>
      <c r="Q213" s="8">
        <v>3</v>
      </c>
      <c r="R213" s="8" t="s">
        <v>83</v>
      </c>
      <c r="S213" s="8" t="s">
        <v>39</v>
      </c>
      <c r="T213" s="8" t="s">
        <v>260</v>
      </c>
      <c r="U213" s="9" t="s">
        <v>1061</v>
      </c>
      <c r="V213" s="22" t="s">
        <v>73</v>
      </c>
    </row>
    <row r="214" spans="1:22">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15">
        <v>15</v>
      </c>
      <c r="P214" s="4">
        <v>153</v>
      </c>
      <c r="Q214" s="4">
        <v>3</v>
      </c>
      <c r="R214" s="4" t="s">
        <v>52</v>
      </c>
      <c r="S214" s="4" t="s">
        <v>53</v>
      </c>
      <c r="T214" s="4" t="s">
        <v>54</v>
      </c>
      <c r="U214" s="6" t="s">
        <v>1063</v>
      </c>
      <c r="V214" s="21" t="s">
        <v>73</v>
      </c>
    </row>
    <row r="215" spans="1:22">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16">
        <v>0</v>
      </c>
      <c r="P215" s="8">
        <v>855</v>
      </c>
      <c r="Q215" s="8">
        <v>2</v>
      </c>
      <c r="R215" s="8" t="s">
        <v>38</v>
      </c>
      <c r="S215" s="8" t="s">
        <v>65</v>
      </c>
      <c r="T215" s="8" t="s">
        <v>66</v>
      </c>
      <c r="U215" s="9" t="s">
        <v>1067</v>
      </c>
      <c r="V215" s="22" t="s">
        <v>42</v>
      </c>
    </row>
    <row r="216" spans="1:22">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15">
        <v>5</v>
      </c>
      <c r="P216" s="4">
        <v>114000</v>
      </c>
      <c r="Q216" s="4">
        <v>1</v>
      </c>
      <c r="R216" s="4" t="s">
        <v>83</v>
      </c>
      <c r="S216" s="4" t="s">
        <v>119</v>
      </c>
      <c r="T216" s="4" t="s">
        <v>148</v>
      </c>
      <c r="U216" s="6" t="s">
        <v>1071</v>
      </c>
      <c r="V216" s="21" t="s">
        <v>73</v>
      </c>
    </row>
    <row r="217" spans="1:22">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16">
        <v>0</v>
      </c>
      <c r="P217" s="8">
        <v>4800</v>
      </c>
      <c r="Q217" s="8">
        <v>4</v>
      </c>
      <c r="R217" s="8" t="s">
        <v>38</v>
      </c>
      <c r="S217" s="8" t="s">
        <v>65</v>
      </c>
      <c r="T217" s="8" t="s">
        <v>54</v>
      </c>
      <c r="U217" s="9" t="s">
        <v>1075</v>
      </c>
      <c r="V217" s="22" t="s">
        <v>42</v>
      </c>
    </row>
    <row r="218" spans="1:22">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15">
        <v>20</v>
      </c>
      <c r="P218" s="4">
        <v>13600</v>
      </c>
      <c r="Q218" s="4">
        <v>3</v>
      </c>
      <c r="R218" s="4" t="s">
        <v>83</v>
      </c>
      <c r="S218" s="4" t="s">
        <v>155</v>
      </c>
      <c r="T218" s="4" t="s">
        <v>232</v>
      </c>
      <c r="U218" s="6" t="s">
        <v>1079</v>
      </c>
      <c r="V218" s="21" t="s">
        <v>42</v>
      </c>
    </row>
    <row r="219" spans="1:22">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16">
        <v>20</v>
      </c>
      <c r="P219" s="8">
        <v>3920</v>
      </c>
      <c r="Q219" s="8">
        <v>2</v>
      </c>
      <c r="R219" s="8" t="s">
        <v>83</v>
      </c>
      <c r="S219" s="8" t="s">
        <v>155</v>
      </c>
      <c r="T219" s="8" t="s">
        <v>93</v>
      </c>
      <c r="U219" s="9" t="s">
        <v>1083</v>
      </c>
      <c r="V219" s="22" t="s">
        <v>68</v>
      </c>
    </row>
    <row r="220" spans="1:22">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15">
        <v>15</v>
      </c>
      <c r="P220" s="4">
        <v>153</v>
      </c>
      <c r="Q220" s="4">
        <v>3</v>
      </c>
      <c r="R220" s="4" t="s">
        <v>52</v>
      </c>
      <c r="S220" s="4" t="s">
        <v>119</v>
      </c>
      <c r="T220" s="4" t="s">
        <v>66</v>
      </c>
      <c r="U220" s="6" t="s">
        <v>1087</v>
      </c>
      <c r="V220" s="21" t="s">
        <v>42</v>
      </c>
    </row>
    <row r="221" spans="1:22">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16">
        <v>0</v>
      </c>
      <c r="P221" s="8">
        <v>136000</v>
      </c>
      <c r="Q221" s="8">
        <v>4</v>
      </c>
      <c r="R221" s="8" t="s">
        <v>52</v>
      </c>
      <c r="S221" s="8" t="s">
        <v>39</v>
      </c>
      <c r="T221" s="8" t="s">
        <v>148</v>
      </c>
      <c r="U221" s="9" t="s">
        <v>1092</v>
      </c>
      <c r="V221" s="22" t="s">
        <v>42</v>
      </c>
    </row>
    <row r="222" spans="1:22">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15">
        <v>5</v>
      </c>
      <c r="P222" s="4">
        <v>33250</v>
      </c>
      <c r="Q222" s="4">
        <v>3</v>
      </c>
      <c r="R222" s="4" t="s">
        <v>52</v>
      </c>
      <c r="S222" s="4" t="s">
        <v>119</v>
      </c>
      <c r="T222" s="4" t="s">
        <v>260</v>
      </c>
      <c r="U222" s="6" t="s">
        <v>1096</v>
      </c>
      <c r="V222" s="21" t="s">
        <v>42</v>
      </c>
    </row>
    <row r="223" spans="1:22">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16">
        <v>0</v>
      </c>
      <c r="P223" s="8">
        <v>12000</v>
      </c>
      <c r="Q223" s="8">
        <v>5</v>
      </c>
      <c r="R223" s="8" t="s">
        <v>92</v>
      </c>
      <c r="S223" s="8" t="s">
        <v>119</v>
      </c>
      <c r="T223" s="8" t="s">
        <v>66</v>
      </c>
      <c r="U223" s="9" t="s">
        <v>1100</v>
      </c>
      <c r="V223" s="22" t="s">
        <v>68</v>
      </c>
    </row>
    <row r="224" spans="1:22">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15">
        <v>15</v>
      </c>
      <c r="P224" s="4">
        <v>726.75</v>
      </c>
      <c r="Q224" s="4">
        <v>2</v>
      </c>
      <c r="R224" s="4" t="s">
        <v>92</v>
      </c>
      <c r="S224" s="4" t="s">
        <v>155</v>
      </c>
      <c r="T224" s="4" t="s">
        <v>336</v>
      </c>
      <c r="U224" s="6" t="s">
        <v>1104</v>
      </c>
      <c r="V224" s="21" t="s">
        <v>68</v>
      </c>
    </row>
    <row r="225" spans="1:22">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16">
        <v>5</v>
      </c>
      <c r="P225" s="8">
        <v>679250</v>
      </c>
      <c r="Q225" s="8">
        <v>4</v>
      </c>
      <c r="R225" s="8" t="s">
        <v>83</v>
      </c>
      <c r="S225" s="8" t="s">
        <v>53</v>
      </c>
      <c r="T225" s="8" t="s">
        <v>54</v>
      </c>
      <c r="U225" s="9" t="s">
        <v>1108</v>
      </c>
      <c r="V225" s="22" t="s">
        <v>73</v>
      </c>
    </row>
    <row r="226" spans="1:22">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15">
        <v>15</v>
      </c>
      <c r="P226" s="4">
        <v>76.5</v>
      </c>
      <c r="Q226" s="4">
        <v>1</v>
      </c>
      <c r="R226" s="4" t="s">
        <v>52</v>
      </c>
      <c r="S226" s="4" t="s">
        <v>119</v>
      </c>
      <c r="T226" s="4" t="s">
        <v>93</v>
      </c>
      <c r="U226" s="6" t="s">
        <v>1112</v>
      </c>
      <c r="V226" s="21" t="s">
        <v>42</v>
      </c>
    </row>
    <row r="227" spans="1:22">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16">
        <v>15</v>
      </c>
      <c r="P227" s="8">
        <v>136</v>
      </c>
      <c r="Q227" s="8">
        <v>1</v>
      </c>
      <c r="R227" s="8" t="s">
        <v>83</v>
      </c>
      <c r="S227" s="8" t="s">
        <v>39</v>
      </c>
      <c r="T227" s="8" t="s">
        <v>148</v>
      </c>
      <c r="U227" s="9" t="s">
        <v>1116</v>
      </c>
      <c r="V227" s="22" t="s">
        <v>68</v>
      </c>
    </row>
    <row r="228" spans="1:22">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15">
        <v>5</v>
      </c>
      <c r="P228" s="4">
        <v>102600</v>
      </c>
      <c r="Q228" s="4">
        <v>2</v>
      </c>
      <c r="R228" s="4" t="s">
        <v>83</v>
      </c>
      <c r="S228" s="4" t="s">
        <v>39</v>
      </c>
      <c r="T228" s="4" t="s">
        <v>179</v>
      </c>
      <c r="U228" s="6" t="s">
        <v>1121</v>
      </c>
      <c r="V228" s="21" t="s">
        <v>73</v>
      </c>
    </row>
    <row r="229" spans="1:22">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16">
        <v>15</v>
      </c>
      <c r="P229" s="8">
        <v>8925</v>
      </c>
      <c r="Q229" s="8">
        <v>1</v>
      </c>
      <c r="R229" s="8" t="s">
        <v>38</v>
      </c>
      <c r="S229" s="8" t="s">
        <v>53</v>
      </c>
      <c r="T229" s="8" t="s">
        <v>84</v>
      </c>
      <c r="U229" s="9" t="s">
        <v>1126</v>
      </c>
      <c r="V229" s="22" t="s">
        <v>73</v>
      </c>
    </row>
    <row r="230" spans="1:22">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15">
        <v>20</v>
      </c>
      <c r="P230" s="4">
        <v>10080</v>
      </c>
      <c r="Q230" s="4">
        <v>1</v>
      </c>
      <c r="R230" s="4" t="s">
        <v>83</v>
      </c>
      <c r="S230" s="4" t="s">
        <v>155</v>
      </c>
      <c r="T230" s="4" t="s">
        <v>148</v>
      </c>
      <c r="U230" s="6" t="s">
        <v>1130</v>
      </c>
      <c r="V230" s="21" t="s">
        <v>42</v>
      </c>
    </row>
    <row r="231" spans="1:22">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16">
        <v>5</v>
      </c>
      <c r="P231" s="8">
        <v>46550</v>
      </c>
      <c r="Q231" s="8">
        <v>1</v>
      </c>
      <c r="R231" s="8" t="s">
        <v>38</v>
      </c>
      <c r="S231" s="8" t="s">
        <v>65</v>
      </c>
      <c r="T231" s="8" t="s">
        <v>84</v>
      </c>
      <c r="U231" s="9" t="s">
        <v>1134</v>
      </c>
      <c r="V231" s="22" t="s">
        <v>42</v>
      </c>
    </row>
    <row r="232" spans="1:22">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15">
        <v>5</v>
      </c>
      <c r="P232" s="4">
        <v>3990</v>
      </c>
      <c r="Q232" s="4">
        <v>5</v>
      </c>
      <c r="R232" s="4" t="s">
        <v>38</v>
      </c>
      <c r="S232" s="4" t="s">
        <v>39</v>
      </c>
      <c r="T232" s="4" t="s">
        <v>148</v>
      </c>
      <c r="U232" s="6" t="s">
        <v>1137</v>
      </c>
      <c r="V232" s="21" t="s">
        <v>42</v>
      </c>
    </row>
    <row r="233" spans="1:22">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16">
        <v>15</v>
      </c>
      <c r="P233" s="8">
        <v>50575</v>
      </c>
      <c r="Q233" s="8">
        <v>3</v>
      </c>
      <c r="R233" s="8" t="s">
        <v>52</v>
      </c>
      <c r="S233" s="8" t="s">
        <v>53</v>
      </c>
      <c r="T233" s="8" t="s">
        <v>148</v>
      </c>
      <c r="U233" s="9" t="s">
        <v>1140</v>
      </c>
      <c r="V233" s="22" t="s">
        <v>68</v>
      </c>
    </row>
    <row r="234" spans="1:22">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15">
        <v>5</v>
      </c>
      <c r="P234" s="4">
        <v>133</v>
      </c>
      <c r="Q234" s="4">
        <v>2</v>
      </c>
      <c r="R234" s="4" t="s">
        <v>92</v>
      </c>
      <c r="S234" s="4" t="s">
        <v>155</v>
      </c>
      <c r="T234" s="4" t="s">
        <v>260</v>
      </c>
      <c r="U234" s="6" t="s">
        <v>1143</v>
      </c>
      <c r="V234" s="21" t="s">
        <v>42</v>
      </c>
    </row>
    <row r="235" spans="1:22">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16">
        <v>20</v>
      </c>
      <c r="P235" s="8">
        <v>26400</v>
      </c>
      <c r="Q235" s="8">
        <v>2</v>
      </c>
      <c r="R235" s="8" t="s">
        <v>38</v>
      </c>
      <c r="S235" s="8" t="s">
        <v>65</v>
      </c>
      <c r="T235" s="8" t="s">
        <v>54</v>
      </c>
      <c r="U235" s="9" t="s">
        <v>1148</v>
      </c>
      <c r="V235" s="22" t="s">
        <v>42</v>
      </c>
    </row>
    <row r="236" spans="1:22">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15">
        <v>0</v>
      </c>
      <c r="P236" s="4">
        <v>100</v>
      </c>
      <c r="Q236" s="4">
        <v>3</v>
      </c>
      <c r="R236" s="4" t="s">
        <v>38</v>
      </c>
      <c r="S236" s="4" t="s">
        <v>155</v>
      </c>
      <c r="T236" s="4" t="s">
        <v>84</v>
      </c>
      <c r="U236" s="6" t="s">
        <v>1151</v>
      </c>
      <c r="V236" s="21" t="s">
        <v>42</v>
      </c>
    </row>
    <row r="237" spans="1:22">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16">
        <v>20</v>
      </c>
      <c r="P237" s="8">
        <v>76800</v>
      </c>
      <c r="Q237" s="8">
        <v>3</v>
      </c>
      <c r="R237" s="8" t="s">
        <v>83</v>
      </c>
      <c r="S237" s="8" t="s">
        <v>65</v>
      </c>
      <c r="T237" s="8" t="s">
        <v>136</v>
      </c>
      <c r="U237" s="9" t="s">
        <v>1155</v>
      </c>
      <c r="V237" s="22" t="s">
        <v>68</v>
      </c>
    </row>
    <row r="238" spans="1:22">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15">
        <v>20</v>
      </c>
      <c r="P238" s="4">
        <v>11200</v>
      </c>
      <c r="Q238" s="4">
        <v>1</v>
      </c>
      <c r="R238" s="4" t="s">
        <v>83</v>
      </c>
      <c r="S238" s="4" t="s">
        <v>119</v>
      </c>
      <c r="T238" s="4" t="s">
        <v>136</v>
      </c>
      <c r="U238" s="6" t="s">
        <v>1159</v>
      </c>
      <c r="V238" s="21" t="s">
        <v>42</v>
      </c>
    </row>
    <row r="239" spans="1:22">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16">
        <v>10</v>
      </c>
      <c r="P239" s="8">
        <v>769.5</v>
      </c>
      <c r="Q239" s="8">
        <v>1</v>
      </c>
      <c r="R239" s="8" t="s">
        <v>38</v>
      </c>
      <c r="S239" s="8" t="s">
        <v>119</v>
      </c>
      <c r="T239" s="8" t="s">
        <v>232</v>
      </c>
      <c r="U239" s="9" t="s">
        <v>1163</v>
      </c>
      <c r="V239" s="22" t="s">
        <v>42</v>
      </c>
    </row>
    <row r="240" spans="1:22">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15">
        <v>0</v>
      </c>
      <c r="P240" s="4">
        <v>450</v>
      </c>
      <c r="Q240" s="4">
        <v>4</v>
      </c>
      <c r="R240" s="4" t="s">
        <v>92</v>
      </c>
      <c r="S240" s="4" t="s">
        <v>65</v>
      </c>
      <c r="T240" s="4" t="s">
        <v>66</v>
      </c>
      <c r="U240" s="6" t="s">
        <v>1167</v>
      </c>
      <c r="V240" s="21" t="s">
        <v>42</v>
      </c>
    </row>
    <row r="241" spans="1:22">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16">
        <v>15</v>
      </c>
      <c r="P241" s="8">
        <v>612</v>
      </c>
      <c r="Q241" s="8">
        <v>3</v>
      </c>
      <c r="R241" s="8" t="s">
        <v>38</v>
      </c>
      <c r="S241" s="8" t="s">
        <v>119</v>
      </c>
      <c r="T241" s="8" t="s">
        <v>66</v>
      </c>
      <c r="U241" s="9" t="s">
        <v>1171</v>
      </c>
      <c r="V241" s="22" t="s">
        <v>73</v>
      </c>
    </row>
    <row r="242" spans="1:22">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15">
        <v>15</v>
      </c>
      <c r="P242" s="4">
        <v>115600</v>
      </c>
      <c r="Q242" s="4">
        <v>4</v>
      </c>
      <c r="R242" s="4" t="s">
        <v>52</v>
      </c>
      <c r="S242" s="4" t="s">
        <v>39</v>
      </c>
      <c r="T242" s="4" t="s">
        <v>179</v>
      </c>
      <c r="U242" s="6" t="s">
        <v>1174</v>
      </c>
      <c r="V242" s="21" t="s">
        <v>73</v>
      </c>
    </row>
    <row r="243" spans="1:22">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16">
        <v>20</v>
      </c>
      <c r="P243" s="8">
        <v>240</v>
      </c>
      <c r="Q243" s="8">
        <v>3</v>
      </c>
      <c r="R243" s="8" t="s">
        <v>52</v>
      </c>
      <c r="S243" s="8" t="s">
        <v>53</v>
      </c>
      <c r="T243" s="8" t="s">
        <v>179</v>
      </c>
      <c r="U243" s="9" t="s">
        <v>1178</v>
      </c>
      <c r="V243" s="22" t="s">
        <v>73</v>
      </c>
    </row>
    <row r="244" spans="1:22">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15">
        <v>5</v>
      </c>
      <c r="P244" s="4">
        <v>798</v>
      </c>
      <c r="Q244" s="4">
        <v>4</v>
      </c>
      <c r="R244" s="4" t="s">
        <v>38</v>
      </c>
      <c r="S244" s="4" t="s">
        <v>53</v>
      </c>
      <c r="T244" s="4" t="s">
        <v>93</v>
      </c>
      <c r="U244" s="6" t="s">
        <v>1182</v>
      </c>
      <c r="V244" s="21" t="s">
        <v>42</v>
      </c>
    </row>
    <row r="245" spans="1:22">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16">
        <v>20</v>
      </c>
      <c r="P245" s="8">
        <v>18240</v>
      </c>
      <c r="Q245" s="8">
        <v>2</v>
      </c>
      <c r="R245" s="8" t="s">
        <v>38</v>
      </c>
      <c r="S245" s="8" t="s">
        <v>119</v>
      </c>
      <c r="T245" s="8" t="s">
        <v>66</v>
      </c>
      <c r="U245" s="9" t="s">
        <v>1187</v>
      </c>
      <c r="V245" s="22" t="s">
        <v>73</v>
      </c>
    </row>
    <row r="246" spans="1:22">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15">
        <v>15</v>
      </c>
      <c r="P246" s="4">
        <v>191.25</v>
      </c>
      <c r="Q246" s="4">
        <v>2</v>
      </c>
      <c r="R246" s="4" t="s">
        <v>38</v>
      </c>
      <c r="S246" s="4" t="s">
        <v>65</v>
      </c>
      <c r="T246" s="4" t="s">
        <v>54</v>
      </c>
      <c r="U246" s="6" t="s">
        <v>1190</v>
      </c>
      <c r="V246" s="21" t="s">
        <v>73</v>
      </c>
    </row>
    <row r="247" spans="1:22">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16">
        <v>5</v>
      </c>
      <c r="P247" s="8">
        <v>12635</v>
      </c>
      <c r="Q247" s="8">
        <v>5</v>
      </c>
      <c r="R247" s="8" t="s">
        <v>92</v>
      </c>
      <c r="S247" s="8" t="s">
        <v>155</v>
      </c>
      <c r="T247" s="8" t="s">
        <v>336</v>
      </c>
      <c r="U247" s="9" t="s">
        <v>1194</v>
      </c>
      <c r="V247" s="22" t="s">
        <v>42</v>
      </c>
    </row>
    <row r="248" spans="1:22">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15">
        <v>0</v>
      </c>
      <c r="P248" s="4">
        <v>420</v>
      </c>
      <c r="Q248" s="4">
        <v>4</v>
      </c>
      <c r="R248" s="4" t="s">
        <v>38</v>
      </c>
      <c r="S248" s="4" t="s">
        <v>119</v>
      </c>
      <c r="T248" s="4" t="s">
        <v>136</v>
      </c>
      <c r="U248" s="6" t="s">
        <v>1197</v>
      </c>
      <c r="V248" s="21" t="s">
        <v>68</v>
      </c>
    </row>
    <row r="249" spans="1:22">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16">
        <v>10</v>
      </c>
      <c r="P249" s="8">
        <v>25740</v>
      </c>
      <c r="Q249" s="8">
        <v>1</v>
      </c>
      <c r="R249" s="8" t="s">
        <v>83</v>
      </c>
      <c r="S249" s="8" t="s">
        <v>155</v>
      </c>
      <c r="T249" s="8" t="s">
        <v>84</v>
      </c>
      <c r="U249" s="9" t="s">
        <v>1200</v>
      </c>
      <c r="V249" s="22" t="s">
        <v>42</v>
      </c>
    </row>
    <row r="250" spans="1:22">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15">
        <v>10</v>
      </c>
      <c r="P250" s="4">
        <v>17820</v>
      </c>
      <c r="Q250" s="4">
        <v>2</v>
      </c>
      <c r="R250" s="4" t="s">
        <v>1205</v>
      </c>
      <c r="S250" s="4" t="s">
        <v>65</v>
      </c>
      <c r="T250" s="4" t="s">
        <v>84</v>
      </c>
      <c r="U250" s="6" t="s">
        <v>1206</v>
      </c>
      <c r="V250" s="21" t="s">
        <v>73</v>
      </c>
    </row>
    <row r="251" spans="1:22">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16">
        <v>15</v>
      </c>
      <c r="P251" s="8">
        <v>43350</v>
      </c>
      <c r="Q251" s="8">
        <v>2</v>
      </c>
      <c r="R251" s="8" t="s">
        <v>38</v>
      </c>
      <c r="S251" s="8" t="s">
        <v>155</v>
      </c>
      <c r="T251" s="8" t="s">
        <v>336</v>
      </c>
      <c r="U251" s="9" t="s">
        <v>1210</v>
      </c>
      <c r="V251" s="22" t="s">
        <v>73</v>
      </c>
    </row>
    <row r="252" spans="1:22">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15">
        <v>10</v>
      </c>
      <c r="P252" s="4">
        <v>17820</v>
      </c>
      <c r="Q252" s="4">
        <v>3</v>
      </c>
      <c r="R252" s="4" t="s">
        <v>83</v>
      </c>
      <c r="S252" s="4" t="s">
        <v>39</v>
      </c>
      <c r="T252" s="4" t="s">
        <v>232</v>
      </c>
      <c r="U252" s="6" t="s">
        <v>1213</v>
      </c>
      <c r="V252" s="21" t="s">
        <v>68</v>
      </c>
    </row>
    <row r="253" spans="1:22">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16">
        <v>0</v>
      </c>
      <c r="P253" s="8">
        <v>136000</v>
      </c>
      <c r="Q253" s="8">
        <v>5</v>
      </c>
      <c r="R253" s="8" t="s">
        <v>92</v>
      </c>
      <c r="S253" s="8" t="s">
        <v>119</v>
      </c>
      <c r="T253" s="8" t="s">
        <v>54</v>
      </c>
      <c r="U253" s="9" t="s">
        <v>1216</v>
      </c>
      <c r="V253" s="22" t="s">
        <v>73</v>
      </c>
    </row>
    <row r="254" spans="1:22">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15">
        <v>15</v>
      </c>
      <c r="P254" s="4">
        <v>10200</v>
      </c>
      <c r="Q254" s="4">
        <v>5</v>
      </c>
      <c r="R254" s="4" t="s">
        <v>38</v>
      </c>
      <c r="S254" s="4" t="s">
        <v>53</v>
      </c>
      <c r="T254" s="4" t="s">
        <v>336</v>
      </c>
      <c r="U254" s="6" t="s">
        <v>1220</v>
      </c>
      <c r="V254" s="21" t="s">
        <v>42</v>
      </c>
    </row>
    <row r="255" spans="1:22">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16">
        <v>0</v>
      </c>
      <c r="P255" s="8">
        <v>84000</v>
      </c>
      <c r="Q255" s="8">
        <v>1</v>
      </c>
      <c r="R255" s="8" t="s">
        <v>92</v>
      </c>
      <c r="S255" s="8" t="s">
        <v>155</v>
      </c>
      <c r="T255" s="8" t="s">
        <v>136</v>
      </c>
      <c r="U255" s="9" t="s">
        <v>1223</v>
      </c>
      <c r="V255" s="22" t="s">
        <v>68</v>
      </c>
    </row>
    <row r="256" spans="1:22">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15">
        <v>10</v>
      </c>
      <c r="P256" s="4">
        <v>32400</v>
      </c>
      <c r="Q256" s="4">
        <v>4</v>
      </c>
      <c r="R256" s="4" t="s">
        <v>83</v>
      </c>
      <c r="S256" s="4" t="s">
        <v>155</v>
      </c>
      <c r="T256" s="4" t="s">
        <v>232</v>
      </c>
      <c r="U256" s="6" t="s">
        <v>1227</v>
      </c>
      <c r="V256" s="21" t="s">
        <v>42</v>
      </c>
    </row>
    <row r="257" spans="1:22">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16">
        <v>15</v>
      </c>
      <c r="P257" s="8">
        <v>40800</v>
      </c>
      <c r="Q257" s="8">
        <v>3</v>
      </c>
      <c r="R257" s="8" t="s">
        <v>83</v>
      </c>
      <c r="S257" s="8" t="s">
        <v>39</v>
      </c>
      <c r="T257" s="8" t="s">
        <v>232</v>
      </c>
      <c r="U257" s="9" t="s">
        <v>1231</v>
      </c>
      <c r="V257" s="22" t="s">
        <v>68</v>
      </c>
    </row>
    <row r="258" spans="1:22">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15">
        <v>10</v>
      </c>
      <c r="P258" s="4">
        <v>140400</v>
      </c>
      <c r="Q258" s="4">
        <v>2</v>
      </c>
      <c r="R258" s="4" t="s">
        <v>38</v>
      </c>
      <c r="S258" s="4" t="s">
        <v>155</v>
      </c>
      <c r="T258" s="4" t="s">
        <v>136</v>
      </c>
      <c r="U258" s="6" t="s">
        <v>1234</v>
      </c>
      <c r="V258" s="21" t="s">
        <v>73</v>
      </c>
    </row>
    <row r="259" spans="1:22">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16">
        <v>20</v>
      </c>
      <c r="P259" s="8">
        <v>53200</v>
      </c>
      <c r="Q259" s="8">
        <v>1</v>
      </c>
      <c r="R259" s="8" t="s">
        <v>38</v>
      </c>
      <c r="S259" s="8" t="s">
        <v>65</v>
      </c>
      <c r="T259" s="8" t="s">
        <v>54</v>
      </c>
      <c r="U259" s="9" t="s">
        <v>1237</v>
      </c>
      <c r="V259" s="22" t="s">
        <v>73</v>
      </c>
    </row>
    <row r="260" spans="1:22">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15">
        <v>5</v>
      </c>
      <c r="P260" s="4">
        <v>14630</v>
      </c>
      <c r="Q260" s="4">
        <v>3</v>
      </c>
      <c r="R260" s="4" t="s">
        <v>92</v>
      </c>
      <c r="S260" s="4" t="s">
        <v>65</v>
      </c>
      <c r="T260" s="4" t="s">
        <v>54</v>
      </c>
      <c r="U260" s="6" t="s">
        <v>1240</v>
      </c>
      <c r="V260" s="21" t="s">
        <v>73</v>
      </c>
    </row>
    <row r="261" spans="1:22">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16">
        <v>5</v>
      </c>
      <c r="P261" s="8">
        <v>11970</v>
      </c>
      <c r="Q261" s="8">
        <v>2</v>
      </c>
      <c r="R261" s="8" t="s">
        <v>92</v>
      </c>
      <c r="S261" s="8" t="s">
        <v>65</v>
      </c>
      <c r="T261" s="8" t="s">
        <v>93</v>
      </c>
      <c r="U261" s="9" t="s">
        <v>1244</v>
      </c>
      <c r="V261" s="22" t="s">
        <v>73</v>
      </c>
    </row>
    <row r="262" spans="1:22">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15">
        <v>0</v>
      </c>
      <c r="P262" s="4">
        <v>220</v>
      </c>
      <c r="Q262" s="4">
        <v>2</v>
      </c>
      <c r="R262" s="4" t="s">
        <v>52</v>
      </c>
      <c r="S262" s="4" t="s">
        <v>119</v>
      </c>
      <c r="T262" s="4" t="s">
        <v>54</v>
      </c>
      <c r="U262" s="6" t="s">
        <v>1248</v>
      </c>
      <c r="V262" s="21" t="s">
        <v>73</v>
      </c>
    </row>
    <row r="263" spans="1:22">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16">
        <v>20</v>
      </c>
      <c r="P263" s="8">
        <v>163200</v>
      </c>
      <c r="Q263" s="8">
        <v>4</v>
      </c>
      <c r="R263" s="8" t="s">
        <v>92</v>
      </c>
      <c r="S263" s="8" t="s">
        <v>155</v>
      </c>
      <c r="T263" s="8" t="s">
        <v>336</v>
      </c>
      <c r="U263" s="9" t="s">
        <v>1251</v>
      </c>
      <c r="V263" s="22" t="s">
        <v>42</v>
      </c>
    </row>
    <row r="264" spans="1:22">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15">
        <v>5</v>
      </c>
      <c r="P264" s="4">
        <v>8360</v>
      </c>
      <c r="Q264" s="4">
        <v>2</v>
      </c>
      <c r="R264" s="4" t="s">
        <v>38</v>
      </c>
      <c r="S264" s="4" t="s">
        <v>39</v>
      </c>
      <c r="T264" s="4" t="s">
        <v>260</v>
      </c>
      <c r="U264" s="6" t="s">
        <v>1255</v>
      </c>
      <c r="V264" s="21" t="s">
        <v>42</v>
      </c>
    </row>
    <row r="265" spans="1:22">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16">
        <v>20</v>
      </c>
      <c r="P265" s="8">
        <v>264000</v>
      </c>
      <c r="Q265" s="8">
        <v>2</v>
      </c>
      <c r="R265" s="8" t="s">
        <v>92</v>
      </c>
      <c r="S265" s="8" t="s">
        <v>155</v>
      </c>
      <c r="T265" s="8" t="s">
        <v>54</v>
      </c>
      <c r="U265" s="9" t="s">
        <v>1259</v>
      </c>
      <c r="V265" s="22" t="s">
        <v>73</v>
      </c>
    </row>
    <row r="266" spans="1:22">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15">
        <v>10</v>
      </c>
      <c r="P266" s="4">
        <v>45900</v>
      </c>
      <c r="Q266" s="4">
        <v>5</v>
      </c>
      <c r="R266" s="4" t="s">
        <v>92</v>
      </c>
      <c r="S266" s="4" t="s">
        <v>65</v>
      </c>
      <c r="T266" s="4" t="s">
        <v>84</v>
      </c>
      <c r="U266" s="6" t="s">
        <v>1262</v>
      </c>
      <c r="V266" s="21" t="s">
        <v>42</v>
      </c>
    </row>
    <row r="267" spans="1:22">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16">
        <v>15</v>
      </c>
      <c r="P267" s="8">
        <v>102</v>
      </c>
      <c r="Q267" s="8">
        <v>2</v>
      </c>
      <c r="R267" s="8" t="s">
        <v>92</v>
      </c>
      <c r="S267" s="8" t="s">
        <v>53</v>
      </c>
      <c r="T267" s="8" t="s">
        <v>54</v>
      </c>
      <c r="U267" s="9" t="s">
        <v>1265</v>
      </c>
      <c r="V267" s="22" t="s">
        <v>73</v>
      </c>
    </row>
    <row r="268" spans="1:22">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15">
        <v>5</v>
      </c>
      <c r="P268" s="4">
        <v>342</v>
      </c>
      <c r="Q268" s="4">
        <v>1</v>
      </c>
      <c r="R268" s="4" t="s">
        <v>52</v>
      </c>
      <c r="S268" s="4" t="s">
        <v>65</v>
      </c>
      <c r="T268" s="4" t="s">
        <v>66</v>
      </c>
      <c r="U268" s="6" t="s">
        <v>1269</v>
      </c>
      <c r="V268" s="21" t="s">
        <v>42</v>
      </c>
    </row>
    <row r="269" spans="1:22">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16">
        <v>0</v>
      </c>
      <c r="P269" s="8">
        <v>161500</v>
      </c>
      <c r="Q269" s="8">
        <v>5</v>
      </c>
      <c r="R269" s="8" t="s">
        <v>92</v>
      </c>
      <c r="S269" s="8" t="s">
        <v>155</v>
      </c>
      <c r="T269" s="8" t="s">
        <v>136</v>
      </c>
      <c r="U269" s="9" t="s">
        <v>1274</v>
      </c>
      <c r="V269" s="22" t="s">
        <v>42</v>
      </c>
    </row>
    <row r="270" spans="1:22">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15">
        <v>0</v>
      </c>
      <c r="P270" s="4">
        <v>440000</v>
      </c>
      <c r="Q270" s="4">
        <v>3</v>
      </c>
      <c r="R270" s="4" t="s">
        <v>83</v>
      </c>
      <c r="S270" s="4" t="s">
        <v>119</v>
      </c>
      <c r="T270" s="4" t="s">
        <v>260</v>
      </c>
      <c r="U270" s="6" t="s">
        <v>1277</v>
      </c>
      <c r="V270" s="21" t="s">
        <v>68</v>
      </c>
    </row>
    <row r="271" spans="1:22">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16">
        <v>20</v>
      </c>
      <c r="P271" s="8">
        <v>172800</v>
      </c>
      <c r="Q271" s="8">
        <v>5</v>
      </c>
      <c r="R271" s="8" t="s">
        <v>92</v>
      </c>
      <c r="S271" s="8" t="s">
        <v>65</v>
      </c>
      <c r="T271" s="8" t="s">
        <v>84</v>
      </c>
      <c r="U271" s="9" t="s">
        <v>1280</v>
      </c>
      <c r="V271" s="22" t="s">
        <v>73</v>
      </c>
    </row>
    <row r="272" spans="1:22">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15">
        <v>5</v>
      </c>
      <c r="P272" s="4">
        <v>64600</v>
      </c>
      <c r="Q272" s="4">
        <v>2</v>
      </c>
      <c r="R272" s="4" t="s">
        <v>83</v>
      </c>
      <c r="S272" s="4" t="s">
        <v>65</v>
      </c>
      <c r="T272" s="4" t="s">
        <v>136</v>
      </c>
      <c r="U272" s="6" t="s">
        <v>1284</v>
      </c>
      <c r="V272" s="21" t="s">
        <v>73</v>
      </c>
    </row>
    <row r="273" spans="1:22">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16">
        <v>5</v>
      </c>
      <c r="P273" s="8">
        <v>247</v>
      </c>
      <c r="Q273" s="8">
        <v>3</v>
      </c>
      <c r="R273" s="8" t="s">
        <v>52</v>
      </c>
      <c r="S273" s="8" t="s">
        <v>119</v>
      </c>
      <c r="T273" s="8" t="s">
        <v>54</v>
      </c>
      <c r="U273" s="9" t="s">
        <v>1288</v>
      </c>
      <c r="V273" s="22" t="s">
        <v>68</v>
      </c>
    </row>
    <row r="274" spans="1:22">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15">
        <v>15</v>
      </c>
      <c r="P274" s="4">
        <v>51</v>
      </c>
      <c r="Q274" s="4">
        <v>2</v>
      </c>
      <c r="R274" s="4" t="s">
        <v>83</v>
      </c>
      <c r="S274" s="4" t="s">
        <v>65</v>
      </c>
      <c r="T274" s="4" t="s">
        <v>93</v>
      </c>
      <c r="U274" s="6" t="s">
        <v>1292</v>
      </c>
      <c r="V274" s="21" t="s">
        <v>73</v>
      </c>
    </row>
    <row r="275" spans="1:22">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16">
        <v>5</v>
      </c>
      <c r="P275" s="8">
        <v>95</v>
      </c>
      <c r="Q275" s="8">
        <v>2</v>
      </c>
      <c r="R275" s="8" t="s">
        <v>52</v>
      </c>
      <c r="S275" s="8" t="s">
        <v>53</v>
      </c>
      <c r="T275" s="8" t="s">
        <v>66</v>
      </c>
      <c r="U275" s="9" t="s">
        <v>1296</v>
      </c>
      <c r="V275" s="22" t="s">
        <v>68</v>
      </c>
    </row>
    <row r="276" spans="1:22">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15">
        <v>20</v>
      </c>
      <c r="P276" s="4">
        <v>304</v>
      </c>
      <c r="Q276" s="4">
        <v>3</v>
      </c>
      <c r="R276" s="4" t="s">
        <v>38</v>
      </c>
      <c r="S276" s="4" t="s">
        <v>39</v>
      </c>
      <c r="T276" s="4" t="s">
        <v>232</v>
      </c>
      <c r="U276" s="6" t="s">
        <v>1300</v>
      </c>
      <c r="V276" s="21" t="s">
        <v>73</v>
      </c>
    </row>
    <row r="277" spans="1:22">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16">
        <v>5</v>
      </c>
      <c r="P277" s="8">
        <v>726.75</v>
      </c>
      <c r="Q277" s="8">
        <v>4</v>
      </c>
      <c r="R277" s="8" t="s">
        <v>38</v>
      </c>
      <c r="S277" s="8" t="s">
        <v>119</v>
      </c>
      <c r="T277" s="8" t="s">
        <v>148</v>
      </c>
      <c r="U277" s="9" t="s">
        <v>1304</v>
      </c>
      <c r="V277" s="22" t="s">
        <v>68</v>
      </c>
    </row>
    <row r="278" spans="1:22">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15">
        <v>15</v>
      </c>
      <c r="P278" s="4">
        <v>4760</v>
      </c>
      <c r="Q278" s="4">
        <v>4</v>
      </c>
      <c r="R278" s="4" t="s">
        <v>52</v>
      </c>
      <c r="S278" s="4" t="s">
        <v>39</v>
      </c>
      <c r="T278" s="4" t="s">
        <v>93</v>
      </c>
      <c r="U278" s="6" t="s">
        <v>1308</v>
      </c>
      <c r="V278" s="21" t="s">
        <v>68</v>
      </c>
    </row>
    <row r="279" spans="1:22">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16">
        <v>10</v>
      </c>
      <c r="P279" s="8">
        <v>29700</v>
      </c>
      <c r="Q279" s="8">
        <v>5</v>
      </c>
      <c r="R279" s="8" t="s">
        <v>92</v>
      </c>
      <c r="S279" s="8" t="s">
        <v>155</v>
      </c>
      <c r="T279" s="8" t="s">
        <v>179</v>
      </c>
      <c r="U279" s="9" t="s">
        <v>1313</v>
      </c>
      <c r="V279" s="22" t="s">
        <v>42</v>
      </c>
    </row>
    <row r="280" spans="1:22">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15">
        <v>0</v>
      </c>
      <c r="P280" s="4">
        <v>2200</v>
      </c>
      <c r="Q280" s="4">
        <v>4</v>
      </c>
      <c r="R280" s="4" t="s">
        <v>38</v>
      </c>
      <c r="S280" s="4" t="s">
        <v>53</v>
      </c>
      <c r="T280" s="4" t="s">
        <v>148</v>
      </c>
      <c r="U280" s="6" t="s">
        <v>1317</v>
      </c>
      <c r="V280" s="21" t="s">
        <v>73</v>
      </c>
    </row>
    <row r="281" spans="1:22">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16">
        <v>10</v>
      </c>
      <c r="P281" s="8">
        <v>31500</v>
      </c>
      <c r="Q281" s="8">
        <v>4</v>
      </c>
      <c r="R281" s="8" t="s">
        <v>52</v>
      </c>
      <c r="S281" s="8" t="s">
        <v>39</v>
      </c>
      <c r="T281" s="8" t="s">
        <v>260</v>
      </c>
      <c r="U281" s="9" t="s">
        <v>1321</v>
      </c>
      <c r="V281" s="22" t="s">
        <v>73</v>
      </c>
    </row>
    <row r="282" spans="1:22">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15">
        <v>15</v>
      </c>
      <c r="P282" s="4">
        <v>47600</v>
      </c>
      <c r="Q282" s="4">
        <v>1</v>
      </c>
      <c r="R282" s="4" t="s">
        <v>83</v>
      </c>
      <c r="S282" s="4" t="s">
        <v>119</v>
      </c>
      <c r="T282" s="4" t="s">
        <v>84</v>
      </c>
      <c r="U282" s="6" t="s">
        <v>1326</v>
      </c>
      <c r="V282" s="21" t="s">
        <v>68</v>
      </c>
    </row>
    <row r="283" spans="1:22">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16">
        <v>0</v>
      </c>
      <c r="P283" s="8">
        <v>12000</v>
      </c>
      <c r="Q283" s="8">
        <v>4</v>
      </c>
      <c r="R283" s="8" t="s">
        <v>52</v>
      </c>
      <c r="S283" s="8" t="s">
        <v>119</v>
      </c>
      <c r="T283" s="8" t="s">
        <v>260</v>
      </c>
      <c r="U283" s="9" t="s">
        <v>1330</v>
      </c>
      <c r="V283" s="22" t="s">
        <v>73</v>
      </c>
    </row>
    <row r="284" spans="1:22">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15">
        <v>20</v>
      </c>
      <c r="P284" s="4">
        <v>3360</v>
      </c>
      <c r="Q284" s="4">
        <v>2</v>
      </c>
      <c r="R284" s="4" t="s">
        <v>52</v>
      </c>
      <c r="S284" s="4" t="s">
        <v>119</v>
      </c>
      <c r="T284" s="4" t="s">
        <v>93</v>
      </c>
      <c r="U284" s="6" t="s">
        <v>1334</v>
      </c>
      <c r="V284" s="21" t="s">
        <v>68</v>
      </c>
    </row>
    <row r="285" spans="1:22">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16">
        <v>0</v>
      </c>
      <c r="P285" s="8">
        <v>6600</v>
      </c>
      <c r="Q285" s="8">
        <v>4</v>
      </c>
      <c r="R285" s="8" t="s">
        <v>83</v>
      </c>
      <c r="S285" s="8" t="s">
        <v>39</v>
      </c>
      <c r="T285" s="8" t="s">
        <v>84</v>
      </c>
      <c r="U285" s="9" t="s">
        <v>1338</v>
      </c>
      <c r="V285" s="22" t="s">
        <v>42</v>
      </c>
    </row>
    <row r="286" spans="1:22">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15">
        <v>15</v>
      </c>
      <c r="P286" s="4">
        <v>229.5</v>
      </c>
      <c r="Q286" s="4">
        <v>1</v>
      </c>
      <c r="R286" s="4" t="s">
        <v>92</v>
      </c>
      <c r="S286" s="4" t="s">
        <v>53</v>
      </c>
      <c r="T286" s="4" t="s">
        <v>260</v>
      </c>
      <c r="U286" s="6" t="s">
        <v>1341</v>
      </c>
      <c r="V286" s="21" t="s">
        <v>42</v>
      </c>
    </row>
    <row r="287" spans="1:22">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16">
        <v>0</v>
      </c>
      <c r="P287" s="8">
        <v>2400</v>
      </c>
      <c r="Q287" s="8">
        <v>1</v>
      </c>
      <c r="R287" s="8" t="s">
        <v>38</v>
      </c>
      <c r="S287" s="8" t="s">
        <v>155</v>
      </c>
      <c r="T287" s="8" t="s">
        <v>260</v>
      </c>
      <c r="U287" s="9" t="s">
        <v>1345</v>
      </c>
      <c r="V287" s="22" t="s">
        <v>73</v>
      </c>
    </row>
    <row r="288" spans="1:22">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15">
        <v>15</v>
      </c>
      <c r="P288" s="4">
        <v>8330</v>
      </c>
      <c r="Q288" s="4">
        <v>5</v>
      </c>
      <c r="R288" s="4" t="s">
        <v>38</v>
      </c>
      <c r="S288" s="4" t="s">
        <v>119</v>
      </c>
      <c r="T288" s="4" t="s">
        <v>179</v>
      </c>
      <c r="U288" s="6" t="s">
        <v>1350</v>
      </c>
      <c r="V288" s="21" t="s">
        <v>68</v>
      </c>
    </row>
    <row r="289" spans="1:22">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16">
        <v>5</v>
      </c>
      <c r="P289" s="8">
        <v>247</v>
      </c>
      <c r="Q289" s="8">
        <v>1</v>
      </c>
      <c r="R289" s="8" t="s">
        <v>83</v>
      </c>
      <c r="S289" s="8" t="s">
        <v>39</v>
      </c>
      <c r="T289" s="8" t="s">
        <v>1353</v>
      </c>
      <c r="U289" s="9" t="s">
        <v>1354</v>
      </c>
      <c r="V289" s="22" t="s">
        <v>68</v>
      </c>
    </row>
    <row r="290" spans="1:22">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15">
        <v>0</v>
      </c>
      <c r="P290" s="4">
        <v>6600</v>
      </c>
      <c r="Q290" s="4">
        <v>4</v>
      </c>
      <c r="R290" s="4" t="s">
        <v>52</v>
      </c>
      <c r="S290" s="4" t="s">
        <v>65</v>
      </c>
      <c r="T290" s="4" t="s">
        <v>84</v>
      </c>
      <c r="U290" s="6" t="s">
        <v>1357</v>
      </c>
      <c r="V290" s="21" t="s">
        <v>73</v>
      </c>
    </row>
    <row r="291" spans="1:22">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16">
        <v>15</v>
      </c>
      <c r="P291" s="8">
        <v>153</v>
      </c>
      <c r="Q291" s="8">
        <v>4</v>
      </c>
      <c r="R291" s="8" t="s">
        <v>92</v>
      </c>
      <c r="S291" s="8" t="s">
        <v>119</v>
      </c>
      <c r="T291" s="8" t="s">
        <v>84</v>
      </c>
      <c r="U291" s="9" t="s">
        <v>1360</v>
      </c>
      <c r="V291" s="22" t="s">
        <v>42</v>
      </c>
    </row>
    <row r="292" spans="1:22">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15">
        <v>5</v>
      </c>
      <c r="P292" s="4">
        <v>29925</v>
      </c>
      <c r="Q292" s="4">
        <v>1</v>
      </c>
      <c r="R292" s="4" t="s">
        <v>38</v>
      </c>
      <c r="S292" s="4" t="s">
        <v>65</v>
      </c>
      <c r="T292" s="4" t="s">
        <v>136</v>
      </c>
      <c r="U292" s="6" t="s">
        <v>1362</v>
      </c>
      <c r="V292" s="21" t="s">
        <v>68</v>
      </c>
    </row>
    <row r="293" spans="1:22">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16">
        <v>20</v>
      </c>
      <c r="P293" s="8">
        <v>4800</v>
      </c>
      <c r="Q293" s="8">
        <v>2</v>
      </c>
      <c r="R293" s="8" t="s">
        <v>92</v>
      </c>
      <c r="S293" s="8" t="s">
        <v>119</v>
      </c>
      <c r="T293" s="8" t="s">
        <v>336</v>
      </c>
      <c r="U293" s="9" t="s">
        <v>1366</v>
      </c>
      <c r="V293" s="22" t="s">
        <v>68</v>
      </c>
    </row>
    <row r="294" spans="1:22">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15">
        <v>20</v>
      </c>
      <c r="P294" s="4">
        <v>9600</v>
      </c>
      <c r="Q294" s="4">
        <v>4</v>
      </c>
      <c r="R294" s="4" t="s">
        <v>38</v>
      </c>
      <c r="S294" s="4" t="s">
        <v>53</v>
      </c>
      <c r="T294" s="5" t="s">
        <v>1369</v>
      </c>
      <c r="U294" s="6" t="s">
        <v>1370</v>
      </c>
      <c r="V294" s="21" t="s">
        <v>42</v>
      </c>
    </row>
    <row r="295" spans="1:22">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16">
        <v>20</v>
      </c>
      <c r="P295" s="8">
        <v>4800</v>
      </c>
      <c r="Q295" s="8">
        <v>3</v>
      </c>
      <c r="R295" s="8" t="s">
        <v>52</v>
      </c>
      <c r="S295" s="8" t="s">
        <v>155</v>
      </c>
      <c r="T295" s="8" t="s">
        <v>54</v>
      </c>
      <c r="U295" s="9" t="s">
        <v>1375</v>
      </c>
      <c r="V295" s="22" t="s">
        <v>42</v>
      </c>
    </row>
    <row r="296" spans="1:22">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15">
        <v>5</v>
      </c>
      <c r="P296" s="4">
        <v>190</v>
      </c>
      <c r="Q296" s="4">
        <v>4</v>
      </c>
      <c r="R296" s="4" t="s">
        <v>38</v>
      </c>
      <c r="S296" s="4" t="s">
        <v>155</v>
      </c>
      <c r="T296" s="4" t="s">
        <v>179</v>
      </c>
      <c r="U296" s="6" t="s">
        <v>1380</v>
      </c>
      <c r="V296" s="21" t="s">
        <v>68</v>
      </c>
    </row>
    <row r="297" spans="1:22">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16">
        <v>15</v>
      </c>
      <c r="P297" s="8">
        <v>1020</v>
      </c>
      <c r="Q297" s="8">
        <v>5</v>
      </c>
      <c r="R297" s="8" t="s">
        <v>83</v>
      </c>
      <c r="S297" s="8" t="s">
        <v>39</v>
      </c>
      <c r="T297" s="8" t="s">
        <v>148</v>
      </c>
      <c r="U297" s="9" t="s">
        <v>1385</v>
      </c>
      <c r="V297" s="22" t="s">
        <v>68</v>
      </c>
    </row>
    <row r="298" spans="1:22">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15">
        <v>15</v>
      </c>
      <c r="P298" s="4">
        <v>13090</v>
      </c>
      <c r="Q298" s="4">
        <v>4</v>
      </c>
      <c r="R298" s="4" t="s">
        <v>38</v>
      </c>
      <c r="S298" s="4" t="s">
        <v>65</v>
      </c>
      <c r="T298" s="4" t="s">
        <v>336</v>
      </c>
      <c r="U298" s="6" t="s">
        <v>1388</v>
      </c>
      <c r="V298" s="21" t="s">
        <v>73</v>
      </c>
    </row>
    <row r="299" spans="1:22">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16">
        <v>5</v>
      </c>
      <c r="P299" s="8">
        <v>574750</v>
      </c>
      <c r="Q299" s="8">
        <v>1</v>
      </c>
      <c r="R299" s="8" t="s">
        <v>92</v>
      </c>
      <c r="S299" s="8" t="s">
        <v>39</v>
      </c>
      <c r="T299" s="8" t="s">
        <v>136</v>
      </c>
      <c r="U299" s="9" t="s">
        <v>1391</v>
      </c>
      <c r="V299" s="22" t="s">
        <v>73</v>
      </c>
    </row>
    <row r="300" spans="1:22">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15">
        <v>0</v>
      </c>
      <c r="P300" s="4">
        <v>42000</v>
      </c>
      <c r="Q300" s="4">
        <v>2</v>
      </c>
      <c r="R300" s="4" t="s">
        <v>52</v>
      </c>
      <c r="S300" s="4"/>
      <c r="T300" s="4" t="s">
        <v>93</v>
      </c>
      <c r="U300" s="6" t="s">
        <v>1395</v>
      </c>
      <c r="V300" s="21" t="s">
        <v>68</v>
      </c>
    </row>
    <row r="301" spans="1:22">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16">
        <v>10</v>
      </c>
      <c r="P301" s="8">
        <v>607.5</v>
      </c>
      <c r="Q301" s="8">
        <v>2</v>
      </c>
      <c r="R301" s="8" t="s">
        <v>38</v>
      </c>
      <c r="S301" s="8" t="s">
        <v>155</v>
      </c>
      <c r="T301" s="8" t="s">
        <v>84</v>
      </c>
      <c r="U301" s="9" t="s">
        <v>1398</v>
      </c>
      <c r="V301" s="22" t="s">
        <v>68</v>
      </c>
    </row>
    <row r="302" spans="1:22">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15">
        <v>0</v>
      </c>
      <c r="P302" s="4">
        <v>585</v>
      </c>
      <c r="Q302" s="4">
        <v>5</v>
      </c>
      <c r="R302" s="4" t="s">
        <v>52</v>
      </c>
      <c r="S302" s="4" t="s">
        <v>53</v>
      </c>
      <c r="T302" s="4" t="s">
        <v>336</v>
      </c>
      <c r="U302" s="6" t="s">
        <v>1401</v>
      </c>
      <c r="V302" s="21" t="s">
        <v>68</v>
      </c>
    </row>
    <row r="303" spans="1:22">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16">
        <v>0</v>
      </c>
      <c r="P303" s="8">
        <v>440000</v>
      </c>
      <c r="Q303" s="8">
        <v>2</v>
      </c>
      <c r="R303" s="8" t="s">
        <v>92</v>
      </c>
      <c r="S303" s="8" t="s">
        <v>155</v>
      </c>
      <c r="T303" s="8" t="s">
        <v>136</v>
      </c>
      <c r="U303" s="9" t="s">
        <v>1404</v>
      </c>
      <c r="V303" s="22" t="s">
        <v>73</v>
      </c>
    </row>
    <row r="304" spans="1:22">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15">
        <v>20</v>
      </c>
      <c r="P304" s="4">
        <v>176000</v>
      </c>
      <c r="Q304" s="4">
        <v>5</v>
      </c>
      <c r="R304" s="4" t="s">
        <v>38</v>
      </c>
      <c r="S304" s="4" t="s">
        <v>53</v>
      </c>
      <c r="T304" s="4" t="s">
        <v>260</v>
      </c>
      <c r="U304" s="6" t="s">
        <v>1407</v>
      </c>
      <c r="V304" s="21" t="s">
        <v>68</v>
      </c>
    </row>
    <row r="305" spans="1:22">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16">
        <v>5</v>
      </c>
      <c r="P305" s="8">
        <v>63175</v>
      </c>
      <c r="Q305" s="8">
        <v>1</v>
      </c>
      <c r="R305" s="8" t="s">
        <v>83</v>
      </c>
      <c r="S305" s="8" t="s">
        <v>119</v>
      </c>
      <c r="T305" s="8" t="s">
        <v>54</v>
      </c>
      <c r="U305" s="9" t="s">
        <v>1411</v>
      </c>
      <c r="V305" s="22" t="s">
        <v>42</v>
      </c>
    </row>
    <row r="306" spans="1:22">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15">
        <v>15</v>
      </c>
      <c r="P306" s="4">
        <v>17340</v>
      </c>
      <c r="Q306" s="4">
        <v>2</v>
      </c>
      <c r="R306" s="4" t="s">
        <v>52</v>
      </c>
      <c r="S306" s="4" t="s">
        <v>53</v>
      </c>
      <c r="T306" s="4" t="s">
        <v>232</v>
      </c>
      <c r="U306" s="6" t="s">
        <v>1415</v>
      </c>
      <c r="V306" s="21" t="s">
        <v>42</v>
      </c>
    </row>
    <row r="307" spans="1:22">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16">
        <v>5</v>
      </c>
      <c r="P307" s="8">
        <v>16720</v>
      </c>
      <c r="Q307" s="8">
        <v>3</v>
      </c>
      <c r="R307" s="8" t="s">
        <v>83</v>
      </c>
      <c r="S307" s="8" t="s">
        <v>119</v>
      </c>
      <c r="T307" s="8" t="s">
        <v>54</v>
      </c>
      <c r="U307" s="9" t="s">
        <v>1418</v>
      </c>
      <c r="V307" s="22" t="s">
        <v>68</v>
      </c>
    </row>
    <row r="308" spans="1:22">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15">
        <v>20</v>
      </c>
      <c r="P308" s="4">
        <v>9520</v>
      </c>
      <c r="Q308" s="4">
        <v>4</v>
      </c>
      <c r="R308" s="4" t="s">
        <v>52</v>
      </c>
      <c r="S308" s="4" t="s">
        <v>119</v>
      </c>
      <c r="T308" s="4" t="s">
        <v>260</v>
      </c>
      <c r="U308" s="6" t="s">
        <v>1420</v>
      </c>
      <c r="V308" s="21" t="s">
        <v>42</v>
      </c>
    </row>
    <row r="309" spans="1:22">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16">
        <v>15</v>
      </c>
      <c r="P309" s="8">
        <v>43350</v>
      </c>
      <c r="Q309" s="8">
        <v>1</v>
      </c>
      <c r="R309" s="8" t="s">
        <v>38</v>
      </c>
      <c r="S309" s="8" t="s">
        <v>65</v>
      </c>
      <c r="T309" s="8" t="s">
        <v>260</v>
      </c>
      <c r="U309" s="9" t="s">
        <v>1422</v>
      </c>
      <c r="V309" s="22" t="s">
        <v>42</v>
      </c>
    </row>
    <row r="310" spans="1:22">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15">
        <v>10</v>
      </c>
      <c r="P310" s="4">
        <v>9450</v>
      </c>
      <c r="Q310" s="4">
        <v>1</v>
      </c>
      <c r="R310" s="4" t="s">
        <v>52</v>
      </c>
      <c r="S310" s="4" t="s">
        <v>53</v>
      </c>
      <c r="T310" s="4" t="s">
        <v>66</v>
      </c>
      <c r="U310" s="6" t="s">
        <v>1425</v>
      </c>
      <c r="V310" s="21" t="s">
        <v>42</v>
      </c>
    </row>
    <row r="311" spans="1:22">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16">
        <v>20</v>
      </c>
      <c r="P311" s="8">
        <v>19200</v>
      </c>
      <c r="Q311" s="8">
        <v>1</v>
      </c>
      <c r="R311" s="8" t="s">
        <v>83</v>
      </c>
      <c r="S311" s="8" t="s">
        <v>65</v>
      </c>
      <c r="T311" s="8" t="s">
        <v>84</v>
      </c>
      <c r="U311" s="9" t="s">
        <v>1428</v>
      </c>
      <c r="V311" s="22" t="s">
        <v>42</v>
      </c>
    </row>
    <row r="312" spans="1:22">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15">
        <v>20</v>
      </c>
      <c r="P312" s="4">
        <v>192</v>
      </c>
      <c r="Q312" s="4">
        <v>2</v>
      </c>
      <c r="R312" s="4" t="s">
        <v>83</v>
      </c>
      <c r="S312" s="4" t="s">
        <v>53</v>
      </c>
      <c r="T312" s="4" t="s">
        <v>232</v>
      </c>
      <c r="U312" s="6" t="s">
        <v>1432</v>
      </c>
      <c r="V312" s="21" t="s">
        <v>42</v>
      </c>
    </row>
    <row r="313" spans="1:22">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16">
        <v>15</v>
      </c>
      <c r="P313" s="8">
        <v>204000</v>
      </c>
      <c r="Q313" s="8">
        <v>3</v>
      </c>
      <c r="R313" s="8" t="s">
        <v>38</v>
      </c>
      <c r="S313" s="8" t="s">
        <v>39</v>
      </c>
      <c r="T313" s="8" t="s">
        <v>148</v>
      </c>
      <c r="U313" s="9" t="s">
        <v>1436</v>
      </c>
      <c r="V313" s="22" t="s">
        <v>68</v>
      </c>
    </row>
    <row r="314" spans="1:22">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15">
        <v>10</v>
      </c>
      <c r="P314" s="4">
        <v>702</v>
      </c>
      <c r="Q314" s="4">
        <v>5</v>
      </c>
      <c r="R314" s="4" t="s">
        <v>38</v>
      </c>
      <c r="S314" s="4" t="s">
        <v>39</v>
      </c>
      <c r="T314" s="4" t="s">
        <v>66</v>
      </c>
      <c r="U314" s="6" t="s">
        <v>1439</v>
      </c>
      <c r="V314" s="21" t="s">
        <v>68</v>
      </c>
    </row>
    <row r="315" spans="1:22">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16">
        <v>5</v>
      </c>
      <c r="P315" s="8">
        <v>679250</v>
      </c>
      <c r="Q315" s="8">
        <v>1</v>
      </c>
      <c r="R315" s="8" t="s">
        <v>92</v>
      </c>
      <c r="S315" s="8" t="s">
        <v>155</v>
      </c>
      <c r="T315" s="8" t="s">
        <v>84</v>
      </c>
      <c r="U315" s="9" t="s">
        <v>1443</v>
      </c>
      <c r="V315" s="22" t="s">
        <v>68</v>
      </c>
    </row>
    <row r="316" spans="1:22">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15">
        <v>15</v>
      </c>
      <c r="P316" s="4">
        <v>7140</v>
      </c>
      <c r="Q316" s="4">
        <v>5</v>
      </c>
      <c r="R316" s="4" t="s">
        <v>92</v>
      </c>
      <c r="S316" s="4" t="s">
        <v>53</v>
      </c>
      <c r="T316" s="4" t="s">
        <v>148</v>
      </c>
      <c r="U316" s="6" t="s">
        <v>1446</v>
      </c>
      <c r="V316" s="21" t="s">
        <v>68</v>
      </c>
    </row>
    <row r="317" spans="1:22">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16">
        <v>5</v>
      </c>
      <c r="P317" s="8">
        <v>193800</v>
      </c>
      <c r="Q317" s="8">
        <v>1</v>
      </c>
      <c r="R317" s="8" t="s">
        <v>38</v>
      </c>
      <c r="S317" s="8" t="s">
        <v>65</v>
      </c>
      <c r="T317" s="8" t="s">
        <v>93</v>
      </c>
      <c r="U317" s="9" t="s">
        <v>1450</v>
      </c>
      <c r="V317" s="22" t="s">
        <v>73</v>
      </c>
    </row>
    <row r="318" spans="1:22">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15">
        <v>5</v>
      </c>
      <c r="P318" s="4">
        <v>190</v>
      </c>
      <c r="Q318" s="4">
        <v>2</v>
      </c>
      <c r="R318" s="4" t="s">
        <v>38</v>
      </c>
      <c r="S318" s="4" t="s">
        <v>65</v>
      </c>
      <c r="T318" s="4" t="s">
        <v>93</v>
      </c>
      <c r="U318" s="6" t="s">
        <v>1453</v>
      </c>
      <c r="V318" s="21" t="s">
        <v>73</v>
      </c>
    </row>
    <row r="319" spans="1:22">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16">
        <v>5</v>
      </c>
      <c r="P319" s="8">
        <v>22990</v>
      </c>
      <c r="Q319" s="8">
        <v>5</v>
      </c>
      <c r="R319" s="8" t="s">
        <v>83</v>
      </c>
      <c r="S319" s="8" t="s">
        <v>53</v>
      </c>
      <c r="T319" s="8" t="s">
        <v>179</v>
      </c>
      <c r="U319" s="9" t="s">
        <v>1457</v>
      </c>
      <c r="V319" s="22" t="s">
        <v>68</v>
      </c>
    </row>
    <row r="320" spans="1:22">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15">
        <v>15</v>
      </c>
      <c r="P320" s="4">
        <v>408</v>
      </c>
      <c r="Q320" s="4">
        <v>4</v>
      </c>
      <c r="R320" s="4" t="s">
        <v>38</v>
      </c>
      <c r="S320" s="4" t="s">
        <v>53</v>
      </c>
      <c r="T320" s="4" t="s">
        <v>148</v>
      </c>
      <c r="U320" s="6" t="s">
        <v>1460</v>
      </c>
      <c r="V320" s="21" t="s">
        <v>68</v>
      </c>
    </row>
    <row r="321" spans="1:22">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16">
        <v>15</v>
      </c>
      <c r="P321" s="8">
        <v>650.25</v>
      </c>
      <c r="Q321" s="8">
        <v>2</v>
      </c>
      <c r="R321" s="8" t="s">
        <v>92</v>
      </c>
      <c r="S321" s="8" t="s">
        <v>155</v>
      </c>
      <c r="T321" s="8" t="s">
        <v>232</v>
      </c>
      <c r="U321" s="9" t="s">
        <v>1463</v>
      </c>
      <c r="V321" s="22" t="s">
        <v>42</v>
      </c>
    </row>
    <row r="322" spans="1:22">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15">
        <v>15</v>
      </c>
      <c r="P322" s="4">
        <v>8330</v>
      </c>
      <c r="Q322" s="4">
        <v>1</v>
      </c>
      <c r="R322" s="4" t="s">
        <v>83</v>
      </c>
      <c r="S322" s="4" t="s">
        <v>119</v>
      </c>
      <c r="T322" s="4" t="s">
        <v>336</v>
      </c>
      <c r="U322" s="6" t="s">
        <v>1467</v>
      </c>
      <c r="V322" s="21" t="s">
        <v>42</v>
      </c>
    </row>
    <row r="323" spans="1:22">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16">
        <v>5</v>
      </c>
      <c r="P323" s="8">
        <v>3420</v>
      </c>
      <c r="Q323" s="8">
        <v>3</v>
      </c>
      <c r="R323" s="8" t="s">
        <v>52</v>
      </c>
      <c r="S323" s="8" t="s">
        <v>155</v>
      </c>
      <c r="T323" s="8" t="s">
        <v>93</v>
      </c>
      <c r="U323" s="9" t="s">
        <v>1471</v>
      </c>
      <c r="V323" s="22" t="s">
        <v>42</v>
      </c>
    </row>
    <row r="324" spans="1:22">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15">
        <v>15</v>
      </c>
      <c r="P324" s="4">
        <v>9180</v>
      </c>
      <c r="Q324" s="4">
        <v>3</v>
      </c>
      <c r="R324" s="4" t="s">
        <v>38</v>
      </c>
      <c r="S324" s="4" t="s">
        <v>53</v>
      </c>
      <c r="T324" s="4" t="s">
        <v>54</v>
      </c>
      <c r="U324" s="6" t="s">
        <v>1474</v>
      </c>
      <c r="V324" s="21" t="s">
        <v>42</v>
      </c>
    </row>
    <row r="325" spans="1:22">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16">
        <v>5</v>
      </c>
      <c r="P325" s="8">
        <v>95</v>
      </c>
      <c r="Q325" s="8">
        <v>4</v>
      </c>
      <c r="R325" s="8" t="s">
        <v>38</v>
      </c>
      <c r="S325" s="8" t="s">
        <v>155</v>
      </c>
      <c r="T325" s="8" t="s">
        <v>260</v>
      </c>
      <c r="U325" s="9" t="s">
        <v>1477</v>
      </c>
      <c r="V325" s="22" t="s">
        <v>42</v>
      </c>
    </row>
    <row r="326" spans="1:22">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15">
        <v>10</v>
      </c>
      <c r="P326" s="4">
        <v>15840</v>
      </c>
      <c r="Q326" s="4">
        <v>4</v>
      </c>
      <c r="R326" s="4" t="s">
        <v>92</v>
      </c>
      <c r="S326" s="4" t="s">
        <v>65</v>
      </c>
      <c r="T326" s="4" t="s">
        <v>260</v>
      </c>
      <c r="U326" s="6" t="s">
        <v>1482</v>
      </c>
      <c r="V326" s="21" t="s">
        <v>73</v>
      </c>
    </row>
    <row r="327" spans="1:22">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16">
        <v>20</v>
      </c>
      <c r="P327" s="8">
        <v>5600</v>
      </c>
      <c r="Q327" s="8">
        <v>1</v>
      </c>
      <c r="R327" s="8" t="s">
        <v>92</v>
      </c>
      <c r="S327" s="8" t="s">
        <v>119</v>
      </c>
      <c r="T327" s="8" t="s">
        <v>260</v>
      </c>
      <c r="U327" s="9" t="s">
        <v>1486</v>
      </c>
      <c r="V327" s="22" t="s">
        <v>42</v>
      </c>
    </row>
    <row r="328" spans="1:22">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15">
        <v>20</v>
      </c>
      <c r="P328" s="4">
        <v>1120</v>
      </c>
      <c r="Q328" s="4">
        <v>2</v>
      </c>
      <c r="R328" s="4" t="s">
        <v>38</v>
      </c>
      <c r="S328" s="4" t="s">
        <v>119</v>
      </c>
      <c r="T328" s="4" t="s">
        <v>93</v>
      </c>
      <c r="U328" s="6" t="s">
        <v>1491</v>
      </c>
      <c r="V328" s="21" t="s">
        <v>68</v>
      </c>
    </row>
    <row r="329" spans="1:22">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16">
        <v>20</v>
      </c>
      <c r="P329" s="8">
        <v>44800</v>
      </c>
      <c r="Q329" s="8">
        <v>2</v>
      </c>
      <c r="R329" s="8" t="s">
        <v>92</v>
      </c>
      <c r="S329" s="8" t="s">
        <v>39</v>
      </c>
      <c r="T329" s="8" t="s">
        <v>232</v>
      </c>
      <c r="U329" s="9" t="s">
        <v>1494</v>
      </c>
      <c r="V329" s="22" t="s">
        <v>68</v>
      </c>
    </row>
    <row r="330" spans="1:22">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15">
        <v>20</v>
      </c>
      <c r="P330" s="4">
        <v>25200</v>
      </c>
      <c r="Q330" s="4">
        <v>1</v>
      </c>
      <c r="R330" s="4" t="s">
        <v>83</v>
      </c>
      <c r="S330" s="4" t="s">
        <v>53</v>
      </c>
      <c r="T330" s="4" t="s">
        <v>179</v>
      </c>
      <c r="U330" s="6" t="s">
        <v>1497</v>
      </c>
      <c r="V330" s="21" t="s">
        <v>73</v>
      </c>
    </row>
    <row r="331" spans="1:22">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16">
        <v>5</v>
      </c>
      <c r="P331" s="8">
        <v>9975</v>
      </c>
      <c r="Q331" s="8">
        <v>1</v>
      </c>
      <c r="R331" s="8" t="s">
        <v>38</v>
      </c>
      <c r="S331" s="8" t="s">
        <v>53</v>
      </c>
      <c r="T331" s="8" t="s">
        <v>136</v>
      </c>
      <c r="U331" s="9" t="s">
        <v>1500</v>
      </c>
      <c r="V331" s="22" t="s">
        <v>73</v>
      </c>
    </row>
    <row r="332" spans="1:22">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15">
        <v>0</v>
      </c>
      <c r="P332" s="4">
        <v>15600</v>
      </c>
      <c r="Q332" s="4">
        <v>3</v>
      </c>
      <c r="R332" s="4" t="s">
        <v>52</v>
      </c>
      <c r="S332" s="4" t="s">
        <v>119</v>
      </c>
      <c r="T332" s="4" t="s">
        <v>66</v>
      </c>
      <c r="U332" s="6" t="s">
        <v>1503</v>
      </c>
      <c r="V332" s="21" t="s">
        <v>73</v>
      </c>
    </row>
    <row r="333" spans="1:22">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16">
        <v>10</v>
      </c>
      <c r="P333" s="8">
        <v>54000</v>
      </c>
      <c r="Q333" s="8">
        <v>3</v>
      </c>
      <c r="R333" s="8" t="s">
        <v>92</v>
      </c>
      <c r="S333" s="8" t="s">
        <v>53</v>
      </c>
      <c r="T333" s="8" t="s">
        <v>336</v>
      </c>
      <c r="U333" s="9" t="s">
        <v>1508</v>
      </c>
      <c r="V333" s="22" t="s">
        <v>42</v>
      </c>
    </row>
    <row r="334" spans="1:22">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15">
        <v>20</v>
      </c>
      <c r="P334" s="4">
        <v>432</v>
      </c>
      <c r="Q334" s="4">
        <v>3</v>
      </c>
      <c r="R334" s="4" t="s">
        <v>52</v>
      </c>
      <c r="S334" s="4" t="s">
        <v>65</v>
      </c>
      <c r="T334" s="4" t="s">
        <v>66</v>
      </c>
      <c r="U334" s="6" t="s">
        <v>1513</v>
      </c>
      <c r="V334" s="21" t="s">
        <v>42</v>
      </c>
    </row>
    <row r="335" spans="1:22">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16">
        <v>0</v>
      </c>
      <c r="P335" s="8">
        <v>7000</v>
      </c>
      <c r="Q335" s="8">
        <v>1</v>
      </c>
      <c r="R335" s="8" t="s">
        <v>52</v>
      </c>
      <c r="S335" s="8" t="s">
        <v>119</v>
      </c>
      <c r="T335" s="8" t="s">
        <v>54</v>
      </c>
      <c r="U335" s="9" t="s">
        <v>1516</v>
      </c>
      <c r="V335" s="22" t="s">
        <v>68</v>
      </c>
    </row>
    <row r="336" spans="1:22">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15">
        <v>15</v>
      </c>
      <c r="P336" s="4">
        <v>28050</v>
      </c>
      <c r="Q336" s="4">
        <v>2</v>
      </c>
      <c r="R336" s="4" t="s">
        <v>52</v>
      </c>
      <c r="S336" s="4" t="s">
        <v>53</v>
      </c>
      <c r="T336" s="4" t="s">
        <v>54</v>
      </c>
      <c r="U336" s="6" t="s">
        <v>1519</v>
      </c>
      <c r="V336" s="21" t="s">
        <v>68</v>
      </c>
    </row>
    <row r="337" spans="1:22">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16">
        <v>20</v>
      </c>
      <c r="P337" s="8">
        <v>128</v>
      </c>
      <c r="Q337" s="8">
        <v>5</v>
      </c>
      <c r="R337" s="8" t="s">
        <v>92</v>
      </c>
      <c r="S337" s="8" t="s">
        <v>53</v>
      </c>
      <c r="T337" s="8" t="s">
        <v>148</v>
      </c>
      <c r="U337" s="9" t="s">
        <v>1522</v>
      </c>
      <c r="V337" s="22" t="s">
        <v>42</v>
      </c>
    </row>
    <row r="338" spans="1:22">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15">
        <v>0</v>
      </c>
      <c r="P338" s="4">
        <v>20</v>
      </c>
      <c r="Q338" s="4">
        <v>3</v>
      </c>
      <c r="R338" s="4" t="s">
        <v>92</v>
      </c>
      <c r="S338" s="4" t="s">
        <v>39</v>
      </c>
      <c r="T338" s="4" t="s">
        <v>136</v>
      </c>
      <c r="U338" s="6" t="s">
        <v>1525</v>
      </c>
      <c r="V338" s="21" t="s">
        <v>42</v>
      </c>
    </row>
    <row r="339" spans="1:22">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16">
        <v>0</v>
      </c>
      <c r="P339" s="8">
        <v>10500</v>
      </c>
      <c r="Q339" s="8">
        <v>2</v>
      </c>
      <c r="R339" s="8" t="s">
        <v>92</v>
      </c>
      <c r="S339" s="8" t="s">
        <v>53</v>
      </c>
      <c r="T339" s="8" t="s">
        <v>54</v>
      </c>
      <c r="U339" s="9" t="s">
        <v>1528</v>
      </c>
      <c r="V339" s="22" t="s">
        <v>42</v>
      </c>
    </row>
    <row r="340" spans="1:22">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15">
        <v>10</v>
      </c>
      <c r="P340" s="4">
        <v>47250</v>
      </c>
      <c r="Q340" s="4">
        <v>3</v>
      </c>
      <c r="R340" s="4" t="s">
        <v>38</v>
      </c>
      <c r="S340" s="4" t="s">
        <v>155</v>
      </c>
      <c r="T340" s="4" t="s">
        <v>336</v>
      </c>
      <c r="U340" s="6" t="s">
        <v>1532</v>
      </c>
      <c r="V340" s="21" t="s">
        <v>68</v>
      </c>
    </row>
    <row r="341" spans="1:22">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16">
        <v>10</v>
      </c>
      <c r="P341" s="8">
        <v>864</v>
      </c>
      <c r="Q341" s="8">
        <v>4</v>
      </c>
      <c r="R341" s="8" t="s">
        <v>83</v>
      </c>
      <c r="S341" s="8" t="s">
        <v>65</v>
      </c>
      <c r="T341" s="8" t="s">
        <v>54</v>
      </c>
      <c r="U341" s="9" t="s">
        <v>1536</v>
      </c>
      <c r="V341" s="22" t="s">
        <v>42</v>
      </c>
    </row>
    <row r="342" spans="1:22">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15">
        <v>15</v>
      </c>
      <c r="P342" s="4">
        <v>76.5</v>
      </c>
      <c r="Q342" s="4">
        <v>1</v>
      </c>
      <c r="R342" s="4" t="s">
        <v>92</v>
      </c>
      <c r="S342" s="4" t="s">
        <v>155</v>
      </c>
      <c r="T342" s="4" t="s">
        <v>136</v>
      </c>
      <c r="U342" s="6" t="s">
        <v>1539</v>
      </c>
      <c r="V342" s="21" t="s">
        <v>73</v>
      </c>
    </row>
    <row r="343" spans="1:22">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16">
        <v>15</v>
      </c>
      <c r="P343" s="8">
        <v>663</v>
      </c>
      <c r="Q343" s="8">
        <v>2</v>
      </c>
      <c r="R343" s="8" t="s">
        <v>52</v>
      </c>
      <c r="S343" s="8" t="s">
        <v>65</v>
      </c>
      <c r="T343" s="8" t="s">
        <v>179</v>
      </c>
      <c r="U343" s="9" t="s">
        <v>1543</v>
      </c>
      <c r="V343" s="22" t="s">
        <v>73</v>
      </c>
    </row>
    <row r="344" spans="1:22">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15">
        <v>20</v>
      </c>
      <c r="P344" s="4">
        <v>144000</v>
      </c>
      <c r="Q344" s="4">
        <v>3</v>
      </c>
      <c r="R344" s="4" t="s">
        <v>83</v>
      </c>
      <c r="S344" s="4" t="s">
        <v>39</v>
      </c>
      <c r="T344" s="4" t="s">
        <v>93</v>
      </c>
      <c r="U344" s="6" t="s">
        <v>1546</v>
      </c>
      <c r="V344" s="21" t="s">
        <v>73</v>
      </c>
    </row>
    <row r="345" spans="1:22">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16">
        <v>20</v>
      </c>
      <c r="P345" s="8">
        <v>32</v>
      </c>
      <c r="Q345" s="8">
        <v>4</v>
      </c>
      <c r="R345" s="8" t="s">
        <v>38</v>
      </c>
      <c r="S345" s="8" t="s">
        <v>39</v>
      </c>
      <c r="T345" s="8" t="s">
        <v>336</v>
      </c>
      <c r="U345" s="9" t="s">
        <v>1550</v>
      </c>
      <c r="V345" s="22" t="s">
        <v>68</v>
      </c>
    </row>
    <row r="346" spans="1:22">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15">
        <v>0</v>
      </c>
      <c r="P346" s="4">
        <v>56000</v>
      </c>
      <c r="Q346" s="4">
        <v>4</v>
      </c>
      <c r="R346" s="4" t="s">
        <v>38</v>
      </c>
      <c r="S346" s="4" t="s">
        <v>119</v>
      </c>
      <c r="T346" s="4" t="s">
        <v>136</v>
      </c>
      <c r="U346" s="6" t="s">
        <v>1554</v>
      </c>
      <c r="V346" s="21" t="s">
        <v>42</v>
      </c>
    </row>
    <row r="347" spans="1:22">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16">
        <v>15</v>
      </c>
      <c r="P347" s="8">
        <v>53550</v>
      </c>
      <c r="Q347" s="8">
        <v>5</v>
      </c>
      <c r="R347" s="8" t="s">
        <v>38</v>
      </c>
      <c r="S347" s="8" t="s">
        <v>155</v>
      </c>
      <c r="T347" s="8" t="s">
        <v>66</v>
      </c>
      <c r="U347" s="9" t="s">
        <v>1557</v>
      </c>
      <c r="V347" s="22" t="s">
        <v>73</v>
      </c>
    </row>
    <row r="348" spans="1:22">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15">
        <v>15</v>
      </c>
      <c r="P348" s="4">
        <v>765</v>
      </c>
      <c r="Q348" s="4">
        <v>4</v>
      </c>
      <c r="R348" s="4" t="s">
        <v>38</v>
      </c>
      <c r="S348" s="4" t="s">
        <v>155</v>
      </c>
      <c r="T348" s="4" t="s">
        <v>54</v>
      </c>
      <c r="U348" s="6" t="s">
        <v>1560</v>
      </c>
      <c r="V348" s="21" t="s">
        <v>73</v>
      </c>
    </row>
    <row r="349" spans="1:22">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16">
        <v>15</v>
      </c>
      <c r="P349" s="8">
        <v>24310</v>
      </c>
      <c r="Q349" s="8">
        <v>2</v>
      </c>
      <c r="R349" s="8" t="s">
        <v>52</v>
      </c>
      <c r="S349" s="8" t="s">
        <v>119</v>
      </c>
      <c r="T349" s="8" t="s">
        <v>260</v>
      </c>
      <c r="U349" s="9" t="s">
        <v>1563</v>
      </c>
      <c r="V349" s="22" t="s">
        <v>68</v>
      </c>
    </row>
    <row r="350" spans="1:22">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15">
        <v>5</v>
      </c>
      <c r="P350" s="4">
        <v>88825</v>
      </c>
      <c r="Q350" s="4">
        <v>1</v>
      </c>
      <c r="R350" s="4" t="s">
        <v>92</v>
      </c>
      <c r="S350" s="4" t="s">
        <v>119</v>
      </c>
      <c r="T350" s="4" t="s">
        <v>66</v>
      </c>
      <c r="U350" s="6" t="s">
        <v>1567</v>
      </c>
      <c r="V350" s="21" t="s">
        <v>73</v>
      </c>
    </row>
    <row r="351" spans="1:22">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16">
        <v>0</v>
      </c>
      <c r="P351" s="8">
        <v>4400</v>
      </c>
      <c r="Q351" s="8">
        <v>4</v>
      </c>
      <c r="R351" s="8" t="s">
        <v>92</v>
      </c>
      <c r="S351" s="8" t="s">
        <v>155</v>
      </c>
      <c r="T351" s="8" t="s">
        <v>66</v>
      </c>
      <c r="U351" s="9" t="s">
        <v>1571</v>
      </c>
      <c r="V351" s="22" t="s">
        <v>68</v>
      </c>
    </row>
    <row r="352" spans="1:22">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15">
        <v>15</v>
      </c>
      <c r="P352" s="4">
        <v>8925</v>
      </c>
      <c r="Q352" s="4">
        <v>3</v>
      </c>
      <c r="R352" s="4" t="s">
        <v>52</v>
      </c>
      <c r="S352" s="4" t="s">
        <v>119</v>
      </c>
      <c r="T352" s="4" t="s">
        <v>93</v>
      </c>
      <c r="U352" s="6" t="s">
        <v>1574</v>
      </c>
      <c r="V352" s="21" t="s">
        <v>42</v>
      </c>
    </row>
    <row r="353" spans="1:22">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16">
        <v>15</v>
      </c>
      <c r="P353" s="8">
        <v>9350</v>
      </c>
      <c r="Q353" s="8">
        <v>1</v>
      </c>
      <c r="R353" s="8" t="s">
        <v>52</v>
      </c>
      <c r="S353" s="8" t="s">
        <v>119</v>
      </c>
      <c r="T353" s="8" t="s">
        <v>136</v>
      </c>
      <c r="U353" s="9" t="s">
        <v>1578</v>
      </c>
      <c r="V353" s="22" t="s">
        <v>68</v>
      </c>
    </row>
    <row r="354" spans="1:22">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15">
        <v>0</v>
      </c>
      <c r="P354" s="4">
        <v>18000</v>
      </c>
      <c r="Q354" s="4">
        <v>3</v>
      </c>
      <c r="R354" s="4" t="s">
        <v>52</v>
      </c>
      <c r="S354" s="4" t="s">
        <v>65</v>
      </c>
      <c r="T354" s="4" t="s">
        <v>93</v>
      </c>
      <c r="U354" s="6" t="s">
        <v>1581</v>
      </c>
      <c r="V354" s="21" t="s">
        <v>73</v>
      </c>
    </row>
    <row r="355" spans="1:22">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16">
        <v>0</v>
      </c>
      <c r="P355" s="8">
        <v>22800</v>
      </c>
      <c r="Q355" s="8">
        <v>1</v>
      </c>
      <c r="R355" s="8" t="s">
        <v>38</v>
      </c>
      <c r="S355" s="8" t="s">
        <v>53</v>
      </c>
      <c r="T355" s="8" t="s">
        <v>260</v>
      </c>
      <c r="U355" s="9" t="s">
        <v>1584</v>
      </c>
      <c r="V355" s="22" t="s">
        <v>73</v>
      </c>
    </row>
    <row r="356" spans="1:22">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15">
        <v>15</v>
      </c>
      <c r="P356" s="4">
        <v>91800</v>
      </c>
      <c r="Q356" s="4">
        <v>3</v>
      </c>
      <c r="R356" s="4" t="s">
        <v>92</v>
      </c>
      <c r="S356" s="4" t="s">
        <v>53</v>
      </c>
      <c r="T356" s="4" t="s">
        <v>179</v>
      </c>
      <c r="U356" s="6" t="s">
        <v>1588</v>
      </c>
      <c r="V356" s="21" t="s">
        <v>73</v>
      </c>
    </row>
    <row r="357" spans="1:22">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16">
        <v>5</v>
      </c>
      <c r="P357" s="8">
        <v>213.75</v>
      </c>
      <c r="Q357" s="8">
        <v>1</v>
      </c>
      <c r="R357" s="8" t="s">
        <v>83</v>
      </c>
      <c r="S357" s="8" t="s">
        <v>119</v>
      </c>
      <c r="T357" s="8" t="s">
        <v>54</v>
      </c>
      <c r="U357" s="9" t="s">
        <v>1591</v>
      </c>
      <c r="V357" s="22" t="s">
        <v>42</v>
      </c>
    </row>
    <row r="358" spans="1:22">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15">
        <v>15</v>
      </c>
      <c r="P358" s="4">
        <v>1785</v>
      </c>
      <c r="Q358" s="4">
        <v>4</v>
      </c>
      <c r="R358" s="4" t="s">
        <v>38</v>
      </c>
      <c r="S358" s="4" t="s">
        <v>155</v>
      </c>
      <c r="T358" s="4" t="s">
        <v>260</v>
      </c>
      <c r="U358" s="6" t="s">
        <v>1595</v>
      </c>
      <c r="V358" s="21" t="s">
        <v>42</v>
      </c>
    </row>
    <row r="359" spans="1:22">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16">
        <v>5</v>
      </c>
      <c r="P359" s="8">
        <v>96900</v>
      </c>
      <c r="Q359" s="8">
        <v>3</v>
      </c>
      <c r="R359" s="8" t="s">
        <v>83</v>
      </c>
      <c r="S359" s="8" t="s">
        <v>65</v>
      </c>
      <c r="T359" s="8" t="s">
        <v>84</v>
      </c>
      <c r="U359" s="9" t="s">
        <v>1598</v>
      </c>
      <c r="V359" s="22" t="s">
        <v>68</v>
      </c>
    </row>
    <row r="360" spans="1:22">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15">
        <v>15</v>
      </c>
      <c r="P360" s="4">
        <v>28900</v>
      </c>
      <c r="Q360" s="4">
        <v>4</v>
      </c>
      <c r="R360" s="4" t="s">
        <v>52</v>
      </c>
      <c r="S360" s="4" t="s">
        <v>65</v>
      </c>
      <c r="T360" s="4" t="s">
        <v>260</v>
      </c>
      <c r="U360" s="6" t="s">
        <v>1601</v>
      </c>
      <c r="V360" s="21" t="s">
        <v>68</v>
      </c>
    </row>
    <row r="361" spans="1:22">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16">
        <v>10</v>
      </c>
      <c r="P361" s="8">
        <v>288</v>
      </c>
      <c r="Q361" s="8">
        <v>4</v>
      </c>
      <c r="R361" s="8" t="s">
        <v>38</v>
      </c>
      <c r="S361" s="8" t="s">
        <v>119</v>
      </c>
      <c r="T361" s="8" t="s">
        <v>136</v>
      </c>
      <c r="U361" s="9" t="s">
        <v>1604</v>
      </c>
      <c r="V361" s="22" t="s">
        <v>73</v>
      </c>
    </row>
    <row r="362" spans="1:22">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15">
        <v>20</v>
      </c>
      <c r="P362" s="4">
        <v>144</v>
      </c>
      <c r="Q362" s="4">
        <v>4</v>
      </c>
      <c r="R362" s="4" t="s">
        <v>92</v>
      </c>
      <c r="S362" s="4" t="s">
        <v>155</v>
      </c>
      <c r="T362" s="4" t="s">
        <v>136</v>
      </c>
      <c r="U362" s="6" t="s">
        <v>1608</v>
      </c>
      <c r="V362" s="21" t="s">
        <v>68</v>
      </c>
    </row>
    <row r="363" spans="1:22">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16">
        <v>10</v>
      </c>
      <c r="P363" s="8">
        <v>37620</v>
      </c>
      <c r="Q363" s="8">
        <v>2</v>
      </c>
      <c r="R363" s="8" t="s">
        <v>38</v>
      </c>
      <c r="S363" s="8" t="s">
        <v>155</v>
      </c>
      <c r="T363" s="8" t="s">
        <v>84</v>
      </c>
      <c r="U363" s="9" t="s">
        <v>1611</v>
      </c>
      <c r="V363" s="22" t="s">
        <v>68</v>
      </c>
    </row>
    <row r="364" spans="1:22">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15">
        <v>20</v>
      </c>
      <c r="P364" s="4">
        <v>6720</v>
      </c>
      <c r="Q364" s="4">
        <v>3</v>
      </c>
      <c r="R364" s="4" t="s">
        <v>83</v>
      </c>
      <c r="S364" s="4" t="s">
        <v>119</v>
      </c>
      <c r="T364" s="4" t="s">
        <v>84</v>
      </c>
      <c r="U364" s="6" t="s">
        <v>1615</v>
      </c>
      <c r="V364" s="21" t="s">
        <v>73</v>
      </c>
    </row>
    <row r="365" spans="1:22">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16">
        <v>20</v>
      </c>
      <c r="P365" s="8">
        <v>320</v>
      </c>
      <c r="Q365" s="8">
        <v>5</v>
      </c>
      <c r="R365" s="8" t="s">
        <v>83</v>
      </c>
      <c r="S365" s="8" t="s">
        <v>119</v>
      </c>
      <c r="T365" s="8" t="s">
        <v>66</v>
      </c>
      <c r="U365" s="9" t="s">
        <v>1618</v>
      </c>
      <c r="V365" s="22" t="s">
        <v>68</v>
      </c>
    </row>
    <row r="366" spans="1:22">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15">
        <v>5</v>
      </c>
      <c r="P366" s="4">
        <v>21660</v>
      </c>
      <c r="Q366" s="4">
        <v>3</v>
      </c>
      <c r="R366" s="4" t="s">
        <v>83</v>
      </c>
      <c r="S366" s="4" t="s">
        <v>39</v>
      </c>
      <c r="T366" s="4" t="s">
        <v>148</v>
      </c>
      <c r="U366" s="6" t="s">
        <v>1622</v>
      </c>
      <c r="V366" s="21" t="s">
        <v>68</v>
      </c>
    </row>
    <row r="367" spans="1:22">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16">
        <v>0</v>
      </c>
      <c r="P367" s="8">
        <v>100</v>
      </c>
      <c r="Q367" s="8">
        <v>2</v>
      </c>
      <c r="R367" s="8" t="s">
        <v>92</v>
      </c>
      <c r="S367" s="8" t="s">
        <v>53</v>
      </c>
      <c r="T367" s="8" t="s">
        <v>66</v>
      </c>
      <c r="U367" s="9" t="s">
        <v>1626</v>
      </c>
      <c r="V367" s="22" t="s">
        <v>68</v>
      </c>
    </row>
    <row r="368" spans="1:22">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15">
        <v>15</v>
      </c>
      <c r="P368" s="4">
        <v>612</v>
      </c>
      <c r="Q368" s="4">
        <v>5</v>
      </c>
      <c r="R368" s="4" t="s">
        <v>38</v>
      </c>
      <c r="S368" s="4" t="s">
        <v>65</v>
      </c>
      <c r="T368" s="4" t="s">
        <v>148</v>
      </c>
      <c r="U368" s="6" t="s">
        <v>1629</v>
      </c>
      <c r="V368" s="21" t="s">
        <v>73</v>
      </c>
    </row>
    <row r="369" spans="1:22">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16">
        <v>10</v>
      </c>
      <c r="P369" s="8">
        <v>1980</v>
      </c>
      <c r="Q369" s="8">
        <v>5</v>
      </c>
      <c r="R369" s="8" t="s">
        <v>83</v>
      </c>
      <c r="S369" s="8" t="s">
        <v>53</v>
      </c>
      <c r="T369" s="8" t="s">
        <v>54</v>
      </c>
      <c r="U369" s="9" t="s">
        <v>1632</v>
      </c>
      <c r="V369" s="22" t="s">
        <v>42</v>
      </c>
    </row>
    <row r="370" spans="1:22">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15">
        <v>15</v>
      </c>
      <c r="P370" s="4">
        <v>969</v>
      </c>
      <c r="Q370" s="4">
        <v>4</v>
      </c>
      <c r="R370" s="4" t="s">
        <v>52</v>
      </c>
      <c r="S370" s="4" t="s">
        <v>119</v>
      </c>
      <c r="T370" s="4" t="s">
        <v>66</v>
      </c>
      <c r="U370" s="6" t="s">
        <v>1636</v>
      </c>
      <c r="V370" s="21" t="s">
        <v>73</v>
      </c>
    </row>
    <row r="371" spans="1:22">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16">
        <v>0</v>
      </c>
      <c r="P371" s="8">
        <v>825000</v>
      </c>
      <c r="Q371" s="8">
        <v>5</v>
      </c>
      <c r="R371" s="8" t="s">
        <v>83</v>
      </c>
      <c r="S371" s="8" t="s">
        <v>119</v>
      </c>
      <c r="T371" s="8" t="s">
        <v>336</v>
      </c>
      <c r="U371" s="9" t="s">
        <v>1640</v>
      </c>
      <c r="V371" s="22" t="s">
        <v>73</v>
      </c>
    </row>
    <row r="372" spans="1:22">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15">
        <v>5</v>
      </c>
      <c r="P372" s="4">
        <v>470.25</v>
      </c>
      <c r="Q372" s="4">
        <v>5</v>
      </c>
      <c r="R372" s="4" t="s">
        <v>52</v>
      </c>
      <c r="S372" s="4" t="s">
        <v>155</v>
      </c>
      <c r="T372" s="4" t="s">
        <v>84</v>
      </c>
      <c r="U372" s="6" t="s">
        <v>1644</v>
      </c>
      <c r="V372" s="21" t="s">
        <v>42</v>
      </c>
    </row>
    <row r="373" spans="1:22">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16">
        <v>10</v>
      </c>
      <c r="P373" s="8">
        <v>162</v>
      </c>
      <c r="Q373" s="8">
        <v>1</v>
      </c>
      <c r="R373" s="8" t="s">
        <v>83</v>
      </c>
      <c r="S373" s="8" t="s">
        <v>53</v>
      </c>
      <c r="T373" s="8" t="s">
        <v>260</v>
      </c>
      <c r="U373" s="9" t="s">
        <v>1649</v>
      </c>
      <c r="V373" s="22" t="s">
        <v>73</v>
      </c>
    </row>
    <row r="374" spans="1:22">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15">
        <v>5</v>
      </c>
      <c r="P374" s="4">
        <v>213.75</v>
      </c>
      <c r="Q374" s="4">
        <v>3</v>
      </c>
      <c r="R374" s="4" t="s">
        <v>83</v>
      </c>
      <c r="S374" s="4" t="s">
        <v>119</v>
      </c>
      <c r="T374" s="4" t="s">
        <v>179</v>
      </c>
      <c r="U374" s="6" t="s">
        <v>1652</v>
      </c>
      <c r="V374" s="21" t="s">
        <v>68</v>
      </c>
    </row>
    <row r="375" spans="1:22">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16">
        <v>10</v>
      </c>
      <c r="P375" s="8">
        <v>3150</v>
      </c>
      <c r="Q375" s="8">
        <v>2</v>
      </c>
      <c r="R375" s="8" t="s">
        <v>92</v>
      </c>
      <c r="S375" s="8" t="s">
        <v>53</v>
      </c>
      <c r="T375" s="8" t="s">
        <v>93</v>
      </c>
      <c r="U375" s="9" t="s">
        <v>1656</v>
      </c>
      <c r="V375" s="22" t="s">
        <v>42</v>
      </c>
    </row>
    <row r="376" spans="1:22">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15">
        <v>0</v>
      </c>
      <c r="P376" s="4">
        <v>700</v>
      </c>
      <c r="Q376" s="4">
        <v>1</v>
      </c>
      <c r="R376" s="4" t="s">
        <v>92</v>
      </c>
      <c r="S376" s="4" t="s">
        <v>155</v>
      </c>
      <c r="T376" s="4" t="s">
        <v>232</v>
      </c>
      <c r="U376" s="6" t="s">
        <v>1660</v>
      </c>
      <c r="V376" s="21" t="s">
        <v>42</v>
      </c>
    </row>
    <row r="377" spans="1:22">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16">
        <v>20</v>
      </c>
      <c r="P377" s="8">
        <v>7280</v>
      </c>
      <c r="Q377" s="8">
        <v>2</v>
      </c>
      <c r="R377" s="8" t="s">
        <v>83</v>
      </c>
      <c r="S377" s="8" t="s">
        <v>39</v>
      </c>
      <c r="T377" s="8" t="s">
        <v>54</v>
      </c>
      <c r="U377" s="9" t="s">
        <v>1663</v>
      </c>
      <c r="V377" s="22" t="s">
        <v>42</v>
      </c>
    </row>
    <row r="378" spans="1:22">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15">
        <v>0</v>
      </c>
      <c r="P378" s="4">
        <v>240000</v>
      </c>
      <c r="Q378" s="4">
        <v>2</v>
      </c>
      <c r="R378" s="4" t="s">
        <v>83</v>
      </c>
      <c r="S378" s="4" t="s">
        <v>119</v>
      </c>
      <c r="T378" s="4" t="s">
        <v>84</v>
      </c>
      <c r="U378" s="6" t="s">
        <v>1666</v>
      </c>
      <c r="V378" s="21" t="s">
        <v>42</v>
      </c>
    </row>
    <row r="379" spans="1:22">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16">
        <v>15</v>
      </c>
      <c r="P379" s="8">
        <v>9180</v>
      </c>
      <c r="Q379" s="8">
        <v>1</v>
      </c>
      <c r="R379" s="8" t="s">
        <v>92</v>
      </c>
      <c r="S379" s="8" t="s">
        <v>39</v>
      </c>
      <c r="T379" s="8" t="s">
        <v>93</v>
      </c>
      <c r="U379" s="9" t="s">
        <v>1669</v>
      </c>
      <c r="V379" s="22" t="s">
        <v>68</v>
      </c>
    </row>
    <row r="380" spans="1:22">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15">
        <v>15</v>
      </c>
      <c r="P380" s="4">
        <v>51</v>
      </c>
      <c r="Q380" s="4">
        <v>3</v>
      </c>
      <c r="R380" s="4" t="s">
        <v>38</v>
      </c>
      <c r="S380" s="4" t="s">
        <v>119</v>
      </c>
      <c r="T380" s="4" t="s">
        <v>93</v>
      </c>
      <c r="U380" s="6" t="s">
        <v>1673</v>
      </c>
      <c r="V380" s="21" t="s">
        <v>68</v>
      </c>
    </row>
    <row r="381" spans="1:22">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16">
        <v>20</v>
      </c>
      <c r="P381" s="8">
        <v>352000</v>
      </c>
      <c r="Q381" s="8">
        <v>5</v>
      </c>
      <c r="R381" s="8" t="s">
        <v>83</v>
      </c>
      <c r="S381" s="8" t="s">
        <v>155</v>
      </c>
      <c r="T381" s="8" t="s">
        <v>260</v>
      </c>
      <c r="U381" s="9" t="s">
        <v>1676</v>
      </c>
      <c r="V381" s="22" t="s">
        <v>68</v>
      </c>
    </row>
    <row r="382" spans="1:22">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15">
        <v>20</v>
      </c>
      <c r="P382" s="4">
        <v>816</v>
      </c>
      <c r="Q382" s="4">
        <v>1</v>
      </c>
      <c r="R382" s="4" t="s">
        <v>92</v>
      </c>
      <c r="S382" s="4" t="s">
        <v>39</v>
      </c>
      <c r="T382" s="4" t="s">
        <v>260</v>
      </c>
      <c r="U382" s="6" t="s">
        <v>1679</v>
      </c>
      <c r="V382" s="21" t="s">
        <v>68</v>
      </c>
    </row>
    <row r="383" spans="1:22">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16">
        <v>15</v>
      </c>
      <c r="P383" s="8">
        <v>68</v>
      </c>
      <c r="Q383" s="8">
        <v>3</v>
      </c>
      <c r="R383" s="8" t="s">
        <v>52</v>
      </c>
      <c r="S383" s="8" t="s">
        <v>65</v>
      </c>
      <c r="T383" s="8" t="s">
        <v>136</v>
      </c>
      <c r="U383" s="9" t="s">
        <v>1683</v>
      </c>
      <c r="V383" s="22" t="s">
        <v>68</v>
      </c>
    </row>
    <row r="384" spans="1:22">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15">
        <v>10</v>
      </c>
      <c r="P384" s="4">
        <v>3960</v>
      </c>
      <c r="Q384" s="4">
        <v>2</v>
      </c>
      <c r="R384" s="4" t="s">
        <v>92</v>
      </c>
      <c r="S384" s="4" t="s">
        <v>53</v>
      </c>
      <c r="T384" s="4" t="s">
        <v>136</v>
      </c>
      <c r="U384" s="6" t="s">
        <v>1687</v>
      </c>
      <c r="V384" s="21" t="s">
        <v>68</v>
      </c>
    </row>
    <row r="385" spans="1:22">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16">
        <v>5</v>
      </c>
      <c r="P385" s="8">
        <v>285</v>
      </c>
      <c r="Q385" s="8">
        <v>1</v>
      </c>
      <c r="R385" s="8" t="s">
        <v>92</v>
      </c>
      <c r="S385" s="8" t="s">
        <v>39</v>
      </c>
      <c r="T385" s="8" t="s">
        <v>232</v>
      </c>
      <c r="U385" s="9" t="s">
        <v>1690</v>
      </c>
      <c r="V385" s="22" t="s">
        <v>73</v>
      </c>
    </row>
    <row r="386" spans="1:22">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15">
        <v>0</v>
      </c>
      <c r="P386" s="4">
        <v>37400</v>
      </c>
      <c r="Q386" s="4">
        <v>2</v>
      </c>
      <c r="R386" s="4" t="s">
        <v>92</v>
      </c>
      <c r="S386" s="4" t="s">
        <v>155</v>
      </c>
      <c r="T386" s="4" t="s">
        <v>136</v>
      </c>
      <c r="U386" s="6" t="s">
        <v>1695</v>
      </c>
      <c r="V386" s="21" t="s">
        <v>73</v>
      </c>
    </row>
    <row r="387" spans="1:22">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16">
        <v>0</v>
      </c>
      <c r="P387" s="8">
        <v>420</v>
      </c>
      <c r="Q387" s="8">
        <v>2</v>
      </c>
      <c r="R387" s="8" t="s">
        <v>92</v>
      </c>
      <c r="S387" s="8" t="s">
        <v>65</v>
      </c>
      <c r="T387" s="8" t="s">
        <v>179</v>
      </c>
      <c r="U387" s="9" t="s">
        <v>1698</v>
      </c>
      <c r="V387" s="22" t="s">
        <v>68</v>
      </c>
    </row>
    <row r="388" spans="1:22">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15">
        <v>5</v>
      </c>
      <c r="P388" s="4">
        <v>313500</v>
      </c>
      <c r="Q388" s="4">
        <v>4</v>
      </c>
      <c r="R388" s="4" t="s">
        <v>83</v>
      </c>
      <c r="S388" s="4" t="s">
        <v>65</v>
      </c>
      <c r="T388" s="4" t="s">
        <v>232</v>
      </c>
      <c r="U388" s="6" t="s">
        <v>1702</v>
      </c>
      <c r="V388" s="21" t="s">
        <v>42</v>
      </c>
    </row>
    <row r="389" spans="1:22">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16">
        <v>5</v>
      </c>
      <c r="P389" s="8">
        <v>304</v>
      </c>
      <c r="Q389" s="8">
        <v>1</v>
      </c>
      <c r="R389" s="8" t="s">
        <v>83</v>
      </c>
      <c r="S389" s="8" t="s">
        <v>53</v>
      </c>
      <c r="T389" s="8" t="s">
        <v>84</v>
      </c>
      <c r="U389" s="9" t="s">
        <v>1706</v>
      </c>
      <c r="V389" s="22" t="s">
        <v>42</v>
      </c>
    </row>
    <row r="390" spans="1:22">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15">
        <v>15</v>
      </c>
      <c r="P390" s="4">
        <v>20570</v>
      </c>
      <c r="Q390" s="4">
        <v>1</v>
      </c>
      <c r="R390" s="4" t="s">
        <v>52</v>
      </c>
      <c r="S390" s="4" t="s">
        <v>119</v>
      </c>
      <c r="T390" s="4" t="s">
        <v>54</v>
      </c>
      <c r="U390" s="6" t="s">
        <v>1711</v>
      </c>
      <c r="V390" s="21" t="s">
        <v>73</v>
      </c>
    </row>
    <row r="391" spans="1:22">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16">
        <v>5</v>
      </c>
      <c r="P391" s="8">
        <v>361</v>
      </c>
      <c r="Q391" s="8">
        <v>4</v>
      </c>
      <c r="R391" s="8" t="s">
        <v>92</v>
      </c>
      <c r="S391" s="8" t="s">
        <v>39</v>
      </c>
      <c r="T391" s="8" t="s">
        <v>148</v>
      </c>
      <c r="U391" s="9" t="s">
        <v>1714</v>
      </c>
      <c r="V391" s="22" t="s">
        <v>68</v>
      </c>
    </row>
    <row r="392" spans="1:22">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15">
        <v>15</v>
      </c>
      <c r="P392" s="4">
        <v>20400</v>
      </c>
      <c r="Q392" s="4">
        <v>4</v>
      </c>
      <c r="R392" s="4" t="s">
        <v>83</v>
      </c>
      <c r="S392" s="4" t="s">
        <v>39</v>
      </c>
      <c r="T392" s="4" t="s">
        <v>148</v>
      </c>
      <c r="U392" s="6" t="s">
        <v>1719</v>
      </c>
      <c r="V392" s="21" t="s">
        <v>68</v>
      </c>
    </row>
    <row r="393" spans="1:22">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16">
        <v>15</v>
      </c>
      <c r="P393" s="8">
        <v>221</v>
      </c>
      <c r="Q393" s="8">
        <v>4</v>
      </c>
      <c r="R393" s="8" t="s">
        <v>38</v>
      </c>
      <c r="S393" s="8" t="s">
        <v>39</v>
      </c>
      <c r="T393" s="8" t="s">
        <v>66</v>
      </c>
      <c r="U393" s="9" t="s">
        <v>1724</v>
      </c>
      <c r="V393" s="22" t="s">
        <v>68</v>
      </c>
    </row>
    <row r="394" spans="1:22">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15">
        <v>10</v>
      </c>
      <c r="P394" s="4">
        <v>12960</v>
      </c>
      <c r="Q394" s="4">
        <v>3</v>
      </c>
      <c r="R394" s="4" t="s">
        <v>52</v>
      </c>
      <c r="S394" s="4" t="s">
        <v>39</v>
      </c>
      <c r="T394" s="4" t="s">
        <v>260</v>
      </c>
      <c r="U394" s="6" t="s">
        <v>1727</v>
      </c>
      <c r="V394" s="21" t="s">
        <v>68</v>
      </c>
    </row>
    <row r="395" spans="1:22">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16">
        <v>5</v>
      </c>
      <c r="P395" s="8">
        <v>48450</v>
      </c>
      <c r="Q395" s="8">
        <v>5</v>
      </c>
      <c r="R395" s="8" t="s">
        <v>38</v>
      </c>
      <c r="S395" s="8" t="s">
        <v>119</v>
      </c>
      <c r="T395" s="8" t="s">
        <v>148</v>
      </c>
      <c r="U395" s="9" t="s">
        <v>1730</v>
      </c>
      <c r="V395" s="22" t="s">
        <v>73</v>
      </c>
    </row>
    <row r="396" spans="1:22">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15">
        <v>10</v>
      </c>
      <c r="P396" s="4">
        <v>114750</v>
      </c>
      <c r="Q396" s="4">
        <v>1</v>
      </c>
      <c r="R396" s="4" t="s">
        <v>38</v>
      </c>
      <c r="S396" s="4" t="s">
        <v>119</v>
      </c>
      <c r="T396" s="4" t="s">
        <v>54</v>
      </c>
      <c r="U396" s="6" t="s">
        <v>1734</v>
      </c>
      <c r="V396" s="21" t="s">
        <v>42</v>
      </c>
    </row>
    <row r="397" spans="1:22">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16">
        <v>20</v>
      </c>
      <c r="P397" s="8">
        <v>182400</v>
      </c>
      <c r="Q397" s="8">
        <v>5</v>
      </c>
      <c r="R397" s="8" t="s">
        <v>38</v>
      </c>
      <c r="S397" s="8" t="s">
        <v>119</v>
      </c>
      <c r="T397" s="8" t="s">
        <v>136</v>
      </c>
      <c r="U397" s="9" t="s">
        <v>1739</v>
      </c>
      <c r="V397" s="22" t="s">
        <v>42</v>
      </c>
    </row>
    <row r="398" spans="1:22">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15">
        <v>0</v>
      </c>
      <c r="P398" s="4">
        <v>3500</v>
      </c>
      <c r="Q398" s="4">
        <v>2</v>
      </c>
      <c r="R398" s="4" t="s">
        <v>83</v>
      </c>
      <c r="S398" s="4" t="s">
        <v>65</v>
      </c>
      <c r="T398" s="4" t="s">
        <v>93</v>
      </c>
      <c r="U398" s="6" t="s">
        <v>1743</v>
      </c>
      <c r="V398" s="21" t="s">
        <v>73</v>
      </c>
    </row>
    <row r="399" spans="1:22">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16">
        <v>0</v>
      </c>
      <c r="P399" s="8">
        <v>228000</v>
      </c>
      <c r="Q399" s="8">
        <v>4</v>
      </c>
      <c r="R399" s="8" t="s">
        <v>92</v>
      </c>
      <c r="S399" s="8" t="s">
        <v>65</v>
      </c>
      <c r="T399" s="8" t="s">
        <v>93</v>
      </c>
      <c r="U399" s="9" t="s">
        <v>1746</v>
      </c>
      <c r="V399" s="22" t="s">
        <v>68</v>
      </c>
    </row>
    <row r="400" spans="1:22">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15">
        <v>15</v>
      </c>
      <c r="P400" s="4">
        <v>7140</v>
      </c>
      <c r="Q400" s="4">
        <v>3</v>
      </c>
      <c r="R400" s="4" t="s">
        <v>83</v>
      </c>
      <c r="S400" s="4" t="s">
        <v>39</v>
      </c>
      <c r="T400" s="4" t="s">
        <v>336</v>
      </c>
      <c r="U400" s="6" t="s">
        <v>1749</v>
      </c>
      <c r="V400" s="21" t="s">
        <v>42</v>
      </c>
    </row>
    <row r="401" spans="1:22">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16">
        <v>20</v>
      </c>
      <c r="P401" s="8">
        <v>15360</v>
      </c>
      <c r="Q401" s="8">
        <v>1</v>
      </c>
      <c r="R401" s="8" t="s">
        <v>38</v>
      </c>
      <c r="S401" s="8" t="s">
        <v>53</v>
      </c>
      <c r="T401" s="8" t="s">
        <v>54</v>
      </c>
      <c r="U401" s="9" t="s">
        <v>1753</v>
      </c>
      <c r="V401" s="22" t="s">
        <v>68</v>
      </c>
    </row>
    <row r="402" spans="1:22">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15">
        <v>5</v>
      </c>
      <c r="P402" s="4">
        <v>80750</v>
      </c>
      <c r="Q402" s="4">
        <v>5</v>
      </c>
      <c r="R402" s="4" t="s">
        <v>52</v>
      </c>
      <c r="S402" s="4" t="s">
        <v>39</v>
      </c>
      <c r="T402" s="4" t="s">
        <v>84</v>
      </c>
      <c r="U402" s="6" t="s">
        <v>1756</v>
      </c>
      <c r="V402" s="21" t="s">
        <v>42</v>
      </c>
    </row>
    <row r="403" spans="1:22">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16">
        <v>20</v>
      </c>
      <c r="P403" s="8">
        <v>288</v>
      </c>
      <c r="Q403" s="8">
        <v>1</v>
      </c>
      <c r="R403" s="8" t="s">
        <v>92</v>
      </c>
      <c r="S403" s="8" t="s">
        <v>39</v>
      </c>
      <c r="T403" s="8" t="s">
        <v>54</v>
      </c>
      <c r="U403" s="9" t="s">
        <v>1759</v>
      </c>
      <c r="V403" s="22" t="s">
        <v>68</v>
      </c>
    </row>
    <row r="404" spans="1:22">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15">
        <v>0</v>
      </c>
      <c r="P404" s="4">
        <v>76500</v>
      </c>
      <c r="Q404" s="4">
        <v>2</v>
      </c>
      <c r="R404" s="4" t="s">
        <v>83</v>
      </c>
      <c r="S404" s="4" t="s">
        <v>39</v>
      </c>
      <c r="T404" s="4" t="s">
        <v>84</v>
      </c>
      <c r="U404" s="6" t="s">
        <v>1762</v>
      </c>
      <c r="V404" s="21" t="s">
        <v>68</v>
      </c>
    </row>
    <row r="405" spans="1:22">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16">
        <v>10</v>
      </c>
      <c r="P405" s="8">
        <v>61200</v>
      </c>
      <c r="Q405" s="8">
        <v>4</v>
      </c>
      <c r="R405" s="8" t="s">
        <v>38</v>
      </c>
      <c r="S405" s="8" t="s">
        <v>119</v>
      </c>
      <c r="T405" s="8" t="s">
        <v>54</v>
      </c>
      <c r="U405" s="9" t="s">
        <v>1766</v>
      </c>
      <c r="V405" s="22" t="s">
        <v>73</v>
      </c>
    </row>
    <row r="406" spans="1:22">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15">
        <v>10</v>
      </c>
      <c r="P406" s="4">
        <v>54</v>
      </c>
      <c r="Q406" s="4">
        <v>3</v>
      </c>
      <c r="R406" s="4" t="s">
        <v>83</v>
      </c>
      <c r="S406" s="4" t="s">
        <v>155</v>
      </c>
      <c r="T406" s="4" t="s">
        <v>66</v>
      </c>
      <c r="U406" s="6" t="s">
        <v>1770</v>
      </c>
      <c r="V406" s="21" t="s">
        <v>68</v>
      </c>
    </row>
    <row r="407" spans="1:22">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16">
        <v>10</v>
      </c>
      <c r="P407" s="8">
        <v>137700</v>
      </c>
      <c r="Q407" s="8">
        <v>4</v>
      </c>
      <c r="R407" s="8" t="s">
        <v>38</v>
      </c>
      <c r="S407" s="8" t="s">
        <v>53</v>
      </c>
      <c r="T407" s="8" t="s">
        <v>179</v>
      </c>
      <c r="U407" s="9" t="s">
        <v>1773</v>
      </c>
      <c r="V407" s="22" t="s">
        <v>73</v>
      </c>
    </row>
    <row r="408" spans="1:22">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15">
        <v>10</v>
      </c>
      <c r="P408" s="4">
        <v>202.5</v>
      </c>
      <c r="Q408" s="4">
        <v>3</v>
      </c>
      <c r="R408" s="4" t="s">
        <v>38</v>
      </c>
      <c r="S408" s="4" t="s">
        <v>119</v>
      </c>
      <c r="T408" s="4" t="s">
        <v>66</v>
      </c>
      <c r="U408" s="6" t="s">
        <v>1776</v>
      </c>
      <c r="V408" s="21" t="s">
        <v>68</v>
      </c>
    </row>
    <row r="409" spans="1:22">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16">
        <v>20</v>
      </c>
      <c r="P409" s="8">
        <v>72</v>
      </c>
      <c r="Q409" s="8">
        <v>5</v>
      </c>
      <c r="R409" s="8" t="s">
        <v>92</v>
      </c>
      <c r="S409" s="8" t="s">
        <v>65</v>
      </c>
      <c r="T409" s="8" t="s">
        <v>84</v>
      </c>
      <c r="U409" s="9" t="s">
        <v>1779</v>
      </c>
      <c r="V409" s="22" t="s">
        <v>73</v>
      </c>
    </row>
    <row r="410" spans="1:22">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15">
        <v>10</v>
      </c>
      <c r="P410" s="4">
        <v>729</v>
      </c>
      <c r="Q410" s="4">
        <v>2</v>
      </c>
      <c r="R410" s="4" t="s">
        <v>52</v>
      </c>
      <c r="S410" s="4" t="s">
        <v>119</v>
      </c>
      <c r="T410" s="4" t="s">
        <v>148</v>
      </c>
      <c r="U410" s="6" t="s">
        <v>1782</v>
      </c>
      <c r="V410" s="21" t="s">
        <v>68</v>
      </c>
    </row>
    <row r="411" spans="1:22">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16">
        <v>5</v>
      </c>
      <c r="P411" s="8">
        <v>14820</v>
      </c>
      <c r="Q411" s="8">
        <v>4</v>
      </c>
      <c r="R411" s="8" t="s">
        <v>83</v>
      </c>
      <c r="S411" s="8" t="s">
        <v>119</v>
      </c>
      <c r="T411" s="8" t="s">
        <v>136</v>
      </c>
      <c r="U411" s="9" t="s">
        <v>1785</v>
      </c>
      <c r="V411" s="22" t="s">
        <v>42</v>
      </c>
    </row>
    <row r="412" spans="1:22">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15">
        <v>20</v>
      </c>
      <c r="P412" s="4">
        <v>224</v>
      </c>
      <c r="Q412" s="4">
        <v>5</v>
      </c>
      <c r="R412" s="4" t="s">
        <v>92</v>
      </c>
      <c r="S412" s="4" t="s">
        <v>53</v>
      </c>
      <c r="T412" s="4" t="s">
        <v>54</v>
      </c>
      <c r="U412" s="6" t="s">
        <v>1789</v>
      </c>
      <c r="V412" s="21" t="s">
        <v>68</v>
      </c>
    </row>
    <row r="413" spans="1:22">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16">
        <v>15</v>
      </c>
      <c r="P413" s="8">
        <v>47600</v>
      </c>
      <c r="Q413" s="8">
        <v>3</v>
      </c>
      <c r="R413" s="8" t="s">
        <v>92</v>
      </c>
      <c r="S413" s="8" t="s">
        <v>65</v>
      </c>
      <c r="T413" s="8" t="s">
        <v>148</v>
      </c>
      <c r="U413" s="9" t="s">
        <v>1793</v>
      </c>
      <c r="V413" s="22" t="s">
        <v>73</v>
      </c>
    </row>
    <row r="414" spans="1:22">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15">
        <v>15</v>
      </c>
      <c r="P414" s="4">
        <v>340</v>
      </c>
      <c r="Q414" s="4">
        <v>1</v>
      </c>
      <c r="R414" s="4" t="s">
        <v>52</v>
      </c>
      <c r="S414" s="4" t="s">
        <v>65</v>
      </c>
      <c r="T414" s="4" t="s">
        <v>260</v>
      </c>
      <c r="U414" s="6" t="s">
        <v>1796</v>
      </c>
      <c r="V414" s="21" t="s">
        <v>73</v>
      </c>
    </row>
    <row r="415" spans="1:22">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16">
        <v>15</v>
      </c>
      <c r="P415" s="8">
        <v>46750</v>
      </c>
      <c r="Q415" s="8">
        <v>2</v>
      </c>
      <c r="R415" s="8" t="s">
        <v>92</v>
      </c>
      <c r="S415" s="8" t="s">
        <v>119</v>
      </c>
      <c r="T415" s="8" t="s">
        <v>179</v>
      </c>
      <c r="U415" s="9" t="s">
        <v>1799</v>
      </c>
      <c r="V415" s="22" t="s">
        <v>73</v>
      </c>
    </row>
    <row r="416" spans="1:22">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15">
        <v>5</v>
      </c>
      <c r="P416" s="4">
        <v>855</v>
      </c>
      <c r="Q416" s="4">
        <v>4</v>
      </c>
      <c r="R416" s="4" t="s">
        <v>52</v>
      </c>
      <c r="S416" s="4" t="s">
        <v>65</v>
      </c>
      <c r="T416" s="4" t="s">
        <v>148</v>
      </c>
      <c r="U416" s="6" t="s">
        <v>1802</v>
      </c>
      <c r="V416" s="21" t="s">
        <v>42</v>
      </c>
    </row>
    <row r="417" spans="1:22">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16">
        <v>0</v>
      </c>
      <c r="P417" s="8">
        <v>10500</v>
      </c>
      <c r="Q417" s="8">
        <v>5</v>
      </c>
      <c r="R417" s="8" t="s">
        <v>52</v>
      </c>
      <c r="S417" s="8" t="s">
        <v>119</v>
      </c>
      <c r="T417" s="8" t="s">
        <v>93</v>
      </c>
      <c r="U417" s="9" t="s">
        <v>1806</v>
      </c>
      <c r="V417" s="22" t="s">
        <v>42</v>
      </c>
    </row>
    <row r="418" spans="1:22">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15">
        <v>10</v>
      </c>
      <c r="P418" s="4">
        <v>140400</v>
      </c>
      <c r="Q418" s="4">
        <v>1</v>
      </c>
      <c r="R418" s="4" t="s">
        <v>38</v>
      </c>
      <c r="S418" s="4" t="s">
        <v>155</v>
      </c>
      <c r="T418" s="4" t="s">
        <v>232</v>
      </c>
      <c r="U418" s="6" t="s">
        <v>1809</v>
      </c>
      <c r="V418" s="21" t="s">
        <v>73</v>
      </c>
    </row>
    <row r="419" spans="1:22">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16">
        <v>20</v>
      </c>
      <c r="P419" s="8">
        <v>115200</v>
      </c>
      <c r="Q419" s="8">
        <v>2</v>
      </c>
      <c r="R419" s="8" t="s">
        <v>38</v>
      </c>
      <c r="S419" s="8" t="s">
        <v>39</v>
      </c>
      <c r="T419" s="8" t="s">
        <v>93</v>
      </c>
      <c r="U419" s="9" t="s">
        <v>1813</v>
      </c>
      <c r="V419" s="22" t="s">
        <v>42</v>
      </c>
    </row>
    <row r="420" spans="1:22">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15">
        <v>0</v>
      </c>
      <c r="P420" s="4">
        <v>450</v>
      </c>
      <c r="Q420" s="4">
        <v>5</v>
      </c>
      <c r="R420" s="4" t="s">
        <v>83</v>
      </c>
      <c r="S420" s="4" t="s">
        <v>119</v>
      </c>
      <c r="T420" s="4" t="s">
        <v>93</v>
      </c>
      <c r="U420" s="6" t="s">
        <v>1816</v>
      </c>
      <c r="V420" s="21" t="s">
        <v>73</v>
      </c>
    </row>
    <row r="421" spans="1:22">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16">
        <v>20</v>
      </c>
      <c r="P421" s="8">
        <v>19200</v>
      </c>
      <c r="Q421" s="8">
        <v>5</v>
      </c>
      <c r="R421" s="8" t="s">
        <v>52</v>
      </c>
      <c r="S421" s="8" t="s">
        <v>65</v>
      </c>
      <c r="T421" s="8" t="s">
        <v>136</v>
      </c>
      <c r="U421" s="9" t="s">
        <v>1819</v>
      </c>
      <c r="V421" s="22" t="s">
        <v>73</v>
      </c>
    </row>
    <row r="422" spans="1:22">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15">
        <v>10</v>
      </c>
      <c r="P422" s="4">
        <v>8640</v>
      </c>
      <c r="Q422" s="4">
        <v>4</v>
      </c>
      <c r="R422" s="4" t="s">
        <v>52</v>
      </c>
      <c r="S422" s="4" t="s">
        <v>65</v>
      </c>
      <c r="T422" s="4" t="s">
        <v>84</v>
      </c>
      <c r="U422" s="6" t="s">
        <v>1823</v>
      </c>
      <c r="V422" s="21" t="s">
        <v>42</v>
      </c>
    </row>
    <row r="423" spans="1:22">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16">
        <v>10</v>
      </c>
      <c r="P423" s="8">
        <v>8640</v>
      </c>
      <c r="Q423" s="8">
        <v>5</v>
      </c>
      <c r="R423" s="8" t="s">
        <v>83</v>
      </c>
      <c r="S423" s="8" t="s">
        <v>53</v>
      </c>
      <c r="T423" s="8" t="s">
        <v>136</v>
      </c>
      <c r="U423" s="9" t="s">
        <v>1826</v>
      </c>
      <c r="V423" s="22" t="s">
        <v>73</v>
      </c>
    </row>
    <row r="424" spans="1:22">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15">
        <v>20</v>
      </c>
      <c r="P424" s="4">
        <v>15840</v>
      </c>
      <c r="Q424" s="4">
        <v>1</v>
      </c>
      <c r="R424" s="4" t="s">
        <v>52</v>
      </c>
      <c r="S424" s="4" t="s">
        <v>119</v>
      </c>
      <c r="T424" s="4" t="s">
        <v>336</v>
      </c>
      <c r="U424" s="6" t="s">
        <v>1830</v>
      </c>
      <c r="V424" s="21" t="s">
        <v>42</v>
      </c>
    </row>
    <row r="425" spans="1:22">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16">
        <v>20</v>
      </c>
      <c r="P425" s="8">
        <v>128</v>
      </c>
      <c r="Q425" s="8">
        <v>4</v>
      </c>
      <c r="R425" s="8" t="s">
        <v>38</v>
      </c>
      <c r="S425" s="8" t="s">
        <v>39</v>
      </c>
      <c r="T425" s="8" t="s">
        <v>136</v>
      </c>
      <c r="U425" s="9" t="s">
        <v>1833</v>
      </c>
      <c r="V425" s="22" t="s">
        <v>73</v>
      </c>
    </row>
    <row r="426" spans="1:22">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15">
        <v>0</v>
      </c>
      <c r="P426" s="4">
        <v>275000</v>
      </c>
      <c r="Q426" s="4">
        <v>1</v>
      </c>
      <c r="R426" s="4" t="s">
        <v>83</v>
      </c>
      <c r="S426" s="4" t="s">
        <v>119</v>
      </c>
      <c r="T426" s="4" t="s">
        <v>232</v>
      </c>
      <c r="U426" s="6" t="s">
        <v>1836</v>
      </c>
      <c r="V426" s="21" t="s">
        <v>42</v>
      </c>
    </row>
    <row r="427" spans="1:22">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16">
        <v>5</v>
      </c>
      <c r="P427" s="8">
        <v>14820</v>
      </c>
      <c r="Q427" s="8">
        <v>2</v>
      </c>
      <c r="R427" s="8" t="s">
        <v>83</v>
      </c>
      <c r="S427" s="8" t="s">
        <v>39</v>
      </c>
      <c r="T427" s="8" t="s">
        <v>148</v>
      </c>
      <c r="U427" s="9" t="s">
        <v>1840</v>
      </c>
      <c r="V427" s="22" t="s">
        <v>73</v>
      </c>
    </row>
    <row r="428" spans="1:22">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15">
        <v>20</v>
      </c>
      <c r="P428" s="4">
        <v>88400</v>
      </c>
      <c r="Q428" s="4">
        <v>5</v>
      </c>
      <c r="R428" s="4" t="s">
        <v>38</v>
      </c>
      <c r="S428" s="4" t="s">
        <v>53</v>
      </c>
      <c r="T428" s="4" t="s">
        <v>93</v>
      </c>
      <c r="U428" s="6" t="s">
        <v>1844</v>
      </c>
      <c r="V428" s="21" t="s">
        <v>68</v>
      </c>
    </row>
    <row r="429" spans="1:22">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16">
        <v>10</v>
      </c>
      <c r="P429" s="8">
        <v>756</v>
      </c>
      <c r="Q429" s="8">
        <v>1</v>
      </c>
      <c r="R429" s="8" t="s">
        <v>38</v>
      </c>
      <c r="S429" s="8" t="s">
        <v>65</v>
      </c>
      <c r="T429" s="8" t="s">
        <v>84</v>
      </c>
      <c r="U429" s="9" t="s">
        <v>1848</v>
      </c>
      <c r="V429" s="22" t="s">
        <v>73</v>
      </c>
    </row>
    <row r="430" spans="1:22">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15">
        <v>0</v>
      </c>
      <c r="P430" s="4">
        <v>33000</v>
      </c>
      <c r="Q430" s="4">
        <v>1</v>
      </c>
      <c r="R430" s="4" t="s">
        <v>38</v>
      </c>
      <c r="S430" s="4" t="s">
        <v>65</v>
      </c>
      <c r="T430" s="4" t="s">
        <v>260</v>
      </c>
      <c r="U430" s="6" t="s">
        <v>1851</v>
      </c>
      <c r="V430" s="21" t="s">
        <v>42</v>
      </c>
    </row>
    <row r="431" spans="1:22">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16">
        <v>20</v>
      </c>
      <c r="P431" s="8">
        <v>912</v>
      </c>
      <c r="Q431" s="8">
        <v>3</v>
      </c>
      <c r="R431" s="8" t="s">
        <v>38</v>
      </c>
      <c r="S431" s="8" t="s">
        <v>155</v>
      </c>
      <c r="T431" s="8" t="s">
        <v>93</v>
      </c>
      <c r="U431" s="9" t="s">
        <v>1856</v>
      </c>
      <c r="V431" s="22" t="s">
        <v>68</v>
      </c>
    </row>
    <row r="432" spans="1:22">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15">
        <v>15</v>
      </c>
      <c r="P432" s="4">
        <v>497.25</v>
      </c>
      <c r="Q432" s="4">
        <v>2</v>
      </c>
      <c r="R432" s="4" t="s">
        <v>38</v>
      </c>
      <c r="S432" s="4" t="s">
        <v>53</v>
      </c>
      <c r="T432" s="4" t="s">
        <v>66</v>
      </c>
      <c r="U432" s="6" t="s">
        <v>1859</v>
      </c>
      <c r="V432" s="21" t="s">
        <v>42</v>
      </c>
    </row>
    <row r="433" spans="1:22">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16">
        <v>5</v>
      </c>
      <c r="P433" s="8">
        <v>79800</v>
      </c>
      <c r="Q433" s="8">
        <v>4</v>
      </c>
      <c r="R433" s="8" t="s">
        <v>83</v>
      </c>
      <c r="S433" s="8" t="s">
        <v>155</v>
      </c>
      <c r="T433" s="8" t="s">
        <v>260</v>
      </c>
      <c r="U433" s="9" t="s">
        <v>1862</v>
      </c>
      <c r="V433" s="22" t="s">
        <v>73</v>
      </c>
    </row>
    <row r="434" spans="1:22">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15">
        <v>0</v>
      </c>
      <c r="P434" s="4">
        <v>160</v>
      </c>
      <c r="Q434" s="4">
        <v>4</v>
      </c>
      <c r="R434" s="4" t="s">
        <v>83</v>
      </c>
      <c r="S434" s="4" t="s">
        <v>65</v>
      </c>
      <c r="T434" s="4" t="s">
        <v>336</v>
      </c>
      <c r="U434" s="6" t="s">
        <v>1865</v>
      </c>
      <c r="V434" s="21" t="s">
        <v>68</v>
      </c>
    </row>
    <row r="435" spans="1:22">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16">
        <v>5</v>
      </c>
      <c r="P435" s="8">
        <v>53200</v>
      </c>
      <c r="Q435" s="8">
        <v>1</v>
      </c>
      <c r="R435" s="8" t="s">
        <v>83</v>
      </c>
      <c r="S435" s="8" t="s">
        <v>65</v>
      </c>
      <c r="T435" s="8" t="s">
        <v>54</v>
      </c>
      <c r="U435" s="9" t="s">
        <v>1869</v>
      </c>
      <c r="V435" s="22" t="s">
        <v>73</v>
      </c>
    </row>
    <row r="436" spans="1:22">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15">
        <v>10</v>
      </c>
      <c r="P436" s="4">
        <v>91800</v>
      </c>
      <c r="Q436" s="4">
        <v>3</v>
      </c>
      <c r="R436" s="4" t="s">
        <v>83</v>
      </c>
      <c r="S436" s="4" t="s">
        <v>39</v>
      </c>
      <c r="T436" s="4" t="s">
        <v>336</v>
      </c>
      <c r="U436" s="6" t="s">
        <v>1873</v>
      </c>
      <c r="V436" s="21" t="s">
        <v>42</v>
      </c>
    </row>
    <row r="437" spans="1:22">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16">
        <v>20</v>
      </c>
      <c r="P437" s="8">
        <v>48</v>
      </c>
      <c r="Q437" s="8">
        <v>2</v>
      </c>
      <c r="R437" s="8" t="s">
        <v>83</v>
      </c>
      <c r="S437" s="8" t="s">
        <v>155</v>
      </c>
      <c r="T437" s="8" t="s">
        <v>54</v>
      </c>
      <c r="U437" s="9" t="s">
        <v>1876</v>
      </c>
      <c r="V437" s="22" t="s">
        <v>42</v>
      </c>
    </row>
    <row r="438" spans="1:22">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15">
        <v>15</v>
      </c>
      <c r="P438" s="4">
        <v>153</v>
      </c>
      <c r="Q438" s="4">
        <v>4</v>
      </c>
      <c r="R438" s="4" t="s">
        <v>83</v>
      </c>
      <c r="S438" s="4" t="s">
        <v>39</v>
      </c>
      <c r="T438" s="4" t="s">
        <v>136</v>
      </c>
      <c r="U438" s="6" t="s">
        <v>1879</v>
      </c>
      <c r="V438" s="21" t="s">
        <v>42</v>
      </c>
    </row>
    <row r="439" spans="1:22">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16">
        <v>15</v>
      </c>
      <c r="P439" s="8">
        <v>5950</v>
      </c>
      <c r="Q439" s="8">
        <v>3</v>
      </c>
      <c r="R439" s="8" t="s">
        <v>52</v>
      </c>
      <c r="S439" s="8" t="s">
        <v>39</v>
      </c>
      <c r="T439" s="8" t="s">
        <v>148</v>
      </c>
      <c r="U439" s="9" t="s">
        <v>1882</v>
      </c>
      <c r="V439" s="22" t="s">
        <v>68</v>
      </c>
    </row>
    <row r="440" spans="1:22">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15">
        <v>10</v>
      </c>
      <c r="P440" s="4">
        <v>36</v>
      </c>
      <c r="Q440" s="4">
        <v>2</v>
      </c>
      <c r="R440" s="4" t="s">
        <v>92</v>
      </c>
      <c r="S440" s="4" t="s">
        <v>65</v>
      </c>
      <c r="T440" s="4" t="s">
        <v>93</v>
      </c>
      <c r="U440" s="6" t="s">
        <v>1887</v>
      </c>
      <c r="V440" s="21" t="s">
        <v>42</v>
      </c>
    </row>
    <row r="441" spans="1:22">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16">
        <v>20</v>
      </c>
      <c r="P441" s="8">
        <v>224</v>
      </c>
      <c r="Q441" s="8">
        <v>5</v>
      </c>
      <c r="R441" s="8" t="s">
        <v>38</v>
      </c>
      <c r="S441" s="8" t="s">
        <v>155</v>
      </c>
      <c r="T441" s="8" t="s">
        <v>93</v>
      </c>
      <c r="U441" s="9" t="s">
        <v>1891</v>
      </c>
      <c r="V441" s="22" t="s">
        <v>68</v>
      </c>
    </row>
    <row r="442" spans="1:22">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15">
        <v>0</v>
      </c>
      <c r="P442" s="4">
        <v>14000</v>
      </c>
      <c r="Q442" s="4">
        <v>2</v>
      </c>
      <c r="R442" s="4" t="s">
        <v>92</v>
      </c>
      <c r="S442" s="4" t="s">
        <v>39</v>
      </c>
      <c r="T442" s="4" t="s">
        <v>336</v>
      </c>
      <c r="U442" s="6" t="s">
        <v>1894</v>
      </c>
      <c r="V442" s="21" t="s">
        <v>73</v>
      </c>
    </row>
    <row r="443" spans="1:22">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16">
        <v>5</v>
      </c>
      <c r="P443" s="8">
        <v>29925</v>
      </c>
      <c r="Q443" s="8">
        <v>3</v>
      </c>
      <c r="R443" s="8" t="s">
        <v>83</v>
      </c>
      <c r="S443" s="8" t="s">
        <v>65</v>
      </c>
      <c r="T443" s="8" t="s">
        <v>93</v>
      </c>
      <c r="U443" s="9" t="s">
        <v>1897</v>
      </c>
      <c r="V443" s="22" t="s">
        <v>42</v>
      </c>
    </row>
    <row r="444" spans="1:22">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15">
        <v>0</v>
      </c>
      <c r="P444" s="4">
        <v>540</v>
      </c>
      <c r="Q444" s="4">
        <v>3</v>
      </c>
      <c r="R444" s="4" t="s">
        <v>92</v>
      </c>
      <c r="S444" s="4" t="s">
        <v>39</v>
      </c>
      <c r="T444" s="4" t="s">
        <v>136</v>
      </c>
      <c r="U444" s="6" t="s">
        <v>1900</v>
      </c>
      <c r="V444" s="21" t="s">
        <v>68</v>
      </c>
    </row>
    <row r="445" spans="1:22">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16">
        <v>0</v>
      </c>
      <c r="P445" s="8">
        <v>4800</v>
      </c>
      <c r="Q445" s="8">
        <v>1</v>
      </c>
      <c r="R445" s="8" t="s">
        <v>52</v>
      </c>
      <c r="S445" s="8" t="s">
        <v>65</v>
      </c>
      <c r="T445" s="8" t="s">
        <v>179</v>
      </c>
      <c r="U445" s="9" t="s">
        <v>1904</v>
      </c>
      <c r="V445" s="22" t="s">
        <v>42</v>
      </c>
    </row>
    <row r="446" spans="1:22">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15">
        <v>5</v>
      </c>
      <c r="P446" s="4">
        <v>522500</v>
      </c>
      <c r="Q446" s="4">
        <v>5</v>
      </c>
      <c r="R446" s="4" t="s">
        <v>92</v>
      </c>
      <c r="S446" s="4" t="s">
        <v>119</v>
      </c>
      <c r="T446" s="4" t="s">
        <v>66</v>
      </c>
      <c r="U446" s="6" t="s">
        <v>1907</v>
      </c>
      <c r="V446" s="21" t="s">
        <v>42</v>
      </c>
    </row>
    <row r="447" spans="1:22">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16">
        <v>15</v>
      </c>
      <c r="P447" s="8">
        <v>765</v>
      </c>
      <c r="Q447" s="8">
        <v>2</v>
      </c>
      <c r="R447" s="8" t="s">
        <v>83</v>
      </c>
      <c r="S447" s="8" t="s">
        <v>39</v>
      </c>
      <c r="T447" s="8" t="s">
        <v>232</v>
      </c>
      <c r="U447" s="9" t="s">
        <v>1911</v>
      </c>
      <c r="V447" s="22" t="s">
        <v>73</v>
      </c>
    </row>
    <row r="448" spans="1:22">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15">
        <v>20</v>
      </c>
      <c r="P448" s="4">
        <v>144</v>
      </c>
      <c r="Q448" s="4">
        <v>3</v>
      </c>
      <c r="R448" s="4" t="s">
        <v>83</v>
      </c>
      <c r="S448" s="4" t="s">
        <v>65</v>
      </c>
      <c r="T448" s="4" t="s">
        <v>54</v>
      </c>
      <c r="U448" s="6" t="s">
        <v>1914</v>
      </c>
      <c r="V448" s="21" t="s">
        <v>42</v>
      </c>
    </row>
    <row r="449" spans="1:22">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16">
        <v>0</v>
      </c>
      <c r="P449" s="8">
        <v>440000</v>
      </c>
      <c r="Q449" s="8">
        <v>4</v>
      </c>
      <c r="R449" s="8" t="s">
        <v>38</v>
      </c>
      <c r="S449" s="8" t="s">
        <v>119</v>
      </c>
      <c r="T449" s="8" t="s">
        <v>54</v>
      </c>
      <c r="U449" s="9" t="s">
        <v>1918</v>
      </c>
      <c r="V449" s="22" t="s">
        <v>42</v>
      </c>
    </row>
    <row r="450" spans="1:22">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15">
        <v>10</v>
      </c>
      <c r="P450" s="4">
        <v>4320</v>
      </c>
      <c r="Q450" s="4">
        <v>4</v>
      </c>
      <c r="R450" s="4" t="s">
        <v>92</v>
      </c>
      <c r="S450" s="4" t="s">
        <v>39</v>
      </c>
      <c r="T450" s="5" t="s">
        <v>1922</v>
      </c>
      <c r="U450" s="6" t="s">
        <v>1923</v>
      </c>
      <c r="V450" s="21" t="s">
        <v>73</v>
      </c>
    </row>
    <row r="451" spans="1:22">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16">
        <v>10</v>
      </c>
      <c r="P451" s="8">
        <v>107100</v>
      </c>
      <c r="Q451" s="8">
        <v>4</v>
      </c>
      <c r="R451" s="8" t="s">
        <v>38</v>
      </c>
      <c r="S451" s="8" t="s">
        <v>39</v>
      </c>
      <c r="T451" s="8" t="s">
        <v>336</v>
      </c>
      <c r="U451" s="9" t="s">
        <v>1926</v>
      </c>
      <c r="V451" s="22" t="s">
        <v>42</v>
      </c>
    </row>
    <row r="452" spans="1:22">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15">
        <v>0</v>
      </c>
      <c r="P452" s="4">
        <v>45</v>
      </c>
      <c r="Q452" s="4">
        <v>3</v>
      </c>
      <c r="R452" s="4" t="s">
        <v>92</v>
      </c>
      <c r="S452" s="4" t="s">
        <v>155</v>
      </c>
      <c r="T452" s="4" t="s">
        <v>84</v>
      </c>
      <c r="U452" s="6" t="s">
        <v>1930</v>
      </c>
      <c r="V452" s="21" t="s">
        <v>73</v>
      </c>
    </row>
    <row r="453" spans="1:22">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16">
        <v>15</v>
      </c>
      <c r="P453" s="8">
        <v>748000</v>
      </c>
      <c r="Q453" s="8">
        <v>1</v>
      </c>
      <c r="R453" s="8" t="s">
        <v>83</v>
      </c>
      <c r="S453" s="8" t="s">
        <v>155</v>
      </c>
      <c r="T453" s="8" t="s">
        <v>84</v>
      </c>
      <c r="U453" s="9" t="s">
        <v>1933</v>
      </c>
      <c r="V453" s="22" t="s">
        <v>73</v>
      </c>
    </row>
    <row r="454" spans="1:22">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15">
        <v>0</v>
      </c>
      <c r="P454" s="4">
        <v>5600</v>
      </c>
      <c r="Q454" s="4">
        <v>3</v>
      </c>
      <c r="R454" s="4" t="s">
        <v>38</v>
      </c>
      <c r="S454" s="4" t="s">
        <v>53</v>
      </c>
      <c r="T454" s="4" t="s">
        <v>66</v>
      </c>
      <c r="U454" s="6" t="s">
        <v>1938</v>
      </c>
      <c r="V454" s="21" t="s">
        <v>42</v>
      </c>
    </row>
    <row r="455" spans="1:22">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16">
        <v>0</v>
      </c>
      <c r="P455" s="8">
        <v>3600</v>
      </c>
      <c r="Q455" s="8">
        <v>1</v>
      </c>
      <c r="R455" s="8" t="s">
        <v>83</v>
      </c>
      <c r="S455" s="8" t="s">
        <v>53</v>
      </c>
      <c r="T455" s="8" t="s">
        <v>260</v>
      </c>
      <c r="U455" s="9" t="s">
        <v>1942</v>
      </c>
      <c r="V455" s="22" t="s">
        <v>73</v>
      </c>
    </row>
    <row r="456" spans="1:22">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15">
        <v>15</v>
      </c>
      <c r="P456" s="4">
        <v>20825</v>
      </c>
      <c r="Q456" s="4">
        <v>4</v>
      </c>
      <c r="R456" s="4" t="s">
        <v>83</v>
      </c>
      <c r="S456" s="4" t="s">
        <v>65</v>
      </c>
      <c r="T456" s="4" t="s">
        <v>84</v>
      </c>
      <c r="U456" s="6" t="s">
        <v>1945</v>
      </c>
      <c r="V456" s="21" t="s">
        <v>68</v>
      </c>
    </row>
    <row r="457" spans="1:22">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16">
        <v>15</v>
      </c>
      <c r="P457" s="8">
        <v>420750</v>
      </c>
      <c r="Q457" s="8">
        <v>3</v>
      </c>
      <c r="R457" s="8" t="s">
        <v>92</v>
      </c>
      <c r="S457" s="8" t="s">
        <v>39</v>
      </c>
      <c r="T457" s="8" t="s">
        <v>66</v>
      </c>
      <c r="U457" s="9" t="s">
        <v>1948</v>
      </c>
      <c r="V457" s="22" t="s">
        <v>73</v>
      </c>
    </row>
    <row r="458" spans="1:22">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15">
        <v>0</v>
      </c>
      <c r="P458" s="4">
        <v>144000</v>
      </c>
      <c r="Q458" s="4">
        <v>3</v>
      </c>
      <c r="R458" s="4" t="s">
        <v>83</v>
      </c>
      <c r="S458" s="4" t="s">
        <v>155</v>
      </c>
      <c r="T458" s="4" t="s">
        <v>336</v>
      </c>
      <c r="U458" s="6" t="s">
        <v>1951</v>
      </c>
      <c r="V458" s="21" t="s">
        <v>73</v>
      </c>
    </row>
    <row r="459" spans="1:22">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16">
        <v>10</v>
      </c>
      <c r="P459" s="8">
        <v>378</v>
      </c>
      <c r="Q459" s="8">
        <v>4</v>
      </c>
      <c r="R459" s="8" t="s">
        <v>38</v>
      </c>
      <c r="S459" s="8" t="s">
        <v>53</v>
      </c>
      <c r="T459" s="8" t="s">
        <v>148</v>
      </c>
      <c r="U459" s="9" t="s">
        <v>1954</v>
      </c>
      <c r="V459" s="22" t="s">
        <v>73</v>
      </c>
    </row>
    <row r="460" spans="1:22">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15">
        <v>15</v>
      </c>
      <c r="P460" s="4">
        <v>31790</v>
      </c>
      <c r="Q460" s="4">
        <v>3</v>
      </c>
      <c r="R460" s="4" t="s">
        <v>92</v>
      </c>
      <c r="S460" s="4" t="s">
        <v>155</v>
      </c>
      <c r="T460" s="4" t="s">
        <v>232</v>
      </c>
      <c r="U460" s="6" t="s">
        <v>1957</v>
      </c>
      <c r="V460" s="21" t="s">
        <v>68</v>
      </c>
    </row>
    <row r="461" spans="1:22">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16">
        <v>10</v>
      </c>
      <c r="P461" s="8">
        <v>10710</v>
      </c>
      <c r="Q461" s="8">
        <v>2</v>
      </c>
      <c r="R461" s="8" t="s">
        <v>38</v>
      </c>
      <c r="S461" s="8" t="s">
        <v>65</v>
      </c>
      <c r="T461" s="8" t="s">
        <v>336</v>
      </c>
      <c r="U461" s="9" t="s">
        <v>1960</v>
      </c>
      <c r="V461" s="22" t="s">
        <v>68</v>
      </c>
    </row>
    <row r="462" spans="1:22">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15">
        <v>20</v>
      </c>
      <c r="P462" s="4">
        <v>836000</v>
      </c>
      <c r="Q462" s="4">
        <v>5</v>
      </c>
      <c r="R462" s="4" t="s">
        <v>52</v>
      </c>
      <c r="S462" s="4" t="s">
        <v>65</v>
      </c>
      <c r="T462" s="4" t="s">
        <v>336</v>
      </c>
      <c r="U462" s="6" t="s">
        <v>1964</v>
      </c>
      <c r="V462" s="21" t="s">
        <v>42</v>
      </c>
    </row>
    <row r="463" spans="1:22">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16">
        <v>10</v>
      </c>
      <c r="P463" s="8">
        <v>54</v>
      </c>
      <c r="Q463" s="8">
        <v>4</v>
      </c>
      <c r="R463" s="8" t="s">
        <v>52</v>
      </c>
      <c r="S463" s="8"/>
      <c r="T463" s="10" t="s">
        <v>1967</v>
      </c>
      <c r="U463" s="9" t="s">
        <v>1968</v>
      </c>
      <c r="V463" s="22" t="s">
        <v>73</v>
      </c>
    </row>
    <row r="464" spans="1:22">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15">
        <v>0</v>
      </c>
      <c r="P464" s="4">
        <v>56000</v>
      </c>
      <c r="Q464" s="4">
        <v>4</v>
      </c>
      <c r="R464" s="4" t="s">
        <v>52</v>
      </c>
      <c r="S464" s="4" t="s">
        <v>39</v>
      </c>
      <c r="T464" s="4" t="s">
        <v>84</v>
      </c>
      <c r="U464" s="6" t="s">
        <v>1971</v>
      </c>
      <c r="V464" s="21" t="s">
        <v>68</v>
      </c>
    </row>
    <row r="465" spans="1:22">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16">
        <v>10</v>
      </c>
      <c r="P465" s="8">
        <v>252</v>
      </c>
      <c r="Q465" s="8">
        <v>1</v>
      </c>
      <c r="R465" s="8" t="s">
        <v>52</v>
      </c>
      <c r="S465" s="8" t="s">
        <v>65</v>
      </c>
      <c r="T465" s="8" t="s">
        <v>136</v>
      </c>
      <c r="U465" s="9" t="s">
        <v>1973</v>
      </c>
      <c r="V465" s="22" t="s">
        <v>68</v>
      </c>
    </row>
    <row r="466" spans="1:22">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15">
        <v>15</v>
      </c>
      <c r="P466" s="4">
        <v>20570</v>
      </c>
      <c r="Q466" s="4">
        <v>4</v>
      </c>
      <c r="R466" s="4" t="s">
        <v>52</v>
      </c>
      <c r="S466" s="4" t="s">
        <v>53</v>
      </c>
      <c r="T466" s="4" t="s">
        <v>84</v>
      </c>
      <c r="U466" s="6" t="s">
        <v>1976</v>
      </c>
      <c r="V466" s="21" t="s">
        <v>73</v>
      </c>
    </row>
    <row r="467" spans="1:22">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16">
        <v>0</v>
      </c>
      <c r="P467" s="8">
        <v>110000</v>
      </c>
      <c r="Q467" s="8">
        <v>4</v>
      </c>
      <c r="R467" s="8" t="s">
        <v>52</v>
      </c>
      <c r="S467" s="8" t="s">
        <v>53</v>
      </c>
      <c r="T467" s="8" t="s">
        <v>93</v>
      </c>
      <c r="U467" s="9" t="s">
        <v>1979</v>
      </c>
      <c r="V467" s="22" t="s">
        <v>73</v>
      </c>
    </row>
    <row r="468" spans="1:22">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15">
        <v>5</v>
      </c>
      <c r="P468" s="4">
        <v>14630</v>
      </c>
      <c r="Q468" s="4">
        <v>4</v>
      </c>
      <c r="R468" s="4" t="s">
        <v>83</v>
      </c>
      <c r="S468" s="4" t="s">
        <v>119</v>
      </c>
      <c r="T468" s="4" t="s">
        <v>66</v>
      </c>
      <c r="U468" s="6" t="s">
        <v>1982</v>
      </c>
      <c r="V468" s="21" t="s">
        <v>73</v>
      </c>
    </row>
    <row r="469" spans="1:22">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16">
        <v>15</v>
      </c>
      <c r="P469" s="8">
        <v>420.75</v>
      </c>
      <c r="Q469" s="8">
        <v>4</v>
      </c>
      <c r="R469" s="8" t="s">
        <v>83</v>
      </c>
      <c r="S469" s="8" t="s">
        <v>65</v>
      </c>
      <c r="T469" s="8" t="s">
        <v>54</v>
      </c>
      <c r="U469" s="9" t="s">
        <v>1985</v>
      </c>
      <c r="V469" s="22" t="s">
        <v>68</v>
      </c>
    </row>
    <row r="470" spans="1:22">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15">
        <v>5</v>
      </c>
      <c r="P470" s="4">
        <v>912</v>
      </c>
      <c r="Q470" s="4">
        <v>2</v>
      </c>
      <c r="R470" s="4" t="s">
        <v>38</v>
      </c>
      <c r="S470" s="4" t="s">
        <v>119</v>
      </c>
      <c r="T470" s="4" t="s">
        <v>148</v>
      </c>
      <c r="U470" s="6" t="s">
        <v>1988</v>
      </c>
      <c r="V470" s="21" t="s">
        <v>73</v>
      </c>
    </row>
    <row r="471" spans="1:22">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16">
        <v>0</v>
      </c>
      <c r="P471" s="8">
        <v>990000</v>
      </c>
      <c r="Q471" s="8">
        <v>5</v>
      </c>
      <c r="R471" s="8" t="s">
        <v>52</v>
      </c>
      <c r="S471" s="8" t="s">
        <v>53</v>
      </c>
      <c r="T471" s="8" t="s">
        <v>336</v>
      </c>
      <c r="U471" s="9" t="s">
        <v>1991</v>
      </c>
      <c r="V471" s="22" t="s">
        <v>68</v>
      </c>
    </row>
    <row r="472" spans="1:22">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15">
        <v>5</v>
      </c>
      <c r="P472" s="4">
        <v>19380</v>
      </c>
      <c r="Q472" s="4">
        <v>1</v>
      </c>
      <c r="R472" s="4" t="s">
        <v>52</v>
      </c>
      <c r="S472" s="4" t="s">
        <v>39</v>
      </c>
      <c r="T472" s="4" t="s">
        <v>54</v>
      </c>
      <c r="U472" s="6" t="s">
        <v>1995</v>
      </c>
      <c r="V472" s="21" t="s">
        <v>68</v>
      </c>
    </row>
    <row r="473" spans="1:22">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16">
        <v>0</v>
      </c>
      <c r="P473" s="8">
        <v>605000</v>
      </c>
      <c r="Q473" s="8">
        <v>2</v>
      </c>
      <c r="R473" s="8" t="s">
        <v>38</v>
      </c>
      <c r="S473" s="8" t="s">
        <v>65</v>
      </c>
      <c r="T473" s="8" t="s">
        <v>66</v>
      </c>
      <c r="U473" s="9" t="s">
        <v>1998</v>
      </c>
      <c r="V473" s="22" t="s">
        <v>68</v>
      </c>
    </row>
    <row r="474" spans="1:22">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15">
        <v>20</v>
      </c>
      <c r="P474" s="4">
        <v>11200</v>
      </c>
      <c r="Q474" s="4">
        <v>5</v>
      </c>
      <c r="R474" s="4" t="s">
        <v>52</v>
      </c>
      <c r="S474" s="4" t="s">
        <v>65</v>
      </c>
      <c r="T474" s="4" t="s">
        <v>260</v>
      </c>
      <c r="U474" s="6" t="s">
        <v>2001</v>
      </c>
      <c r="V474" s="21" t="s">
        <v>42</v>
      </c>
    </row>
    <row r="475" spans="1:22">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16">
        <v>5</v>
      </c>
      <c r="P475" s="8">
        <v>95</v>
      </c>
      <c r="Q475" s="8">
        <v>4</v>
      </c>
      <c r="R475" s="8" t="s">
        <v>38</v>
      </c>
      <c r="S475" s="8" t="s">
        <v>53</v>
      </c>
      <c r="T475" s="8" t="s">
        <v>84</v>
      </c>
      <c r="U475" s="9" t="s">
        <v>2004</v>
      </c>
      <c r="V475" s="22" t="s">
        <v>73</v>
      </c>
    </row>
    <row r="476" spans="1:22">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15">
        <v>5</v>
      </c>
      <c r="P476" s="4">
        <v>679250</v>
      </c>
      <c r="Q476" s="4">
        <v>1</v>
      </c>
      <c r="R476" s="4" t="s">
        <v>52</v>
      </c>
      <c r="S476" s="4" t="s">
        <v>53</v>
      </c>
      <c r="T476" s="4" t="s">
        <v>336</v>
      </c>
      <c r="U476" s="6" t="s">
        <v>2007</v>
      </c>
      <c r="V476" s="21" t="s">
        <v>68</v>
      </c>
    </row>
    <row r="477" spans="1:22">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16">
        <v>5</v>
      </c>
      <c r="P477" s="8">
        <v>627000</v>
      </c>
      <c r="Q477" s="8">
        <v>1</v>
      </c>
      <c r="R477" s="8" t="s">
        <v>52</v>
      </c>
      <c r="S477" s="8" t="s">
        <v>119</v>
      </c>
      <c r="T477" s="8" t="s">
        <v>136</v>
      </c>
      <c r="U477" s="9" t="s">
        <v>2010</v>
      </c>
      <c r="V477" s="22" t="s">
        <v>73</v>
      </c>
    </row>
    <row r="478" spans="1:22">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15">
        <v>20</v>
      </c>
      <c r="P478" s="4">
        <v>576</v>
      </c>
      <c r="Q478" s="4">
        <v>2</v>
      </c>
      <c r="R478" s="4" t="s">
        <v>38</v>
      </c>
      <c r="S478" s="4" t="s">
        <v>53</v>
      </c>
      <c r="T478" s="4" t="s">
        <v>66</v>
      </c>
      <c r="U478" s="6" t="s">
        <v>2013</v>
      </c>
      <c r="V478" s="21" t="s">
        <v>68</v>
      </c>
    </row>
    <row r="479" spans="1:22">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16">
        <v>10</v>
      </c>
      <c r="P479" s="8">
        <v>5400</v>
      </c>
      <c r="Q479" s="8">
        <v>1</v>
      </c>
      <c r="R479" s="8" t="s">
        <v>38</v>
      </c>
      <c r="S479" s="8"/>
      <c r="T479" s="10" t="s">
        <v>2016</v>
      </c>
      <c r="U479" s="9" t="s">
        <v>2017</v>
      </c>
      <c r="V479" s="22" t="s">
        <v>42</v>
      </c>
    </row>
    <row r="480" spans="1:22">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15">
        <v>10</v>
      </c>
      <c r="P480" s="4">
        <v>81</v>
      </c>
      <c r="Q480" s="4">
        <v>4</v>
      </c>
      <c r="R480" s="4" t="s">
        <v>92</v>
      </c>
      <c r="S480" s="4" t="s">
        <v>53</v>
      </c>
      <c r="T480" s="4" t="s">
        <v>179</v>
      </c>
      <c r="U480" s="6" t="s">
        <v>2021</v>
      </c>
      <c r="V480" s="21" t="s">
        <v>68</v>
      </c>
    </row>
    <row r="481" spans="1:22">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16">
        <v>0</v>
      </c>
      <c r="P481" s="8">
        <v>36000</v>
      </c>
      <c r="Q481" s="8">
        <v>2</v>
      </c>
      <c r="R481" s="8" t="s">
        <v>92</v>
      </c>
      <c r="S481" s="8" t="s">
        <v>155</v>
      </c>
      <c r="T481" s="8" t="s">
        <v>136</v>
      </c>
      <c r="U481" s="9" t="s">
        <v>2024</v>
      </c>
      <c r="V481" s="22" t="s">
        <v>68</v>
      </c>
    </row>
    <row r="482" spans="1:22">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15">
        <v>20</v>
      </c>
      <c r="P482" s="4">
        <v>28800</v>
      </c>
      <c r="Q482" s="4">
        <v>3</v>
      </c>
      <c r="R482" s="4" t="s">
        <v>92</v>
      </c>
      <c r="S482" s="4" t="s">
        <v>119</v>
      </c>
      <c r="T482" s="4" t="s">
        <v>54</v>
      </c>
      <c r="U482" s="6" t="s">
        <v>2028</v>
      </c>
      <c r="V482" s="21" t="s">
        <v>42</v>
      </c>
    </row>
    <row r="483" spans="1:22">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16">
        <v>15</v>
      </c>
      <c r="P483" s="8">
        <v>65025</v>
      </c>
      <c r="Q483" s="8">
        <v>5</v>
      </c>
      <c r="R483" s="8" t="s">
        <v>38</v>
      </c>
      <c r="S483" s="8" t="s">
        <v>53</v>
      </c>
      <c r="T483" s="8" t="s">
        <v>136</v>
      </c>
      <c r="U483" s="9" t="s">
        <v>2031</v>
      </c>
      <c r="V483" s="22" t="s">
        <v>68</v>
      </c>
    </row>
    <row r="484" spans="1:22">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15">
        <v>0</v>
      </c>
      <c r="P484" s="4">
        <v>11900</v>
      </c>
      <c r="Q484" s="4">
        <v>2</v>
      </c>
      <c r="R484" s="4" t="s">
        <v>38</v>
      </c>
      <c r="S484" s="4" t="s">
        <v>65</v>
      </c>
      <c r="T484" s="4" t="s">
        <v>84</v>
      </c>
      <c r="U484" s="6" t="s">
        <v>2035</v>
      </c>
      <c r="V484" s="21" t="s">
        <v>73</v>
      </c>
    </row>
    <row r="485" spans="1:22">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16">
        <v>5</v>
      </c>
      <c r="P485" s="8">
        <v>13300</v>
      </c>
      <c r="Q485" s="8">
        <v>2</v>
      </c>
      <c r="R485" s="8" t="s">
        <v>92</v>
      </c>
      <c r="S485" s="8" t="s">
        <v>39</v>
      </c>
      <c r="T485" s="8" t="s">
        <v>54</v>
      </c>
      <c r="U485" s="9" t="s">
        <v>2038</v>
      </c>
      <c r="V485" s="22" t="s">
        <v>42</v>
      </c>
    </row>
    <row r="486" spans="1:22">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15">
        <v>20</v>
      </c>
      <c r="P486" s="4">
        <v>12480</v>
      </c>
      <c r="Q486" s="4">
        <v>5</v>
      </c>
      <c r="R486" s="4" t="s">
        <v>83</v>
      </c>
      <c r="S486" s="4" t="s">
        <v>119</v>
      </c>
      <c r="T486" s="4" t="s">
        <v>336</v>
      </c>
      <c r="U486" s="6" t="s">
        <v>2042</v>
      </c>
      <c r="V486" s="21" t="s">
        <v>42</v>
      </c>
    </row>
    <row r="487" spans="1:22">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16">
        <v>10</v>
      </c>
      <c r="P487" s="8">
        <v>990000</v>
      </c>
      <c r="Q487" s="8">
        <v>1</v>
      </c>
      <c r="R487" s="8" t="s">
        <v>92</v>
      </c>
      <c r="S487" s="8" t="s">
        <v>39</v>
      </c>
      <c r="T487" s="8" t="s">
        <v>148</v>
      </c>
      <c r="U487" s="9" t="s">
        <v>2045</v>
      </c>
      <c r="V487" s="22" t="s">
        <v>68</v>
      </c>
    </row>
    <row r="488" spans="1:22">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15">
        <v>0</v>
      </c>
      <c r="P488" s="4">
        <v>9600</v>
      </c>
      <c r="Q488" s="4">
        <v>2</v>
      </c>
      <c r="R488" s="4" t="s">
        <v>52</v>
      </c>
      <c r="S488" s="4" t="s">
        <v>155</v>
      </c>
      <c r="T488" s="4" t="s">
        <v>260</v>
      </c>
      <c r="U488" s="6" t="s">
        <v>2048</v>
      </c>
      <c r="V488" s="21" t="s">
        <v>42</v>
      </c>
    </row>
    <row r="489" spans="1:22">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16">
        <v>10</v>
      </c>
      <c r="P489" s="8">
        <v>324</v>
      </c>
      <c r="Q489" s="8">
        <v>5</v>
      </c>
      <c r="R489" s="8" t="s">
        <v>83</v>
      </c>
      <c r="S489" s="8"/>
      <c r="T489" s="10" t="s">
        <v>2052</v>
      </c>
      <c r="U489" s="9" t="s">
        <v>2053</v>
      </c>
      <c r="V489" s="22" t="s">
        <v>68</v>
      </c>
    </row>
    <row r="490" spans="1:22">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15">
        <v>10</v>
      </c>
      <c r="P490" s="4">
        <v>118800</v>
      </c>
      <c r="Q490" s="4">
        <v>1</v>
      </c>
      <c r="R490" s="4" t="s">
        <v>83</v>
      </c>
      <c r="S490" s="4" t="s">
        <v>53</v>
      </c>
      <c r="T490" s="4" t="s">
        <v>179</v>
      </c>
      <c r="U490" s="6" t="s">
        <v>2057</v>
      </c>
      <c r="V490" s="21" t="s">
        <v>73</v>
      </c>
    </row>
    <row r="491" spans="1:22">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16">
        <v>5</v>
      </c>
      <c r="P491" s="8">
        <v>16150</v>
      </c>
      <c r="Q491" s="8">
        <v>1</v>
      </c>
      <c r="R491" s="8" t="s">
        <v>83</v>
      </c>
      <c r="S491" s="8" t="s">
        <v>65</v>
      </c>
      <c r="T491" s="8" t="s">
        <v>336</v>
      </c>
      <c r="U491" s="9" t="s">
        <v>2060</v>
      </c>
      <c r="V491" s="22" t="s">
        <v>42</v>
      </c>
    </row>
    <row r="492" spans="1:22">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15">
        <v>0</v>
      </c>
      <c r="P492" s="4">
        <v>15400</v>
      </c>
      <c r="Q492" s="4">
        <v>5</v>
      </c>
      <c r="R492" s="4" t="s">
        <v>52</v>
      </c>
      <c r="S492" s="4" t="s">
        <v>39</v>
      </c>
      <c r="T492" s="4" t="s">
        <v>148</v>
      </c>
      <c r="U492" s="6" t="s">
        <v>2064</v>
      </c>
      <c r="V492" s="21" t="s">
        <v>68</v>
      </c>
    </row>
    <row r="493" spans="1:22">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16">
        <v>0</v>
      </c>
      <c r="P493" s="8">
        <v>170000</v>
      </c>
      <c r="Q493" s="8">
        <v>3</v>
      </c>
      <c r="R493" s="8" t="s">
        <v>52</v>
      </c>
      <c r="S493" s="8" t="s">
        <v>53</v>
      </c>
      <c r="T493" s="8" t="s">
        <v>93</v>
      </c>
      <c r="U493" s="9" t="s">
        <v>2067</v>
      </c>
      <c r="V493" s="22" t="s">
        <v>42</v>
      </c>
    </row>
    <row r="494" spans="1:22">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15">
        <v>5</v>
      </c>
      <c r="P494" s="4">
        <v>12540</v>
      </c>
      <c r="Q494" s="4">
        <v>2</v>
      </c>
      <c r="R494" s="4" t="s">
        <v>38</v>
      </c>
      <c r="S494" s="4" t="s">
        <v>39</v>
      </c>
      <c r="T494" s="4" t="s">
        <v>136</v>
      </c>
      <c r="U494" s="6" t="s">
        <v>2071</v>
      </c>
      <c r="V494" s="21" t="s">
        <v>68</v>
      </c>
    </row>
    <row r="495" spans="1:22">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16">
        <v>0</v>
      </c>
      <c r="P495" s="8">
        <v>9800</v>
      </c>
      <c r="Q495" s="8">
        <v>2</v>
      </c>
      <c r="R495" s="8" t="s">
        <v>83</v>
      </c>
      <c r="S495" s="8" t="s">
        <v>155</v>
      </c>
      <c r="T495" s="8" t="s">
        <v>93</v>
      </c>
      <c r="U495" s="9" t="s">
        <v>2074</v>
      </c>
      <c r="V495" s="22" t="s">
        <v>73</v>
      </c>
    </row>
    <row r="496" spans="1:22">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15">
        <v>15</v>
      </c>
      <c r="P496" s="4">
        <v>16320</v>
      </c>
      <c r="Q496" s="4">
        <v>4</v>
      </c>
      <c r="R496" s="4" t="s">
        <v>38</v>
      </c>
      <c r="S496" s="4" t="s">
        <v>155</v>
      </c>
      <c r="T496" s="4" t="s">
        <v>84</v>
      </c>
      <c r="U496" s="6" t="s">
        <v>2077</v>
      </c>
      <c r="V496" s="21" t="s">
        <v>68</v>
      </c>
    </row>
    <row r="497" spans="1:22">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16">
        <v>0</v>
      </c>
      <c r="P497" s="8">
        <v>44000</v>
      </c>
      <c r="Q497" s="8">
        <v>5</v>
      </c>
      <c r="R497" s="8" t="s">
        <v>38</v>
      </c>
      <c r="S497" s="8" t="s">
        <v>39</v>
      </c>
      <c r="T497" s="8" t="s">
        <v>179</v>
      </c>
      <c r="U497" s="9" t="s">
        <v>2081</v>
      </c>
      <c r="V497" s="22" t="s">
        <v>73</v>
      </c>
    </row>
    <row r="498" spans="1:22">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15">
        <v>15</v>
      </c>
      <c r="P498" s="4">
        <v>122400</v>
      </c>
      <c r="Q498" s="4">
        <v>5</v>
      </c>
      <c r="R498" s="4" t="s">
        <v>38</v>
      </c>
      <c r="S498" s="4" t="s">
        <v>155</v>
      </c>
      <c r="T498" s="4" t="s">
        <v>93</v>
      </c>
      <c r="U498" s="6" t="s">
        <v>2084</v>
      </c>
      <c r="V498" s="21" t="s">
        <v>42</v>
      </c>
    </row>
    <row r="499" spans="1:22">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16">
        <v>20</v>
      </c>
      <c r="P499" s="8">
        <v>2880</v>
      </c>
      <c r="Q499" s="8">
        <v>2</v>
      </c>
      <c r="R499" s="8" t="s">
        <v>52</v>
      </c>
      <c r="S499" s="8" t="s">
        <v>119</v>
      </c>
      <c r="T499" s="8" t="s">
        <v>911</v>
      </c>
      <c r="U499" s="9" t="s">
        <v>2087</v>
      </c>
      <c r="V499" s="22" t="s">
        <v>68</v>
      </c>
    </row>
    <row r="500" spans="1:22">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15">
        <v>20</v>
      </c>
      <c r="P500" s="4">
        <v>264000</v>
      </c>
      <c r="Q500" s="4">
        <v>3</v>
      </c>
      <c r="R500" s="4" t="s">
        <v>38</v>
      </c>
      <c r="S500" s="4" t="s">
        <v>155</v>
      </c>
      <c r="T500" s="4" t="s">
        <v>148</v>
      </c>
      <c r="U500" s="6" t="s">
        <v>2092</v>
      </c>
      <c r="V500" s="21" t="s">
        <v>42</v>
      </c>
    </row>
    <row r="501" spans="1:22">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7">
        <v>0</v>
      </c>
      <c r="P501" s="12">
        <v>70000</v>
      </c>
      <c r="Q501" s="12">
        <v>1</v>
      </c>
      <c r="R501" s="12" t="s">
        <v>52</v>
      </c>
      <c r="S501" s="12" t="s">
        <v>155</v>
      </c>
      <c r="T501" s="12" t="s">
        <v>148</v>
      </c>
      <c r="U501" s="13" t="s">
        <v>2096</v>
      </c>
      <c r="V501" s="23" t="s">
        <v>68</v>
      </c>
    </row>
  </sheetData>
  <mergeCells count="6">
    <mergeCell ref="X3:Y4"/>
    <mergeCell ref="X6:Y7"/>
    <mergeCell ref="Z3:Z4"/>
    <mergeCell ref="Z6:Z7"/>
    <mergeCell ref="X9:Y10"/>
    <mergeCell ref="Z9:Z10"/>
  </mergeCells>
  <conditionalFormatting sqref="X3:Y10">
    <cfRule type="colorScale" priority="7">
      <colorScale>
        <cfvo type="min"/>
        <cfvo type="percentile" val="50"/>
        <cfvo type="max"/>
        <color rgb="FFF8696B"/>
        <color rgb="FFFFEB84"/>
        <color rgb="FF63BE7B"/>
      </colorScale>
    </cfRule>
  </conditionalFormatting>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499"/>
  <sheetViews>
    <sheetView topLeftCell="A476" workbookViewId="0">
      <selection activeCell="W8" sqref="W8"/>
    </sheetView>
  </sheetViews>
  <sheetFormatPr defaultRowHeight="14.25"/>
  <cols>
    <col min="1" max="1" width="10.625" bestFit="1" customWidth="1"/>
    <col min="2" max="2" width="12.75" bestFit="1" customWidth="1"/>
    <col min="3" max="3" width="11" bestFit="1" customWidth="1"/>
    <col min="4" max="4" width="11.25" style="34" bestFit="1" customWidth="1"/>
    <col min="5" max="5" width="13.625" bestFit="1" customWidth="1"/>
    <col min="6" max="6" width="16.875" bestFit="1" customWidth="1"/>
    <col min="8" max="8" width="9.125" style="71"/>
    <col min="11" max="11" width="16.375" bestFit="1" customWidth="1"/>
    <col min="12" max="12" width="14.375" bestFit="1" customWidth="1"/>
    <col min="15" max="15" width="11.625" bestFit="1" customWidth="1"/>
    <col min="18" max="18" width="14.875" bestFit="1" customWidth="1"/>
    <col min="19" max="19" width="12.125" bestFit="1" customWidth="1"/>
    <col min="20" max="20" width="27" bestFit="1" customWidth="1"/>
    <col min="21" max="21" width="12" bestFit="1" customWidth="1"/>
    <col min="22" max="22" width="12.75" bestFit="1" customWidth="1"/>
  </cols>
  <sheetData>
    <row r="1" spans="1:23" ht="15">
      <c r="A1" s="1" t="s">
        <v>0</v>
      </c>
      <c r="B1" s="2" t="s">
        <v>1</v>
      </c>
      <c r="C1" s="2" t="s">
        <v>2</v>
      </c>
      <c r="D1" s="30" t="s">
        <v>3</v>
      </c>
      <c r="E1" s="2" t="s">
        <v>4</v>
      </c>
      <c r="F1" s="2" t="s">
        <v>5</v>
      </c>
      <c r="G1" s="2" t="s">
        <v>6</v>
      </c>
      <c r="H1" s="68"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t="s">
        <v>2124</v>
      </c>
    </row>
    <row r="2" spans="1:23">
      <c r="A2" s="3" t="s">
        <v>26</v>
      </c>
      <c r="B2" s="4" t="s">
        <v>27</v>
      </c>
      <c r="C2" s="4" t="s">
        <v>28</v>
      </c>
      <c r="D2" s="31" t="s">
        <v>29</v>
      </c>
      <c r="E2" s="4" t="s">
        <v>30</v>
      </c>
      <c r="F2" s="4" t="str">
        <f>PROPER(TRIM(Sales_data!F2))</f>
        <v>Kavya Nair</v>
      </c>
      <c r="G2" s="4" t="s">
        <v>32</v>
      </c>
      <c r="H2" s="69" t="s">
        <v>33</v>
      </c>
      <c r="I2" s="4" t="s">
        <v>34</v>
      </c>
      <c r="J2" s="4" t="str">
        <f>PROPER(Sales_data!J2)</f>
        <v>South</v>
      </c>
      <c r="K2" s="4" t="str">
        <f>PROPER(Sales_data!K2)</f>
        <v>Home Appliances</v>
      </c>
      <c r="L2" s="4" t="s">
        <v>37</v>
      </c>
      <c r="M2" s="66">
        <v>4</v>
      </c>
      <c r="N2" s="4">
        <v>2200</v>
      </c>
      <c r="O2" s="4">
        <v>20</v>
      </c>
      <c r="P2" s="4">
        <v>7920</v>
      </c>
      <c r="Q2" s="4">
        <v>4</v>
      </c>
      <c r="R2" s="67" t="s">
        <v>38</v>
      </c>
      <c r="S2" s="4" t="s">
        <v>39</v>
      </c>
      <c r="T2" s="5" t="s">
        <v>40</v>
      </c>
      <c r="U2" s="6" t="s">
        <v>41</v>
      </c>
      <c r="V2" s="4" t="s">
        <v>42</v>
      </c>
      <c r="W2" s="4">
        <f>IF(D2="Pending", "0", MONTH(D2))</f>
        <v>9</v>
      </c>
    </row>
    <row r="3" spans="1:23">
      <c r="A3" s="7" t="s">
        <v>43</v>
      </c>
      <c r="B3" s="8" t="s">
        <v>27</v>
      </c>
      <c r="C3" s="8" t="s">
        <v>44</v>
      </c>
      <c r="D3" s="32" t="s">
        <v>45</v>
      </c>
      <c r="E3" s="8" t="s">
        <v>46</v>
      </c>
      <c r="F3" s="4" t="str">
        <f>PROPER(TRIM(Sales_data!F3))</f>
        <v>Kavya Nair</v>
      </c>
      <c r="G3" s="8" t="s">
        <v>32</v>
      </c>
      <c r="H3" s="70" t="s">
        <v>47</v>
      </c>
      <c r="I3" s="8" t="s">
        <v>48</v>
      </c>
      <c r="J3" s="4" t="str">
        <f>PROPER(Sales_data!J3)</f>
        <v>North</v>
      </c>
      <c r="K3" s="4" t="str">
        <f>PROPER(Sales_data!K3)</f>
        <v>Electronics</v>
      </c>
      <c r="L3" s="8" t="s">
        <v>51</v>
      </c>
      <c r="M3" s="66">
        <v>17</v>
      </c>
      <c r="N3" s="8">
        <v>12000</v>
      </c>
      <c r="O3" s="8">
        <v>10</v>
      </c>
      <c r="P3" s="8">
        <v>183600</v>
      </c>
      <c r="Q3" s="8">
        <v>1</v>
      </c>
      <c r="R3" s="67" t="s">
        <v>52</v>
      </c>
      <c r="S3" s="8" t="s">
        <v>53</v>
      </c>
      <c r="T3" s="8" t="s">
        <v>54</v>
      </c>
      <c r="U3" s="9" t="s">
        <v>55</v>
      </c>
      <c r="V3" s="8" t="s">
        <v>42</v>
      </c>
      <c r="W3" s="4">
        <f t="shared" ref="W3:W66" si="0">IF(D3="Pending", "0", MONTH(D3))</f>
        <v>4</v>
      </c>
    </row>
    <row r="4" spans="1:23">
      <c r="A4" s="3" t="s">
        <v>56</v>
      </c>
      <c r="B4" s="4" t="s">
        <v>57</v>
      </c>
      <c r="C4" s="4" t="s">
        <v>58</v>
      </c>
      <c r="D4" s="31" t="s">
        <v>59</v>
      </c>
      <c r="E4" s="4" t="s">
        <v>60</v>
      </c>
      <c r="F4" s="4" t="str">
        <f>PROPER(TRIM(Sales_data!F4))</f>
        <v>Pooja Shah</v>
      </c>
      <c r="G4" s="4" t="s">
        <v>32</v>
      </c>
      <c r="H4" s="69" t="s">
        <v>62</v>
      </c>
      <c r="I4" s="4" t="s">
        <v>63</v>
      </c>
      <c r="J4" s="4" t="str">
        <f>PROPER(Sales_data!J4)</f>
        <v>South</v>
      </c>
      <c r="K4" s="4" t="str">
        <f>PROPER(Sales_data!K4)</f>
        <v>Electronics</v>
      </c>
      <c r="L4" s="4" t="s">
        <v>64</v>
      </c>
      <c r="M4" s="66">
        <v>5</v>
      </c>
      <c r="N4" s="4">
        <v>55000</v>
      </c>
      <c r="O4" s="4">
        <v>5</v>
      </c>
      <c r="P4" s="4">
        <v>261250</v>
      </c>
      <c r="Q4" s="4">
        <v>3</v>
      </c>
      <c r="R4" s="67" t="s">
        <v>52</v>
      </c>
      <c r="S4" s="4" t="s">
        <v>65</v>
      </c>
      <c r="T4" s="4" t="s">
        <v>66</v>
      </c>
      <c r="U4" s="6" t="s">
        <v>67</v>
      </c>
      <c r="V4" s="4" t="s">
        <v>68</v>
      </c>
      <c r="W4" s="4">
        <f t="shared" si="0"/>
        <v>9</v>
      </c>
    </row>
    <row r="5" spans="1:23">
      <c r="A5" s="3" t="s">
        <v>74</v>
      </c>
      <c r="B5" s="4" t="s">
        <v>75</v>
      </c>
      <c r="C5" s="4" t="s">
        <v>76</v>
      </c>
      <c r="D5" s="31" t="s">
        <v>77</v>
      </c>
      <c r="E5" s="4" t="s">
        <v>78</v>
      </c>
      <c r="F5" s="4" t="str">
        <f>PROPER(TRIM(Sales_data!F5))</f>
        <v>Kavya Nair</v>
      </c>
      <c r="G5" s="4" t="s">
        <v>80</v>
      </c>
      <c r="H5" s="69" t="s">
        <v>81</v>
      </c>
      <c r="I5" s="4" t="s">
        <v>48</v>
      </c>
      <c r="J5" s="4" t="str">
        <f>PROPER(Sales_data!J5)</f>
        <v>South</v>
      </c>
      <c r="K5" s="4" t="str">
        <f>PROPER(Sales_data!K5)</f>
        <v>Home Appliances</v>
      </c>
      <c r="L5" s="4" t="s">
        <v>82</v>
      </c>
      <c r="M5" s="66">
        <v>8</v>
      </c>
      <c r="N5" s="4">
        <v>1200</v>
      </c>
      <c r="O5" s="4">
        <v>5</v>
      </c>
      <c r="P5" s="4">
        <v>9120</v>
      </c>
      <c r="Q5" s="4">
        <v>2</v>
      </c>
      <c r="R5" s="67" t="s">
        <v>83</v>
      </c>
      <c r="S5" s="4" t="s">
        <v>65</v>
      </c>
      <c r="T5" s="4" t="s">
        <v>84</v>
      </c>
      <c r="U5" s="6" t="s">
        <v>85</v>
      </c>
      <c r="V5" s="4" t="s">
        <v>68</v>
      </c>
      <c r="W5" s="4">
        <f t="shared" si="0"/>
        <v>9</v>
      </c>
    </row>
    <row r="6" spans="1:23">
      <c r="A6" s="7" t="s">
        <v>86</v>
      </c>
      <c r="B6" s="8" t="s">
        <v>87</v>
      </c>
      <c r="C6" s="8" t="s">
        <v>28</v>
      </c>
      <c r="D6" s="32" t="s">
        <v>88</v>
      </c>
      <c r="E6" s="8" t="s">
        <v>89</v>
      </c>
      <c r="F6" s="4" t="str">
        <f>PROPER(TRIM(Sales_data!F6))</f>
        <v>Mohit Verma</v>
      </c>
      <c r="G6" s="8" t="s">
        <v>80</v>
      </c>
      <c r="H6" s="70" t="s">
        <v>91</v>
      </c>
      <c r="I6" s="8" t="s">
        <v>34</v>
      </c>
      <c r="J6" s="4" t="str">
        <f>PROPER(Sales_data!J6)</f>
        <v>North</v>
      </c>
      <c r="K6" s="4" t="str">
        <f>PROPER(Sales_data!K6)</f>
        <v>Electronics</v>
      </c>
      <c r="L6" s="8" t="s">
        <v>37</v>
      </c>
      <c r="M6" s="66">
        <v>4</v>
      </c>
      <c r="N6" s="8">
        <v>2200</v>
      </c>
      <c r="O6" s="8">
        <v>0</v>
      </c>
      <c r="P6" s="8">
        <v>8800</v>
      </c>
      <c r="Q6" s="8">
        <v>1</v>
      </c>
      <c r="R6" s="67" t="s">
        <v>92</v>
      </c>
      <c r="S6" s="8" t="s">
        <v>39</v>
      </c>
      <c r="T6" s="8" t="s">
        <v>93</v>
      </c>
      <c r="U6" s="9" t="s">
        <v>94</v>
      </c>
      <c r="V6" s="8" t="s">
        <v>42</v>
      </c>
      <c r="W6" s="4">
        <f t="shared" si="0"/>
        <v>1</v>
      </c>
    </row>
    <row r="7" spans="1:23">
      <c r="A7" s="3" t="s">
        <v>95</v>
      </c>
      <c r="B7" s="4" t="s">
        <v>27</v>
      </c>
      <c r="C7" s="4" t="s">
        <v>96</v>
      </c>
      <c r="D7" s="31" t="s">
        <v>97</v>
      </c>
      <c r="E7" s="4" t="s">
        <v>98</v>
      </c>
      <c r="F7" s="4" t="str">
        <f>PROPER(TRIM(Sales_data!F7))</f>
        <v>Arjun Rao</v>
      </c>
      <c r="G7" s="4" t="s">
        <v>32</v>
      </c>
      <c r="H7" s="69" t="s">
        <v>100</v>
      </c>
      <c r="I7" s="4" t="s">
        <v>34</v>
      </c>
      <c r="J7" s="4" t="str">
        <f>PROPER(Sales_data!J7)</f>
        <v>South</v>
      </c>
      <c r="K7" s="4" t="str">
        <f>PROPER(Sales_data!K7)</f>
        <v>Home Appliances</v>
      </c>
      <c r="L7" s="4" t="str">
        <f>PROPER(Sales_data!L7)</f>
        <v>Iron</v>
      </c>
      <c r="M7" s="66">
        <v>2</v>
      </c>
      <c r="N7" s="4">
        <v>3500</v>
      </c>
      <c r="O7" s="4">
        <v>5</v>
      </c>
      <c r="P7" s="4">
        <v>6650</v>
      </c>
      <c r="Q7" s="4">
        <v>1</v>
      </c>
      <c r="R7" s="67" t="s">
        <v>92</v>
      </c>
      <c r="S7" s="4" t="s">
        <v>39</v>
      </c>
      <c r="T7" s="4" t="s">
        <v>54</v>
      </c>
      <c r="U7" s="6" t="s">
        <v>102</v>
      </c>
      <c r="V7" s="4" t="s">
        <v>42</v>
      </c>
      <c r="W7" s="4">
        <v>2</v>
      </c>
    </row>
    <row r="8" spans="1:23">
      <c r="A8" s="7" t="s">
        <v>103</v>
      </c>
      <c r="B8" s="8" t="s">
        <v>104</v>
      </c>
      <c r="C8" s="8" t="s">
        <v>44</v>
      </c>
      <c r="D8" s="32" t="s">
        <v>105</v>
      </c>
      <c r="E8" s="8" t="s">
        <v>106</v>
      </c>
      <c r="F8" s="4" t="str">
        <f>PROPER(TRIM(Sales_data!F8))</f>
        <v>Kavya Nair</v>
      </c>
      <c r="G8" s="8" t="s">
        <v>32</v>
      </c>
      <c r="H8" s="70" t="s">
        <v>108</v>
      </c>
      <c r="I8" s="8" t="s">
        <v>109</v>
      </c>
      <c r="J8" s="4" t="str">
        <f>PROPER(Sales_data!J8)</f>
        <v>South</v>
      </c>
      <c r="K8" s="4" t="str">
        <f>PROPER(Sales_data!K8)</f>
        <v>Home Appliances</v>
      </c>
      <c r="L8" s="8" t="s">
        <v>51</v>
      </c>
      <c r="M8" s="66">
        <v>14</v>
      </c>
      <c r="N8" s="8">
        <v>12000</v>
      </c>
      <c r="O8" s="8">
        <v>15</v>
      </c>
      <c r="P8" s="8">
        <v>142800</v>
      </c>
      <c r="Q8" s="8">
        <v>4</v>
      </c>
      <c r="R8" s="67" t="s">
        <v>52</v>
      </c>
      <c r="S8" s="8" t="s">
        <v>39</v>
      </c>
      <c r="T8" s="10" t="s">
        <v>111</v>
      </c>
      <c r="U8" s="9" t="s">
        <v>112</v>
      </c>
      <c r="V8" s="8" t="s">
        <v>42</v>
      </c>
      <c r="W8" s="4">
        <f t="shared" si="0"/>
        <v>4</v>
      </c>
    </row>
    <row r="9" spans="1:23">
      <c r="A9" s="3" t="s">
        <v>113</v>
      </c>
      <c r="B9" s="4" t="s">
        <v>27</v>
      </c>
      <c r="C9" s="4" t="s">
        <v>44</v>
      </c>
      <c r="D9" s="31" t="s">
        <v>114</v>
      </c>
      <c r="E9" s="4" t="s">
        <v>115</v>
      </c>
      <c r="F9" s="4" t="str">
        <f>PROPER(TRIM(Sales_data!F9))</f>
        <v>Priya Patel</v>
      </c>
      <c r="G9" s="4" t="s">
        <v>32</v>
      </c>
      <c r="H9" s="69" t="s">
        <v>117</v>
      </c>
      <c r="I9" s="4" t="s">
        <v>118</v>
      </c>
      <c r="J9" s="4" t="str">
        <f>PROPER(Sales_data!J9)</f>
        <v>West</v>
      </c>
      <c r="K9" s="4" t="str">
        <f>PROPER(Sales_data!K9)</f>
        <v>Electronics</v>
      </c>
      <c r="L9" s="4" t="s">
        <v>51</v>
      </c>
      <c r="M9" s="66">
        <v>4</v>
      </c>
      <c r="N9" s="4">
        <v>12000</v>
      </c>
      <c r="O9" s="4">
        <v>15</v>
      </c>
      <c r="P9" s="4">
        <v>40800</v>
      </c>
      <c r="Q9" s="4">
        <v>4</v>
      </c>
      <c r="R9" s="67" t="s">
        <v>92</v>
      </c>
      <c r="S9" s="4" t="s">
        <v>119</v>
      </c>
      <c r="T9" s="4" t="s">
        <v>54</v>
      </c>
      <c r="U9" s="6" t="s">
        <v>120</v>
      </c>
      <c r="V9" s="4" t="s">
        <v>42</v>
      </c>
      <c r="W9" s="4">
        <f t="shared" si="0"/>
        <v>1</v>
      </c>
    </row>
    <row r="10" spans="1:23">
      <c r="A10" s="7" t="s">
        <v>121</v>
      </c>
      <c r="B10" s="8" t="s">
        <v>104</v>
      </c>
      <c r="C10" s="8" t="s">
        <v>122</v>
      </c>
      <c r="D10" s="32" t="s">
        <v>123</v>
      </c>
      <c r="E10" s="8" t="s">
        <v>124</v>
      </c>
      <c r="F10" s="4" t="str">
        <f>PROPER(TRIM(Sales_data!F10))</f>
        <v>Kavya Nair</v>
      </c>
      <c r="G10" s="8" t="s">
        <v>32</v>
      </c>
      <c r="H10" s="70" t="s">
        <v>125</v>
      </c>
      <c r="I10" s="8" t="s">
        <v>109</v>
      </c>
      <c r="J10" s="4" t="str">
        <f>PROPER(Sales_data!J10)</f>
        <v>West</v>
      </c>
      <c r="K10" s="4" t="str">
        <f>PROPER(Sales_data!K10)</f>
        <v>Electronics</v>
      </c>
      <c r="L10" s="8" t="s">
        <v>127</v>
      </c>
      <c r="M10" s="66">
        <v>6</v>
      </c>
      <c r="N10" s="8">
        <v>60</v>
      </c>
      <c r="O10" s="8">
        <v>0</v>
      </c>
      <c r="P10" s="8">
        <v>360</v>
      </c>
      <c r="Q10" s="8">
        <v>4</v>
      </c>
      <c r="R10" s="67" t="s">
        <v>83</v>
      </c>
      <c r="S10" s="8" t="s">
        <v>119</v>
      </c>
      <c r="T10" s="10" t="s">
        <v>128</v>
      </c>
      <c r="U10" s="9" t="s">
        <v>129</v>
      </c>
      <c r="V10" s="8" t="s">
        <v>42</v>
      </c>
      <c r="W10" s="4">
        <f t="shared" si="0"/>
        <v>3</v>
      </c>
    </row>
    <row r="11" spans="1:23">
      <c r="A11" s="3" t="s">
        <v>130</v>
      </c>
      <c r="B11" s="4" t="s">
        <v>131</v>
      </c>
      <c r="C11" s="4" t="s">
        <v>28</v>
      </c>
      <c r="D11" s="31" t="s">
        <v>132</v>
      </c>
      <c r="E11" s="4" t="s">
        <v>133</v>
      </c>
      <c r="F11" s="4" t="str">
        <f>PROPER(TRIM(Sales_data!F11))</f>
        <v>Priya Patel</v>
      </c>
      <c r="G11" s="4" t="s">
        <v>80</v>
      </c>
      <c r="H11" s="69" t="s">
        <v>135</v>
      </c>
      <c r="I11" s="4" t="s">
        <v>48</v>
      </c>
      <c r="J11" s="4" t="str">
        <f>PROPER(Sales_data!J11)</f>
        <v>West</v>
      </c>
      <c r="K11" s="4" t="str">
        <f>PROPER(Sales_data!K11)</f>
        <v>Stationery</v>
      </c>
      <c r="L11" s="4" t="s">
        <v>37</v>
      </c>
      <c r="M11" s="66">
        <v>-3</v>
      </c>
      <c r="N11" s="4">
        <v>2200</v>
      </c>
      <c r="O11" s="4">
        <v>0</v>
      </c>
      <c r="P11" s="4">
        <v>35200</v>
      </c>
      <c r="Q11" s="4">
        <v>2</v>
      </c>
      <c r="R11" s="67" t="s">
        <v>83</v>
      </c>
      <c r="S11" s="4" t="s">
        <v>53</v>
      </c>
      <c r="T11" s="4" t="s">
        <v>136</v>
      </c>
      <c r="U11" s="6" t="s">
        <v>137</v>
      </c>
      <c r="V11" s="4" t="s">
        <v>68</v>
      </c>
      <c r="W11" s="4">
        <f t="shared" si="0"/>
        <v>9</v>
      </c>
    </row>
    <row r="12" spans="1:23">
      <c r="A12" s="7" t="s">
        <v>138</v>
      </c>
      <c r="B12" s="8" t="s">
        <v>27</v>
      </c>
      <c r="C12" s="8" t="s">
        <v>96</v>
      </c>
      <c r="D12" s="32" t="s">
        <v>139</v>
      </c>
      <c r="E12" s="8" t="s">
        <v>140</v>
      </c>
      <c r="F12" s="4" t="str">
        <f>PROPER(TRIM(Sales_data!F12))</f>
        <v>Rohit Singh</v>
      </c>
      <c r="G12" s="8" t="s">
        <v>32</v>
      </c>
      <c r="H12" s="70" t="s">
        <v>141</v>
      </c>
      <c r="I12" s="8" t="s">
        <v>142</v>
      </c>
      <c r="J12" s="4" t="str">
        <f>PROPER(Sales_data!J12)</f>
        <v>North</v>
      </c>
      <c r="K12" s="4" t="str">
        <f>PROPER(Sales_data!K12)</f>
        <v>Home Appliances</v>
      </c>
      <c r="L12" s="8" t="s">
        <v>101</v>
      </c>
      <c r="M12" s="66">
        <v>10</v>
      </c>
      <c r="N12" s="8">
        <v>3500</v>
      </c>
      <c r="O12" s="8">
        <v>5</v>
      </c>
      <c r="P12" s="8">
        <v>33250</v>
      </c>
      <c r="Q12" s="8">
        <v>5</v>
      </c>
      <c r="R12" s="67" t="s">
        <v>83</v>
      </c>
      <c r="S12" s="8" t="s">
        <v>65</v>
      </c>
      <c r="T12" s="8" t="s">
        <v>54</v>
      </c>
      <c r="U12" s="9" t="s">
        <v>143</v>
      </c>
      <c r="V12" s="8" t="s">
        <v>73</v>
      </c>
      <c r="W12" s="4">
        <f t="shared" si="0"/>
        <v>3</v>
      </c>
    </row>
    <row r="13" spans="1:23">
      <c r="A13" s="3" t="s">
        <v>144</v>
      </c>
      <c r="B13" s="4" t="s">
        <v>104</v>
      </c>
      <c r="C13" s="4" t="s">
        <v>28</v>
      </c>
      <c r="D13" s="31" t="s">
        <v>145</v>
      </c>
      <c r="E13" s="4" t="s">
        <v>146</v>
      </c>
      <c r="F13" s="4" t="str">
        <f>PROPER(TRIM(Sales_data!F13))</f>
        <v>Kavya Nair</v>
      </c>
      <c r="G13" s="4" t="s">
        <v>32</v>
      </c>
      <c r="H13" s="69" t="s">
        <v>147</v>
      </c>
      <c r="I13" s="4" t="s">
        <v>118</v>
      </c>
      <c r="J13" s="4" t="str">
        <f>PROPER(Sales_data!J13)</f>
        <v>West</v>
      </c>
      <c r="K13" s="4" t="str">
        <f>PROPER(Sales_data!K13)</f>
        <v>Home Appliances</v>
      </c>
      <c r="L13" s="4" t="s">
        <v>37</v>
      </c>
      <c r="M13" s="66">
        <v>15</v>
      </c>
      <c r="N13" s="4">
        <v>2200</v>
      </c>
      <c r="O13" s="4">
        <v>10</v>
      </c>
      <c r="P13" s="4">
        <v>29700</v>
      </c>
      <c r="Q13" s="4">
        <v>1</v>
      </c>
      <c r="R13" s="67" t="s">
        <v>92</v>
      </c>
      <c r="S13" s="4" t="s">
        <v>119</v>
      </c>
      <c r="T13" s="4" t="s">
        <v>148</v>
      </c>
      <c r="U13" s="6" t="s">
        <v>149</v>
      </c>
      <c r="V13" s="4" t="s">
        <v>68</v>
      </c>
      <c r="W13" s="4">
        <f t="shared" si="0"/>
        <v>1</v>
      </c>
    </row>
    <row r="14" spans="1:23">
      <c r="A14" s="7" t="s">
        <v>150</v>
      </c>
      <c r="B14" s="8" t="s">
        <v>131</v>
      </c>
      <c r="C14" s="8" t="s">
        <v>28</v>
      </c>
      <c r="D14" s="32" t="s">
        <v>151</v>
      </c>
      <c r="E14" s="8" t="s">
        <v>152</v>
      </c>
      <c r="F14" s="4" t="str">
        <f>PROPER(TRIM(Sales_data!F14))</f>
        <v>Priya Patel</v>
      </c>
      <c r="G14" s="8" t="s">
        <v>80</v>
      </c>
      <c r="H14" s="70" t="s">
        <v>154</v>
      </c>
      <c r="I14" s="8" t="s">
        <v>109</v>
      </c>
      <c r="J14" s="4" t="str">
        <f>PROPER(Sales_data!J14)</f>
        <v>West</v>
      </c>
      <c r="K14" s="4" t="str">
        <f>PROPER(Sales_data!K14)</f>
        <v>Home Appliances</v>
      </c>
      <c r="L14" s="8" t="s">
        <v>37</v>
      </c>
      <c r="M14" s="66">
        <v>17</v>
      </c>
      <c r="N14" s="8">
        <v>2200</v>
      </c>
      <c r="O14" s="8">
        <v>5</v>
      </c>
      <c r="P14" s="8">
        <v>35530</v>
      </c>
      <c r="Q14" s="8">
        <v>1</v>
      </c>
      <c r="R14" s="67" t="s">
        <v>38</v>
      </c>
      <c r="S14" s="8" t="s">
        <v>155</v>
      </c>
      <c r="T14" s="10" t="s">
        <v>156</v>
      </c>
      <c r="U14" s="9" t="s">
        <v>157</v>
      </c>
      <c r="V14" s="8" t="s">
        <v>42</v>
      </c>
      <c r="W14" s="4">
        <f t="shared" si="0"/>
        <v>3</v>
      </c>
    </row>
    <row r="15" spans="1:23">
      <c r="A15" s="3" t="s">
        <v>158</v>
      </c>
      <c r="B15" s="4" t="s">
        <v>27</v>
      </c>
      <c r="C15" s="4" t="s">
        <v>96</v>
      </c>
      <c r="D15" s="31" t="s">
        <v>159</v>
      </c>
      <c r="E15" s="4" t="s">
        <v>160</v>
      </c>
      <c r="F15" s="4" t="str">
        <f>PROPER(TRIM(Sales_data!F15))</f>
        <v>Rohit Singh</v>
      </c>
      <c r="G15" s="4" t="s">
        <v>32</v>
      </c>
      <c r="H15" s="69" t="s">
        <v>162</v>
      </c>
      <c r="I15" s="4" t="s">
        <v>109</v>
      </c>
      <c r="J15" s="4" t="str">
        <f>PROPER(Sales_data!J15)</f>
        <v>West</v>
      </c>
      <c r="K15" s="4" t="str">
        <f>PROPER(Sales_data!K15)</f>
        <v>Home Appliances</v>
      </c>
      <c r="L15" s="4" t="s">
        <v>101</v>
      </c>
      <c r="M15" s="66">
        <v>15</v>
      </c>
      <c r="N15" s="4">
        <v>3500</v>
      </c>
      <c r="O15" s="4">
        <v>15</v>
      </c>
      <c r="P15" s="4">
        <v>44625</v>
      </c>
      <c r="Q15" s="4">
        <v>2</v>
      </c>
      <c r="R15" s="67" t="s">
        <v>38</v>
      </c>
      <c r="S15" s="4" t="s">
        <v>119</v>
      </c>
      <c r="T15" s="5" t="s">
        <v>54</v>
      </c>
      <c r="U15" s="6" t="s">
        <v>163</v>
      </c>
      <c r="V15" s="4" t="s">
        <v>73</v>
      </c>
      <c r="W15" s="4">
        <f t="shared" si="0"/>
        <v>7</v>
      </c>
    </row>
    <row r="16" spans="1:23">
      <c r="A16" s="7" t="s">
        <v>164</v>
      </c>
      <c r="B16" s="8" t="s">
        <v>57</v>
      </c>
      <c r="C16" s="8" t="s">
        <v>76</v>
      </c>
      <c r="D16" s="32" t="s">
        <v>165</v>
      </c>
      <c r="E16" s="8" t="s">
        <v>166</v>
      </c>
      <c r="F16" s="4" t="str">
        <f>PROPER(TRIM(Sales_data!F16))</f>
        <v>Kavya Nair</v>
      </c>
      <c r="G16" s="8" t="s">
        <v>32</v>
      </c>
      <c r="H16" s="70" t="s">
        <v>168</v>
      </c>
      <c r="I16" s="8" t="s">
        <v>34</v>
      </c>
      <c r="J16" s="4" t="str">
        <f>PROPER(Sales_data!J16)</f>
        <v>West</v>
      </c>
      <c r="K16" s="4" t="str">
        <f>PROPER(Sales_data!K16)</f>
        <v>Home Appliances</v>
      </c>
      <c r="L16" s="8" t="s">
        <v>82</v>
      </c>
      <c r="M16" s="66">
        <v>3</v>
      </c>
      <c r="N16" s="8">
        <v>1200</v>
      </c>
      <c r="O16" s="8">
        <v>5</v>
      </c>
      <c r="P16" s="8">
        <v>3420</v>
      </c>
      <c r="Q16" s="8">
        <v>5</v>
      </c>
      <c r="R16" s="67" t="s">
        <v>92</v>
      </c>
      <c r="S16" s="8" t="s">
        <v>39</v>
      </c>
      <c r="T16" s="8" t="s">
        <v>169</v>
      </c>
      <c r="U16" s="9" t="s">
        <v>170</v>
      </c>
      <c r="V16" s="8" t="s">
        <v>42</v>
      </c>
      <c r="W16" s="4">
        <f t="shared" si="0"/>
        <v>4</v>
      </c>
    </row>
    <row r="17" spans="1:23">
      <c r="A17" s="3" t="s">
        <v>171</v>
      </c>
      <c r="B17" s="4" t="s">
        <v>172</v>
      </c>
      <c r="C17" s="4" t="s">
        <v>173</v>
      </c>
      <c r="D17" s="31" t="s">
        <v>174</v>
      </c>
      <c r="E17" s="4" t="s">
        <v>175</v>
      </c>
      <c r="F17" s="4" t="str">
        <f>PROPER(TRIM(Sales_data!F17))</f>
        <v>Pooja Shah</v>
      </c>
      <c r="G17" s="4" t="s">
        <v>32</v>
      </c>
      <c r="H17" s="69" t="s">
        <v>177</v>
      </c>
      <c r="I17" s="4" t="s">
        <v>118</v>
      </c>
      <c r="J17" s="4" t="str">
        <f>PROPER(Sales_data!J17)</f>
        <v>South</v>
      </c>
      <c r="K17" s="4" t="str">
        <f>PROPER(Sales_data!K17)</f>
        <v>Electronics</v>
      </c>
      <c r="L17" s="4" t="s">
        <v>178</v>
      </c>
      <c r="M17" s="66">
        <v>13</v>
      </c>
      <c r="N17" s="4">
        <v>8500</v>
      </c>
      <c r="O17" s="4">
        <v>20</v>
      </c>
      <c r="P17" s="4">
        <v>88400</v>
      </c>
      <c r="Q17" s="4">
        <v>4</v>
      </c>
      <c r="R17" s="67" t="s">
        <v>83</v>
      </c>
      <c r="S17" s="4" t="s">
        <v>53</v>
      </c>
      <c r="T17" s="4" t="s">
        <v>179</v>
      </c>
      <c r="U17" s="6" t="s">
        <v>180</v>
      </c>
      <c r="V17" s="4" t="s">
        <v>68</v>
      </c>
      <c r="W17" s="4">
        <f t="shared" si="0"/>
        <v>2</v>
      </c>
    </row>
    <row r="18" spans="1:23">
      <c r="A18" s="7" t="s">
        <v>181</v>
      </c>
      <c r="B18" s="8" t="s">
        <v>87</v>
      </c>
      <c r="C18" s="8" t="s">
        <v>173</v>
      </c>
      <c r="D18" s="32" t="s">
        <v>182</v>
      </c>
      <c r="E18" s="8" t="s">
        <v>183</v>
      </c>
      <c r="F18" s="4" t="str">
        <f>PROPER(TRIM(Sales_data!F18))</f>
        <v>Amit Sharma</v>
      </c>
      <c r="G18" s="8" t="s">
        <v>80</v>
      </c>
      <c r="H18" s="70" t="s">
        <v>185</v>
      </c>
      <c r="I18" s="8" t="s">
        <v>142</v>
      </c>
      <c r="J18" s="4" t="str">
        <f>PROPER(Sales_data!J18)</f>
        <v>West</v>
      </c>
      <c r="K18" s="4" t="str">
        <f>PROPER(Sales_data!K18)</f>
        <v>Home Appliances</v>
      </c>
      <c r="L18" s="8" t="s">
        <v>178</v>
      </c>
      <c r="M18" s="66">
        <v>4</v>
      </c>
      <c r="N18" s="8">
        <v>8500</v>
      </c>
      <c r="O18" s="8">
        <v>20</v>
      </c>
      <c r="P18" s="8">
        <v>27200</v>
      </c>
      <c r="Q18" s="8">
        <v>5</v>
      </c>
      <c r="R18" s="67" t="s">
        <v>83</v>
      </c>
      <c r="S18" s="8" t="s">
        <v>65</v>
      </c>
      <c r="T18" s="8" t="s">
        <v>93</v>
      </c>
      <c r="U18" s="9" t="s">
        <v>186</v>
      </c>
      <c r="V18" s="8" t="s">
        <v>68</v>
      </c>
      <c r="W18" s="4">
        <f t="shared" si="0"/>
        <v>2</v>
      </c>
    </row>
    <row r="19" spans="1:23">
      <c r="A19" s="3" t="s">
        <v>187</v>
      </c>
      <c r="B19" s="4" t="s">
        <v>87</v>
      </c>
      <c r="C19" s="4" t="s">
        <v>188</v>
      </c>
      <c r="D19" s="31" t="s">
        <v>189</v>
      </c>
      <c r="E19" s="4" t="s">
        <v>190</v>
      </c>
      <c r="F19" s="4" t="str">
        <f>PROPER(TRIM(Sales_data!F19))</f>
        <v>Arjun Rao</v>
      </c>
      <c r="G19" s="4" t="s">
        <v>80</v>
      </c>
      <c r="H19" s="69" t="s">
        <v>192</v>
      </c>
      <c r="I19" s="4" t="s">
        <v>109</v>
      </c>
      <c r="J19" s="4" t="str">
        <f>PROPER(Sales_data!J19)</f>
        <v>West</v>
      </c>
      <c r="K19" s="4" t="str">
        <f>PROPER(Sales_data!K19)</f>
        <v>Home Appliances</v>
      </c>
      <c r="L19" s="4" t="s">
        <v>193</v>
      </c>
      <c r="M19" s="66">
        <v>9</v>
      </c>
      <c r="N19" s="4">
        <v>700</v>
      </c>
      <c r="O19" s="4">
        <v>5</v>
      </c>
      <c r="P19" s="4">
        <v>5985</v>
      </c>
      <c r="Q19" s="4">
        <v>3</v>
      </c>
      <c r="R19" s="67" t="s">
        <v>92</v>
      </c>
      <c r="S19" s="4" t="s">
        <v>39</v>
      </c>
      <c r="T19" s="5" t="s">
        <v>194</v>
      </c>
      <c r="U19" s="6" t="s">
        <v>195</v>
      </c>
      <c r="V19" s="4" t="s">
        <v>68</v>
      </c>
      <c r="W19" s="4">
        <f t="shared" si="0"/>
        <v>12</v>
      </c>
    </row>
    <row r="20" spans="1:23">
      <c r="A20" s="7" t="s">
        <v>196</v>
      </c>
      <c r="B20" s="8" t="s">
        <v>27</v>
      </c>
      <c r="C20" s="8" t="s">
        <v>58</v>
      </c>
      <c r="D20" s="32" t="s">
        <v>197</v>
      </c>
      <c r="E20" s="8" t="s">
        <v>198</v>
      </c>
      <c r="F20" s="4" t="str">
        <f>PROPER(TRIM(Sales_data!F20))</f>
        <v>Arjun Rao</v>
      </c>
      <c r="G20" s="8" t="s">
        <v>32</v>
      </c>
      <c r="H20" s="70" t="s">
        <v>199</v>
      </c>
      <c r="I20" s="8" t="s">
        <v>142</v>
      </c>
      <c r="J20" s="4" t="str">
        <f>PROPER(Sales_data!J20)</f>
        <v>West</v>
      </c>
      <c r="K20" s="4" t="str">
        <f>PROPER(Sales_data!K20)</f>
        <v>Electronics</v>
      </c>
      <c r="L20" s="8" t="s">
        <v>64</v>
      </c>
      <c r="M20" s="66">
        <v>8</v>
      </c>
      <c r="N20" s="8">
        <v>55000</v>
      </c>
      <c r="O20" s="8">
        <v>20</v>
      </c>
      <c r="P20" s="8">
        <v>352000</v>
      </c>
      <c r="Q20" s="8">
        <v>1</v>
      </c>
      <c r="R20" s="67" t="s">
        <v>38</v>
      </c>
      <c r="S20" s="8" t="s">
        <v>155</v>
      </c>
      <c r="T20" s="8" t="s">
        <v>54</v>
      </c>
      <c r="U20" s="9" t="s">
        <v>200</v>
      </c>
      <c r="V20" s="8" t="s">
        <v>42</v>
      </c>
      <c r="W20" s="4">
        <f t="shared" si="0"/>
        <v>6</v>
      </c>
    </row>
    <row r="21" spans="1:23">
      <c r="A21" s="3" t="s">
        <v>201</v>
      </c>
      <c r="B21" s="4" t="s">
        <v>131</v>
      </c>
      <c r="C21" s="4" t="s">
        <v>188</v>
      </c>
      <c r="D21" s="31" t="s">
        <v>202</v>
      </c>
      <c r="E21" s="4" t="s">
        <v>203</v>
      </c>
      <c r="F21" s="4" t="str">
        <f>PROPER(TRIM(Sales_data!F21))</f>
        <v>Kavya Nair</v>
      </c>
      <c r="G21" s="4" t="s">
        <v>80</v>
      </c>
      <c r="H21" s="69" t="s">
        <v>205</v>
      </c>
      <c r="I21" s="4" t="s">
        <v>48</v>
      </c>
      <c r="J21" s="4" t="str">
        <f>PROPER(Sales_data!J21)</f>
        <v>West</v>
      </c>
      <c r="K21" s="4" t="str">
        <f>PROPER(Sales_data!K21)</f>
        <v>Electronics</v>
      </c>
      <c r="L21" s="4" t="s">
        <v>193</v>
      </c>
      <c r="M21" s="66">
        <v>10</v>
      </c>
      <c r="N21" s="4">
        <v>700</v>
      </c>
      <c r="O21" s="4">
        <v>20</v>
      </c>
      <c r="P21" s="4">
        <v>5600</v>
      </c>
      <c r="Q21" s="4">
        <v>4</v>
      </c>
      <c r="R21" s="67" t="s">
        <v>83</v>
      </c>
      <c r="S21" s="4" t="s">
        <v>65</v>
      </c>
      <c r="T21" s="4" t="s">
        <v>136</v>
      </c>
      <c r="U21" s="6" t="s">
        <v>207</v>
      </c>
      <c r="V21" s="4" t="s">
        <v>73</v>
      </c>
      <c r="W21" s="4">
        <f t="shared" si="0"/>
        <v>4</v>
      </c>
    </row>
    <row r="22" spans="1:23">
      <c r="A22" s="7" t="s">
        <v>208</v>
      </c>
      <c r="B22" s="8" t="s">
        <v>27</v>
      </c>
      <c r="C22" s="8" t="s">
        <v>96</v>
      </c>
      <c r="D22" s="32" t="s">
        <v>209</v>
      </c>
      <c r="E22" s="8" t="s">
        <v>210</v>
      </c>
      <c r="F22" s="4" t="str">
        <f>PROPER(TRIM(Sales_data!F22))</f>
        <v>Rohit Singh</v>
      </c>
      <c r="G22" s="8" t="s">
        <v>32</v>
      </c>
      <c r="H22" s="70" t="s">
        <v>211</v>
      </c>
      <c r="I22" s="8" t="s">
        <v>63</v>
      </c>
      <c r="J22" s="4" t="str">
        <f>PROPER(Sales_data!J22)</f>
        <v>North</v>
      </c>
      <c r="K22" s="4" t="str">
        <f>PROPER(Sales_data!K22)</f>
        <v>Electronics</v>
      </c>
      <c r="L22" s="8" t="s">
        <v>101</v>
      </c>
      <c r="M22" s="66">
        <v>1</v>
      </c>
      <c r="N22" s="8">
        <v>3500</v>
      </c>
      <c r="O22" s="8">
        <v>5</v>
      </c>
      <c r="P22" s="8">
        <v>3325</v>
      </c>
      <c r="Q22" s="8">
        <v>3</v>
      </c>
      <c r="R22" s="67" t="s">
        <v>92</v>
      </c>
      <c r="S22" s="8" t="s">
        <v>119</v>
      </c>
      <c r="T22" s="8" t="s">
        <v>54</v>
      </c>
      <c r="U22" s="9" t="s">
        <v>212</v>
      </c>
      <c r="V22" s="8" t="s">
        <v>73</v>
      </c>
      <c r="W22" s="4">
        <f t="shared" si="0"/>
        <v>1</v>
      </c>
    </row>
    <row r="23" spans="1:23">
      <c r="A23" s="3" t="s">
        <v>213</v>
      </c>
      <c r="B23" s="4" t="s">
        <v>104</v>
      </c>
      <c r="C23" s="4" t="s">
        <v>188</v>
      </c>
      <c r="D23" s="31" t="s">
        <v>106</v>
      </c>
      <c r="E23" s="4" t="s">
        <v>214</v>
      </c>
      <c r="F23" s="4" t="str">
        <f>PROPER(TRIM(Sales_data!F23))</f>
        <v>Kavya Nair</v>
      </c>
      <c r="G23" s="4" t="s">
        <v>32</v>
      </c>
      <c r="H23" s="69" t="s">
        <v>215</v>
      </c>
      <c r="I23" s="4" t="s">
        <v>216</v>
      </c>
      <c r="J23" s="4" t="str">
        <f>PROPER(Sales_data!J23)</f>
        <v>South</v>
      </c>
      <c r="K23" s="4" t="str">
        <f>PROPER(Sales_data!K23)</f>
        <v>Home Appliances</v>
      </c>
      <c r="L23" s="4" t="s">
        <v>193</v>
      </c>
      <c r="M23" s="66">
        <v>19</v>
      </c>
      <c r="N23" s="4">
        <v>700</v>
      </c>
      <c r="O23" s="4">
        <v>15</v>
      </c>
      <c r="P23" s="4">
        <v>11305</v>
      </c>
      <c r="Q23" s="4">
        <v>3</v>
      </c>
      <c r="R23" s="67" t="s">
        <v>52</v>
      </c>
      <c r="S23" s="4" t="s">
        <v>155</v>
      </c>
      <c r="T23" s="4" t="s">
        <v>148</v>
      </c>
      <c r="U23" s="6" t="s">
        <v>217</v>
      </c>
      <c r="V23" s="4" t="s">
        <v>68</v>
      </c>
      <c r="W23" s="4">
        <f t="shared" si="0"/>
        <v>4</v>
      </c>
    </row>
    <row r="24" spans="1:23">
      <c r="A24" s="7" t="s">
        <v>218</v>
      </c>
      <c r="B24" s="8" t="s">
        <v>75</v>
      </c>
      <c r="C24" s="8" t="s">
        <v>58</v>
      </c>
      <c r="D24" s="32" t="s">
        <v>219</v>
      </c>
      <c r="E24" s="8" t="s">
        <v>220</v>
      </c>
      <c r="F24" s="4" t="str">
        <f>PROPER(TRIM(Sales_data!F24))</f>
        <v>Priya Patel</v>
      </c>
      <c r="G24" s="8" t="s">
        <v>80</v>
      </c>
      <c r="H24" s="70" t="s">
        <v>222</v>
      </c>
      <c r="I24" s="8" t="s">
        <v>63</v>
      </c>
      <c r="J24" s="4" t="str">
        <f>PROPER(Sales_data!J24)</f>
        <v>North</v>
      </c>
      <c r="K24" s="4" t="str">
        <f>PROPER(Sales_data!K24)</f>
        <v>Electronics</v>
      </c>
      <c r="L24" s="8" t="s">
        <v>64</v>
      </c>
      <c r="M24" s="66">
        <v>12</v>
      </c>
      <c r="N24" s="8">
        <v>55000</v>
      </c>
      <c r="O24" s="8">
        <v>0</v>
      </c>
      <c r="P24" s="8">
        <v>660000</v>
      </c>
      <c r="Q24" s="8">
        <v>1</v>
      </c>
      <c r="R24" s="67" t="s">
        <v>83</v>
      </c>
      <c r="S24" s="8" t="s">
        <v>53</v>
      </c>
      <c r="T24" s="8" t="s">
        <v>84</v>
      </c>
      <c r="U24" s="9" t="s">
        <v>223</v>
      </c>
      <c r="V24" s="8" t="s">
        <v>68</v>
      </c>
      <c r="W24" s="4">
        <f t="shared" si="0"/>
        <v>12</v>
      </c>
    </row>
    <row r="25" spans="1:23">
      <c r="A25" s="3" t="s">
        <v>224</v>
      </c>
      <c r="B25" s="4" t="s">
        <v>225</v>
      </c>
      <c r="C25" s="4" t="s">
        <v>226</v>
      </c>
      <c r="D25" s="31" t="s">
        <v>227</v>
      </c>
      <c r="E25" s="4" t="s">
        <v>228</v>
      </c>
      <c r="F25" s="4" t="str">
        <f>PROPER(TRIM(Sales_data!F25))</f>
        <v>Mohit Verma</v>
      </c>
      <c r="G25" s="4" t="s">
        <v>80</v>
      </c>
      <c r="H25" s="69" t="s">
        <v>230</v>
      </c>
      <c r="I25" s="4" t="s">
        <v>109</v>
      </c>
      <c r="J25" s="4" t="str">
        <f>PROPER(Sales_data!J25)</f>
        <v>South</v>
      </c>
      <c r="K25" s="4" t="str">
        <f>PROPER(Sales_data!K25)</f>
        <v>Electronics</v>
      </c>
      <c r="L25" s="4" t="s">
        <v>231</v>
      </c>
      <c r="M25" s="66">
        <v>1</v>
      </c>
      <c r="N25" s="4">
        <v>20</v>
      </c>
      <c r="O25" s="4">
        <v>5</v>
      </c>
      <c r="P25" s="4">
        <v>19</v>
      </c>
      <c r="Q25" s="4">
        <v>5</v>
      </c>
      <c r="R25" s="67" t="s">
        <v>83</v>
      </c>
      <c r="S25" s="4" t="s">
        <v>39</v>
      </c>
      <c r="T25" s="4" t="s">
        <v>232</v>
      </c>
      <c r="U25" s="6" t="s">
        <v>233</v>
      </c>
      <c r="V25" s="4" t="s">
        <v>73</v>
      </c>
      <c r="W25" s="4">
        <f t="shared" si="0"/>
        <v>4</v>
      </c>
    </row>
    <row r="26" spans="1:23">
      <c r="A26" s="7" t="s">
        <v>234</v>
      </c>
      <c r="B26" s="8" t="s">
        <v>87</v>
      </c>
      <c r="C26" s="8" t="s">
        <v>226</v>
      </c>
      <c r="D26" s="32" t="s">
        <v>235</v>
      </c>
      <c r="E26" s="8" t="s">
        <v>236</v>
      </c>
      <c r="F26" s="4" t="str">
        <f>PROPER(TRIM(Sales_data!F26))</f>
        <v>Vikas Mehta</v>
      </c>
      <c r="G26" s="8" t="s">
        <v>80</v>
      </c>
      <c r="H26" s="70" t="s">
        <v>237</v>
      </c>
      <c r="I26" s="8" t="s">
        <v>109</v>
      </c>
      <c r="J26" s="4" t="str">
        <f>PROPER(Sales_data!J26)</f>
        <v>West</v>
      </c>
      <c r="K26" s="4" t="str">
        <f>PROPER(Sales_data!K26)</f>
        <v>Stationery</v>
      </c>
      <c r="L26" s="8" t="s">
        <v>231</v>
      </c>
      <c r="M26" s="66">
        <v>2</v>
      </c>
      <c r="N26" s="8">
        <v>20</v>
      </c>
      <c r="O26" s="8">
        <v>15</v>
      </c>
      <c r="P26" s="8">
        <v>34</v>
      </c>
      <c r="Q26" s="8">
        <v>1</v>
      </c>
      <c r="R26" s="67" t="s">
        <v>92</v>
      </c>
      <c r="S26" s="8" t="s">
        <v>39</v>
      </c>
      <c r="T26" s="8" t="s">
        <v>93</v>
      </c>
      <c r="U26" s="9" t="s">
        <v>238</v>
      </c>
      <c r="V26" s="8" t="s">
        <v>68</v>
      </c>
      <c r="W26" s="4">
        <f t="shared" si="0"/>
        <v>6</v>
      </c>
    </row>
    <row r="27" spans="1:23">
      <c r="A27" s="3" t="s">
        <v>239</v>
      </c>
      <c r="B27" s="4" t="s">
        <v>75</v>
      </c>
      <c r="C27" s="4" t="s">
        <v>96</v>
      </c>
      <c r="D27" s="31" t="s">
        <v>240</v>
      </c>
      <c r="E27" s="4" t="s">
        <v>241</v>
      </c>
      <c r="F27" s="4" t="str">
        <f>PROPER(TRIM(Sales_data!F27))</f>
        <v>Arjun Rao</v>
      </c>
      <c r="G27" s="4" t="s">
        <v>80</v>
      </c>
      <c r="H27" s="69" t="s">
        <v>242</v>
      </c>
      <c r="I27" s="4" t="s">
        <v>142</v>
      </c>
      <c r="J27" s="4" t="str">
        <f>PROPER(Sales_data!J27)</f>
        <v>West</v>
      </c>
      <c r="K27" s="4" t="str">
        <f>PROPER(Sales_data!K27)</f>
        <v>Stationery</v>
      </c>
      <c r="L27" s="4" t="s">
        <v>101</v>
      </c>
      <c r="M27" s="66">
        <v>12</v>
      </c>
      <c r="N27" s="4">
        <v>3500</v>
      </c>
      <c r="O27" s="4">
        <v>15</v>
      </c>
      <c r="P27" s="4">
        <v>35700</v>
      </c>
      <c r="Q27" s="4">
        <v>4</v>
      </c>
      <c r="R27" s="67" t="s">
        <v>38</v>
      </c>
      <c r="S27" s="4" t="s">
        <v>53</v>
      </c>
      <c r="T27" s="4" t="s">
        <v>84</v>
      </c>
      <c r="U27" s="6" t="s">
        <v>243</v>
      </c>
      <c r="V27" s="4" t="s">
        <v>73</v>
      </c>
      <c r="W27" s="4">
        <f t="shared" si="0"/>
        <v>5</v>
      </c>
    </row>
    <row r="28" spans="1:23">
      <c r="A28" s="7" t="s">
        <v>244</v>
      </c>
      <c r="B28" s="8" t="s">
        <v>27</v>
      </c>
      <c r="C28" s="8" t="s">
        <v>76</v>
      </c>
      <c r="D28" s="32" t="s">
        <v>245</v>
      </c>
      <c r="E28" s="8" t="s">
        <v>246</v>
      </c>
      <c r="F28" s="4" t="str">
        <f>PROPER(TRIM(Sales_data!F28))</f>
        <v>Mohit Verma</v>
      </c>
      <c r="G28" s="8" t="s">
        <v>32</v>
      </c>
      <c r="H28" s="70" t="s">
        <v>247</v>
      </c>
      <c r="I28" s="8" t="s">
        <v>142</v>
      </c>
      <c r="J28" s="4" t="str">
        <f>PROPER(Sales_data!J28)</f>
        <v>West</v>
      </c>
      <c r="K28" s="4" t="str">
        <f>PROPER(Sales_data!K28)</f>
        <v>Home Appliances</v>
      </c>
      <c r="L28" s="8" t="s">
        <v>82</v>
      </c>
      <c r="M28" s="66">
        <v>11</v>
      </c>
      <c r="N28" s="8">
        <v>1200</v>
      </c>
      <c r="O28" s="8">
        <v>0</v>
      </c>
      <c r="P28" s="8">
        <v>13200</v>
      </c>
      <c r="Q28" s="8">
        <v>2</v>
      </c>
      <c r="R28" s="67" t="s">
        <v>92</v>
      </c>
      <c r="S28" s="8" t="s">
        <v>155</v>
      </c>
      <c r="T28" s="8" t="s">
        <v>54</v>
      </c>
      <c r="U28" s="9" t="s">
        <v>248</v>
      </c>
      <c r="V28" s="8" t="s">
        <v>42</v>
      </c>
      <c r="W28" s="4">
        <f t="shared" si="0"/>
        <v>3</v>
      </c>
    </row>
    <row r="29" spans="1:23">
      <c r="A29" s="3" t="s">
        <v>249</v>
      </c>
      <c r="B29" s="4" t="s">
        <v>131</v>
      </c>
      <c r="C29" s="4" t="s">
        <v>173</v>
      </c>
      <c r="D29" s="31" t="s">
        <v>250</v>
      </c>
      <c r="E29" s="4" t="s">
        <v>251</v>
      </c>
      <c r="F29" s="4" t="str">
        <f>PROPER(TRIM(Sales_data!F29))</f>
        <v>Kavya Nair</v>
      </c>
      <c r="G29" s="4" t="s">
        <v>80</v>
      </c>
      <c r="H29" s="69" t="s">
        <v>252</v>
      </c>
      <c r="I29" s="4" t="s">
        <v>118</v>
      </c>
      <c r="J29" s="4" t="str">
        <f>PROPER(Sales_data!J29)</f>
        <v>West</v>
      </c>
      <c r="K29" s="4" t="str">
        <f>PROPER(Sales_data!K29)</f>
        <v>Electronics</v>
      </c>
      <c r="L29" s="4" t="s">
        <v>178</v>
      </c>
      <c r="M29" s="66">
        <v>6</v>
      </c>
      <c r="N29" s="4">
        <v>8500</v>
      </c>
      <c r="O29" s="4">
        <v>65</v>
      </c>
      <c r="P29" s="4">
        <v>51000</v>
      </c>
      <c r="Q29" s="4">
        <v>1</v>
      </c>
      <c r="R29" s="67" t="s">
        <v>83</v>
      </c>
      <c r="S29" s="4" t="s">
        <v>65</v>
      </c>
      <c r="T29" s="4" t="s">
        <v>136</v>
      </c>
      <c r="U29" s="6" t="s">
        <v>253</v>
      </c>
      <c r="V29" s="4" t="s">
        <v>42</v>
      </c>
      <c r="W29" s="4">
        <f t="shared" si="0"/>
        <v>9</v>
      </c>
    </row>
    <row r="30" spans="1:23">
      <c r="A30" s="7" t="s">
        <v>254</v>
      </c>
      <c r="B30" s="8" t="s">
        <v>255</v>
      </c>
      <c r="C30" s="8" t="s">
        <v>122</v>
      </c>
      <c r="D30" s="32" t="s">
        <v>256</v>
      </c>
      <c r="E30" s="8" t="s">
        <v>257</v>
      </c>
      <c r="F30" s="4" t="str">
        <f>PROPER(TRIM(Sales_data!F30))</f>
        <v>Rohit Singh</v>
      </c>
      <c r="G30" s="8" t="s">
        <v>32</v>
      </c>
      <c r="H30" s="70" t="s">
        <v>259</v>
      </c>
      <c r="I30" s="8" t="s">
        <v>118</v>
      </c>
      <c r="J30" s="4" t="str">
        <f>PROPER(Sales_data!J30)</f>
        <v>West</v>
      </c>
      <c r="K30" s="4" t="str">
        <f>PROPER(Sales_data!K30)</f>
        <v>Home Appliances</v>
      </c>
      <c r="L30" s="8" t="s">
        <v>127</v>
      </c>
      <c r="M30" s="66">
        <v>2</v>
      </c>
      <c r="N30" s="8">
        <v>60</v>
      </c>
      <c r="O30" s="8">
        <v>5</v>
      </c>
      <c r="P30" s="8">
        <v>114</v>
      </c>
      <c r="Q30" s="8">
        <v>3</v>
      </c>
      <c r="R30" s="67" t="s">
        <v>38</v>
      </c>
      <c r="S30" s="8" t="s">
        <v>155</v>
      </c>
      <c r="T30" s="8" t="s">
        <v>260</v>
      </c>
      <c r="U30" s="9" t="s">
        <v>261</v>
      </c>
      <c r="V30" s="8" t="s">
        <v>73</v>
      </c>
      <c r="W30" s="4">
        <f t="shared" si="0"/>
        <v>1</v>
      </c>
    </row>
    <row r="31" spans="1:23">
      <c r="A31" s="3" t="s">
        <v>262</v>
      </c>
      <c r="B31" s="4" t="s">
        <v>27</v>
      </c>
      <c r="C31" s="4" t="s">
        <v>263</v>
      </c>
      <c r="D31" s="31" t="s">
        <v>264</v>
      </c>
      <c r="E31" s="4" t="s">
        <v>265</v>
      </c>
      <c r="F31" s="4" t="str">
        <f>PROPER(TRIM(Sales_data!F31))</f>
        <v>Sneha Joshi</v>
      </c>
      <c r="G31" s="4" t="s">
        <v>32</v>
      </c>
      <c r="H31" s="69" t="s">
        <v>266</v>
      </c>
      <c r="I31" s="4" t="s">
        <v>63</v>
      </c>
      <c r="J31" s="4" t="str">
        <f>PROPER(Sales_data!J31)</f>
        <v>West</v>
      </c>
      <c r="K31" s="4" t="str">
        <f>PROPER(Sales_data!K31)</f>
        <v>Stationery</v>
      </c>
      <c r="L31" s="4" t="s">
        <v>267</v>
      </c>
      <c r="M31" s="66">
        <v>19</v>
      </c>
      <c r="N31" s="4">
        <v>45</v>
      </c>
      <c r="O31" s="4">
        <v>20</v>
      </c>
      <c r="P31" s="4">
        <v>684</v>
      </c>
      <c r="Q31" s="4">
        <v>4</v>
      </c>
      <c r="R31" s="67" t="s">
        <v>52</v>
      </c>
      <c r="S31" s="4" t="s">
        <v>65</v>
      </c>
      <c r="T31" s="4" t="s">
        <v>54</v>
      </c>
      <c r="U31" s="6" t="s">
        <v>268</v>
      </c>
      <c r="V31" s="4" t="s">
        <v>73</v>
      </c>
      <c r="W31" s="4">
        <f t="shared" si="0"/>
        <v>6</v>
      </c>
    </row>
    <row r="32" spans="1:23">
      <c r="A32" s="7" t="s">
        <v>269</v>
      </c>
      <c r="B32" s="8" t="s">
        <v>104</v>
      </c>
      <c r="C32" s="8" t="s">
        <v>44</v>
      </c>
      <c r="D32" s="32" t="s">
        <v>270</v>
      </c>
      <c r="E32" s="8" t="s">
        <v>271</v>
      </c>
      <c r="F32" s="4" t="str">
        <f>PROPER(TRIM(Sales_data!F32))</f>
        <v>Kavya Nair</v>
      </c>
      <c r="G32" s="8" t="s">
        <v>32</v>
      </c>
      <c r="H32" s="70" t="s">
        <v>273</v>
      </c>
      <c r="I32" s="8" t="s">
        <v>142</v>
      </c>
      <c r="J32" s="4" t="str">
        <f>PROPER(Sales_data!J32)</f>
        <v>South</v>
      </c>
      <c r="K32" s="4" t="str">
        <f>PROPER(Sales_data!K32)</f>
        <v>Stationery</v>
      </c>
      <c r="L32" s="8" t="s">
        <v>51</v>
      </c>
      <c r="M32" s="66">
        <v>11</v>
      </c>
      <c r="N32" s="8">
        <v>12000</v>
      </c>
      <c r="O32" s="8">
        <v>0</v>
      </c>
      <c r="P32" s="8">
        <v>132000</v>
      </c>
      <c r="Q32" s="8">
        <v>3</v>
      </c>
      <c r="R32" s="67" t="s">
        <v>92</v>
      </c>
      <c r="S32" s="8" t="s">
        <v>39</v>
      </c>
      <c r="T32" s="8" t="s">
        <v>148</v>
      </c>
      <c r="U32" s="9" t="s">
        <v>274</v>
      </c>
      <c r="V32" s="8" t="s">
        <v>68</v>
      </c>
      <c r="W32" s="4">
        <f t="shared" si="0"/>
        <v>7</v>
      </c>
    </row>
    <row r="33" spans="1:23">
      <c r="A33" s="3" t="s">
        <v>275</v>
      </c>
      <c r="B33" s="4" t="s">
        <v>255</v>
      </c>
      <c r="C33" s="4" t="s">
        <v>28</v>
      </c>
      <c r="D33" s="31" t="s">
        <v>276</v>
      </c>
      <c r="E33" s="4" t="s">
        <v>140</v>
      </c>
      <c r="F33" s="4" t="str">
        <f>PROPER(TRIM(Sales_data!F33))</f>
        <v>Priya Patel</v>
      </c>
      <c r="G33" s="4" t="s">
        <v>32</v>
      </c>
      <c r="H33" s="69" t="s">
        <v>277</v>
      </c>
      <c r="I33" s="4" t="s">
        <v>63</v>
      </c>
      <c r="J33" s="4" t="str">
        <f>PROPER(Sales_data!J33)</f>
        <v>West</v>
      </c>
      <c r="K33" s="4" t="str">
        <f>PROPER(Sales_data!K33)</f>
        <v>Electronics</v>
      </c>
      <c r="L33" s="4" t="s">
        <v>37</v>
      </c>
      <c r="M33" s="66">
        <v>20</v>
      </c>
      <c r="N33" s="4">
        <v>2200</v>
      </c>
      <c r="O33" s="4">
        <v>5</v>
      </c>
      <c r="P33" s="4">
        <v>41800</v>
      </c>
      <c r="Q33" s="4">
        <v>1</v>
      </c>
      <c r="R33" s="67" t="s">
        <v>38</v>
      </c>
      <c r="S33" s="4" t="s">
        <v>53</v>
      </c>
      <c r="T33" s="4" t="s">
        <v>260</v>
      </c>
      <c r="U33" s="6" t="s">
        <v>278</v>
      </c>
      <c r="V33" s="4" t="s">
        <v>68</v>
      </c>
      <c r="W33" s="4">
        <f t="shared" si="0"/>
        <v>3</v>
      </c>
    </row>
    <row r="34" spans="1:23">
      <c r="A34" s="7" t="s">
        <v>279</v>
      </c>
      <c r="B34" s="8" t="s">
        <v>87</v>
      </c>
      <c r="C34" s="8" t="s">
        <v>226</v>
      </c>
      <c r="D34" s="32" t="s">
        <v>235</v>
      </c>
      <c r="E34" s="8" t="s">
        <v>280</v>
      </c>
      <c r="F34" s="4" t="str">
        <f>PROPER(TRIM(Sales_data!F34))</f>
        <v>Sneha Joshi</v>
      </c>
      <c r="G34" s="8" t="s">
        <v>80</v>
      </c>
      <c r="H34" s="70" t="s">
        <v>281</v>
      </c>
      <c r="I34" s="8" t="s">
        <v>142</v>
      </c>
      <c r="J34" s="4" t="str">
        <f>PROPER(Sales_data!J34)</f>
        <v>South</v>
      </c>
      <c r="K34" s="4" t="str">
        <f>PROPER(Sales_data!K34)</f>
        <v>Home Appliances</v>
      </c>
      <c r="L34" s="8" t="s">
        <v>231</v>
      </c>
      <c r="M34" s="66">
        <v>3</v>
      </c>
      <c r="N34" s="8">
        <v>20</v>
      </c>
      <c r="O34" s="8">
        <v>0</v>
      </c>
      <c r="P34" s="8">
        <v>60</v>
      </c>
      <c r="Q34" s="8">
        <v>2</v>
      </c>
      <c r="R34" s="67" t="s">
        <v>83</v>
      </c>
      <c r="S34" s="8" t="s">
        <v>39</v>
      </c>
      <c r="T34" s="8" t="s">
        <v>282</v>
      </c>
      <c r="U34" s="9" t="s">
        <v>283</v>
      </c>
      <c r="V34" s="8" t="s">
        <v>73</v>
      </c>
      <c r="W34" s="4">
        <f t="shared" si="0"/>
        <v>6</v>
      </c>
    </row>
    <row r="35" spans="1:23">
      <c r="A35" s="3" t="s">
        <v>284</v>
      </c>
      <c r="B35" s="4" t="s">
        <v>131</v>
      </c>
      <c r="C35" s="4" t="s">
        <v>263</v>
      </c>
      <c r="D35" s="31" t="s">
        <v>285</v>
      </c>
      <c r="E35" s="4" t="s">
        <v>286</v>
      </c>
      <c r="F35" s="4" t="str">
        <f>PROPER(TRIM(Sales_data!F35))</f>
        <v>Arjun Rao</v>
      </c>
      <c r="G35" s="4" t="s">
        <v>80</v>
      </c>
      <c r="H35" s="69" t="s">
        <v>287</v>
      </c>
      <c r="I35" s="4" t="s">
        <v>118</v>
      </c>
      <c r="J35" s="4" t="str">
        <f>PROPER(Sales_data!J35)</f>
        <v>West</v>
      </c>
      <c r="K35" s="4" t="str">
        <f>PROPER(Sales_data!K35)</f>
        <v>Stationery</v>
      </c>
      <c r="L35" s="4" t="s">
        <v>267</v>
      </c>
      <c r="M35" s="66">
        <v>18</v>
      </c>
      <c r="N35" s="4">
        <v>45</v>
      </c>
      <c r="O35" s="4">
        <v>20</v>
      </c>
      <c r="P35" s="4">
        <v>648</v>
      </c>
      <c r="Q35" s="4">
        <v>4</v>
      </c>
      <c r="R35" s="67" t="s">
        <v>52</v>
      </c>
      <c r="S35" s="4" t="s">
        <v>39</v>
      </c>
      <c r="T35" s="4" t="s">
        <v>136</v>
      </c>
      <c r="U35" s="6" t="s">
        <v>288</v>
      </c>
      <c r="V35" s="4" t="s">
        <v>73</v>
      </c>
      <c r="W35" s="4">
        <f t="shared" si="0"/>
        <v>10</v>
      </c>
    </row>
    <row r="36" spans="1:23">
      <c r="A36" s="7" t="s">
        <v>289</v>
      </c>
      <c r="B36" s="8" t="s">
        <v>131</v>
      </c>
      <c r="C36" s="8" t="s">
        <v>76</v>
      </c>
      <c r="D36" s="32" t="s">
        <v>290</v>
      </c>
      <c r="E36" s="8" t="s">
        <v>291</v>
      </c>
      <c r="F36" s="4" t="str">
        <f>PROPER(TRIM(Sales_data!F36))</f>
        <v>Rohit Singh</v>
      </c>
      <c r="G36" s="8" t="s">
        <v>80</v>
      </c>
      <c r="H36" s="70" t="s">
        <v>292</v>
      </c>
      <c r="I36" s="8" t="s">
        <v>63</v>
      </c>
      <c r="J36" s="4" t="str">
        <f>PROPER(Sales_data!J36)</f>
        <v>West</v>
      </c>
      <c r="K36" s="4" t="str">
        <f>PROPER(Sales_data!K36)</f>
        <v>Stationery</v>
      </c>
      <c r="L36" s="8" t="s">
        <v>82</v>
      </c>
      <c r="M36" s="66">
        <v>4</v>
      </c>
      <c r="N36" s="8">
        <v>1200</v>
      </c>
      <c r="O36" s="8">
        <v>20</v>
      </c>
      <c r="P36" s="8">
        <v>3840</v>
      </c>
      <c r="Q36" s="8">
        <v>3</v>
      </c>
      <c r="R36" s="67" t="s">
        <v>52</v>
      </c>
      <c r="S36" s="8" t="s">
        <v>65</v>
      </c>
      <c r="T36" s="8" t="s">
        <v>136</v>
      </c>
      <c r="U36" s="9" t="s">
        <v>293</v>
      </c>
      <c r="V36" s="8" t="s">
        <v>42</v>
      </c>
      <c r="W36" s="4">
        <f t="shared" si="0"/>
        <v>11</v>
      </c>
    </row>
    <row r="37" spans="1:23">
      <c r="A37" s="3" t="s">
        <v>294</v>
      </c>
      <c r="B37" s="4" t="s">
        <v>75</v>
      </c>
      <c r="C37" s="4" t="s">
        <v>58</v>
      </c>
      <c r="D37" s="31" t="s">
        <v>295</v>
      </c>
      <c r="E37" s="4" t="s">
        <v>296</v>
      </c>
      <c r="F37" s="4" t="str">
        <f>PROPER(TRIM(Sales_data!F37))</f>
        <v>Rohit Singh</v>
      </c>
      <c r="G37" s="4" t="s">
        <v>80</v>
      </c>
      <c r="H37" s="69" t="s">
        <v>297</v>
      </c>
      <c r="I37" s="4" t="s">
        <v>298</v>
      </c>
      <c r="J37" s="4" t="str">
        <f>PROPER(Sales_data!J37)</f>
        <v>South</v>
      </c>
      <c r="K37" s="4" t="str">
        <f>PROPER(Sales_data!K37)</f>
        <v>Electronics</v>
      </c>
      <c r="L37" s="4" t="s">
        <v>64</v>
      </c>
      <c r="M37" s="66">
        <v>10</v>
      </c>
      <c r="N37" s="4">
        <v>55000</v>
      </c>
      <c r="O37" s="4">
        <v>0</v>
      </c>
      <c r="P37" s="4">
        <v>550000</v>
      </c>
      <c r="Q37" s="4">
        <v>1</v>
      </c>
      <c r="R37" s="67" t="s">
        <v>92</v>
      </c>
      <c r="S37" s="4" t="s">
        <v>53</v>
      </c>
      <c r="T37" s="4" t="s">
        <v>84</v>
      </c>
      <c r="U37" s="6" t="s">
        <v>300</v>
      </c>
      <c r="V37" s="4" t="s">
        <v>73</v>
      </c>
      <c r="W37" s="4">
        <f t="shared" si="0"/>
        <v>11</v>
      </c>
    </row>
    <row r="38" spans="1:23">
      <c r="A38" s="7" t="s">
        <v>301</v>
      </c>
      <c r="B38" s="8" t="s">
        <v>255</v>
      </c>
      <c r="C38" s="8" t="s">
        <v>96</v>
      </c>
      <c r="D38" s="32" t="s">
        <v>302</v>
      </c>
      <c r="E38" s="8" t="s">
        <v>246</v>
      </c>
      <c r="F38" s="4" t="str">
        <f>PROPER(TRIM(Sales_data!F38))</f>
        <v>Mohit Verma</v>
      </c>
      <c r="G38" s="8" t="s">
        <v>32</v>
      </c>
      <c r="H38" s="70" t="s">
        <v>303</v>
      </c>
      <c r="I38" s="8" t="s">
        <v>48</v>
      </c>
      <c r="J38" s="4" t="str">
        <f>PROPER(Sales_data!J38)</f>
        <v>East</v>
      </c>
      <c r="K38" s="4" t="str">
        <f>PROPER(Sales_data!K38)</f>
        <v>Electronics</v>
      </c>
      <c r="L38" s="8" t="s">
        <v>101</v>
      </c>
      <c r="M38" s="66">
        <v>20</v>
      </c>
      <c r="N38" s="8">
        <v>3500</v>
      </c>
      <c r="O38" s="8">
        <v>10</v>
      </c>
      <c r="P38" s="8">
        <v>63000</v>
      </c>
      <c r="Q38" s="8">
        <v>3</v>
      </c>
      <c r="R38" s="67" t="s">
        <v>83</v>
      </c>
      <c r="S38" s="8" t="s">
        <v>53</v>
      </c>
      <c r="T38" s="8" t="s">
        <v>260</v>
      </c>
      <c r="U38" s="9" t="s">
        <v>304</v>
      </c>
      <c r="V38" s="8" t="s">
        <v>73</v>
      </c>
      <c r="W38" s="4">
        <f t="shared" si="0"/>
        <v>3</v>
      </c>
    </row>
    <row r="39" spans="1:23">
      <c r="A39" s="3" t="s">
        <v>305</v>
      </c>
      <c r="B39" s="4" t="s">
        <v>27</v>
      </c>
      <c r="C39" s="4" t="s">
        <v>226</v>
      </c>
      <c r="D39" s="31" t="s">
        <v>306</v>
      </c>
      <c r="E39" s="4" t="s">
        <v>307</v>
      </c>
      <c r="F39" s="4" t="str">
        <f>PROPER(TRIM(Sales_data!F39))</f>
        <v>Sneha Joshi</v>
      </c>
      <c r="G39" s="4" t="s">
        <v>32</v>
      </c>
      <c r="H39" s="69" t="s">
        <v>308</v>
      </c>
      <c r="I39" s="4" t="s">
        <v>118</v>
      </c>
      <c r="J39" s="4" t="str">
        <f>PROPER(Sales_data!J39)</f>
        <v>North</v>
      </c>
      <c r="K39" s="4" t="str">
        <f>PROPER(Sales_data!K39)</f>
        <v>Home Appliances</v>
      </c>
      <c r="L39" s="4" t="s">
        <v>231</v>
      </c>
      <c r="M39" s="66">
        <v>5</v>
      </c>
      <c r="N39" s="4" t="s">
        <v>309</v>
      </c>
      <c r="O39" s="4">
        <v>0</v>
      </c>
      <c r="P39" s="4">
        <v>100</v>
      </c>
      <c r="Q39" s="4">
        <v>1</v>
      </c>
      <c r="R39" s="67" t="s">
        <v>38</v>
      </c>
      <c r="S39" s="4" t="s">
        <v>53</v>
      </c>
      <c r="T39" s="4" t="s">
        <v>54</v>
      </c>
      <c r="U39" s="6" t="s">
        <v>310</v>
      </c>
      <c r="V39" s="4" t="s">
        <v>73</v>
      </c>
      <c r="W39" s="4">
        <f t="shared" si="0"/>
        <v>2</v>
      </c>
    </row>
    <row r="40" spans="1:23">
      <c r="A40" s="7" t="s">
        <v>311</v>
      </c>
      <c r="B40" s="8" t="s">
        <v>57</v>
      </c>
      <c r="C40" s="8" t="s">
        <v>173</v>
      </c>
      <c r="D40" s="32" t="s">
        <v>312</v>
      </c>
      <c r="E40" s="8" t="s">
        <v>313</v>
      </c>
      <c r="F40" s="4" t="str">
        <f>PROPER(TRIM(Sales_data!F40))</f>
        <v>Kavya Nair</v>
      </c>
      <c r="G40" s="8" t="s">
        <v>32</v>
      </c>
      <c r="H40" s="70" t="s">
        <v>314</v>
      </c>
      <c r="I40" s="8" t="s">
        <v>109</v>
      </c>
      <c r="J40" s="4" t="str">
        <f>PROPER(Sales_data!J40)</f>
        <v>West</v>
      </c>
      <c r="K40" s="4" t="str">
        <f>PROPER(Sales_data!K40)</f>
        <v>Stationery</v>
      </c>
      <c r="L40" s="8" t="s">
        <v>178</v>
      </c>
      <c r="M40" s="66">
        <v>20</v>
      </c>
      <c r="N40" s="8">
        <v>8500</v>
      </c>
      <c r="O40" s="8">
        <v>0</v>
      </c>
      <c r="P40" s="8">
        <v>170000</v>
      </c>
      <c r="Q40" s="8">
        <v>1</v>
      </c>
      <c r="R40" s="67" t="s">
        <v>92</v>
      </c>
      <c r="S40" s="8" t="s">
        <v>119</v>
      </c>
      <c r="T40" s="8" t="s">
        <v>66</v>
      </c>
      <c r="U40" s="9" t="s">
        <v>315</v>
      </c>
      <c r="V40" s="8" t="s">
        <v>73</v>
      </c>
      <c r="W40" s="4">
        <f t="shared" si="0"/>
        <v>10</v>
      </c>
    </row>
    <row r="41" spans="1:23">
      <c r="A41" s="3" t="s">
        <v>316</v>
      </c>
      <c r="B41" s="4" t="s">
        <v>87</v>
      </c>
      <c r="C41" s="4" t="s">
        <v>122</v>
      </c>
      <c r="D41" s="31" t="s">
        <v>317</v>
      </c>
      <c r="E41" s="4" t="s">
        <v>318</v>
      </c>
      <c r="F41" s="4" t="str">
        <f>PROPER(TRIM(Sales_data!F41))</f>
        <v>Pooja Shah</v>
      </c>
      <c r="G41" s="4" t="s">
        <v>80</v>
      </c>
      <c r="H41" s="69" t="s">
        <v>319</v>
      </c>
      <c r="I41" s="4" t="s">
        <v>63</v>
      </c>
      <c r="J41" s="4" t="str">
        <f>PROPER(Sales_data!J41)</f>
        <v>West</v>
      </c>
      <c r="K41" s="4" t="str">
        <f>PROPER(Sales_data!K41)</f>
        <v>Home Appliances</v>
      </c>
      <c r="L41" s="4" t="s">
        <v>127</v>
      </c>
      <c r="M41" s="66">
        <v>8</v>
      </c>
      <c r="N41" s="4">
        <v>60</v>
      </c>
      <c r="O41" s="4">
        <v>15</v>
      </c>
      <c r="P41" s="4">
        <v>408</v>
      </c>
      <c r="Q41" s="4">
        <v>5</v>
      </c>
      <c r="R41" s="67" t="s">
        <v>92</v>
      </c>
      <c r="S41" s="4" t="s">
        <v>53</v>
      </c>
      <c r="T41" s="4" t="s">
        <v>93</v>
      </c>
      <c r="U41" s="6" t="s">
        <v>320</v>
      </c>
      <c r="V41" s="4" t="s">
        <v>68</v>
      </c>
      <c r="W41" s="4">
        <f t="shared" si="0"/>
        <v>2</v>
      </c>
    </row>
    <row r="42" spans="1:23">
      <c r="A42" s="7" t="s">
        <v>321</v>
      </c>
      <c r="B42" s="8" t="s">
        <v>57</v>
      </c>
      <c r="C42" s="8" t="s">
        <v>96</v>
      </c>
      <c r="D42" s="32" t="s">
        <v>322</v>
      </c>
      <c r="E42" s="8" t="s">
        <v>264</v>
      </c>
      <c r="F42" s="4" t="str">
        <f>PROPER(TRIM(Sales_data!F42))</f>
        <v>Arjun Rao</v>
      </c>
      <c r="G42" s="8" t="s">
        <v>32</v>
      </c>
      <c r="H42" s="70" t="s">
        <v>323</v>
      </c>
      <c r="I42" s="8" t="s">
        <v>118</v>
      </c>
      <c r="J42" s="4" t="str">
        <f>PROPER(Sales_data!J42)</f>
        <v>South</v>
      </c>
      <c r="K42" s="4" t="str">
        <f>PROPER(Sales_data!K42)</f>
        <v>Stationery</v>
      </c>
      <c r="L42" s="8" t="s">
        <v>101</v>
      </c>
      <c r="M42" s="66">
        <v>8</v>
      </c>
      <c r="N42" s="8">
        <v>3500</v>
      </c>
      <c r="O42" s="8">
        <v>5</v>
      </c>
      <c r="P42" s="8">
        <v>26600</v>
      </c>
      <c r="Q42" s="8">
        <v>1</v>
      </c>
      <c r="R42" s="67" t="s">
        <v>83</v>
      </c>
      <c r="S42" s="8" t="s">
        <v>119</v>
      </c>
      <c r="T42" s="8" t="s">
        <v>66</v>
      </c>
      <c r="U42" s="9" t="s">
        <v>324</v>
      </c>
      <c r="V42" s="8" t="s">
        <v>68</v>
      </c>
      <c r="W42" s="4">
        <f t="shared" si="0"/>
        <v>6</v>
      </c>
    </row>
    <row r="43" spans="1:23">
      <c r="A43" s="3" t="s">
        <v>325</v>
      </c>
      <c r="B43" s="4" t="s">
        <v>75</v>
      </c>
      <c r="C43" s="4" t="s">
        <v>173</v>
      </c>
      <c r="D43" s="31" t="s">
        <v>326</v>
      </c>
      <c r="E43" s="4" t="s">
        <v>327</v>
      </c>
      <c r="F43" s="4" t="str">
        <f>PROPER(TRIM(Sales_data!F43))</f>
        <v>Pooja Shah</v>
      </c>
      <c r="G43" s="4" t="s">
        <v>80</v>
      </c>
      <c r="H43" s="69" t="s">
        <v>328</v>
      </c>
      <c r="I43" s="4" t="s">
        <v>216</v>
      </c>
      <c r="J43" s="4" t="str">
        <f>PROPER(Sales_data!J43)</f>
        <v>West</v>
      </c>
      <c r="K43" s="4" t="str">
        <f>PROPER(Sales_data!K43)</f>
        <v>Home Appliances</v>
      </c>
      <c r="L43" s="4" t="s">
        <v>178</v>
      </c>
      <c r="M43" s="66">
        <v>1</v>
      </c>
      <c r="N43" s="4">
        <v>8500</v>
      </c>
      <c r="O43" s="4">
        <v>0</v>
      </c>
      <c r="P43" s="4">
        <v>8500</v>
      </c>
      <c r="Q43" s="4">
        <v>2</v>
      </c>
      <c r="R43" s="67" t="s">
        <v>83</v>
      </c>
      <c r="S43" s="4" t="s">
        <v>119</v>
      </c>
      <c r="T43" s="4" t="s">
        <v>84</v>
      </c>
      <c r="U43" s="6" t="s">
        <v>329</v>
      </c>
      <c r="V43" s="4" t="s">
        <v>68</v>
      </c>
      <c r="W43" s="4">
        <f t="shared" si="0"/>
        <v>2</v>
      </c>
    </row>
    <row r="44" spans="1:23">
      <c r="A44" s="7" t="s">
        <v>330</v>
      </c>
      <c r="B44" s="8" t="s">
        <v>331</v>
      </c>
      <c r="C44" s="8" t="s">
        <v>263</v>
      </c>
      <c r="D44" s="32" t="s">
        <v>332</v>
      </c>
      <c r="E44" s="8" t="s">
        <v>333</v>
      </c>
      <c r="F44" s="4" t="str">
        <f>PROPER(TRIM(Sales_data!F44))</f>
        <v>Mohit Verma</v>
      </c>
      <c r="G44" s="8" t="s">
        <v>80</v>
      </c>
      <c r="H44" s="70" t="s">
        <v>335</v>
      </c>
      <c r="I44" s="8" t="s">
        <v>118</v>
      </c>
      <c r="J44" s="4" t="str">
        <f>PROPER(Sales_data!J44)</f>
        <v>North</v>
      </c>
      <c r="K44" s="4" t="str">
        <f>PROPER(Sales_data!K44)</f>
        <v>Home Appliances</v>
      </c>
      <c r="L44" s="8" t="s">
        <v>267</v>
      </c>
      <c r="M44" s="66">
        <v>8</v>
      </c>
      <c r="N44" s="8">
        <v>45</v>
      </c>
      <c r="O44" s="8">
        <v>15</v>
      </c>
      <c r="P44" s="8">
        <v>306</v>
      </c>
      <c r="Q44" s="8">
        <v>2</v>
      </c>
      <c r="R44" s="67" t="s">
        <v>83</v>
      </c>
      <c r="S44" s="8" t="s">
        <v>65</v>
      </c>
      <c r="T44" s="8" t="s">
        <v>336</v>
      </c>
      <c r="U44" s="9" t="s">
        <v>337</v>
      </c>
      <c r="V44" s="8" t="s">
        <v>42</v>
      </c>
      <c r="W44" s="4">
        <f t="shared" si="0"/>
        <v>3</v>
      </c>
    </row>
    <row r="45" spans="1:23">
      <c r="A45" s="3" t="s">
        <v>338</v>
      </c>
      <c r="B45" s="4" t="s">
        <v>255</v>
      </c>
      <c r="C45" s="4" t="s">
        <v>28</v>
      </c>
      <c r="D45" s="31" t="s">
        <v>339</v>
      </c>
      <c r="E45" s="4" t="s">
        <v>340</v>
      </c>
      <c r="F45" s="4" t="str">
        <f>PROPER(TRIM(Sales_data!F45))</f>
        <v>Amit Sharma</v>
      </c>
      <c r="G45" s="4" t="s">
        <v>32</v>
      </c>
      <c r="H45" s="69" t="s">
        <v>341</v>
      </c>
      <c r="I45" s="4" t="s">
        <v>118</v>
      </c>
      <c r="J45" s="4" t="str">
        <f>PROPER(Sales_data!J45)</f>
        <v>West</v>
      </c>
      <c r="K45" s="4" t="str">
        <f>PROPER(Sales_data!K45)</f>
        <v>Stationery</v>
      </c>
      <c r="L45" s="4" t="s">
        <v>37</v>
      </c>
      <c r="M45" s="66">
        <v>16</v>
      </c>
      <c r="N45" s="4">
        <v>2200</v>
      </c>
      <c r="O45" s="4">
        <v>5</v>
      </c>
      <c r="P45" s="4">
        <v>33440</v>
      </c>
      <c r="Q45" s="4">
        <v>5</v>
      </c>
      <c r="R45" s="67" t="s">
        <v>83</v>
      </c>
      <c r="S45" s="4" t="s">
        <v>65</v>
      </c>
      <c r="T45" s="4" t="s">
        <v>260</v>
      </c>
      <c r="U45" s="6" t="s">
        <v>342</v>
      </c>
      <c r="V45" s="4" t="s">
        <v>73</v>
      </c>
      <c r="W45" s="4">
        <f t="shared" si="0"/>
        <v>4</v>
      </c>
    </row>
    <row r="46" spans="1:23">
      <c r="A46" s="7" t="s">
        <v>343</v>
      </c>
      <c r="B46" s="8" t="s">
        <v>75</v>
      </c>
      <c r="C46" s="8" t="s">
        <v>96</v>
      </c>
      <c r="D46" s="32" t="s">
        <v>344</v>
      </c>
      <c r="E46" s="8" t="s">
        <v>345</v>
      </c>
      <c r="F46" s="4" t="str">
        <f>PROPER(TRIM(Sales_data!F46))</f>
        <v>Sneha Joshi</v>
      </c>
      <c r="G46" s="8" t="s">
        <v>80</v>
      </c>
      <c r="H46" s="70" t="s">
        <v>346</v>
      </c>
      <c r="I46" s="8" t="s">
        <v>63</v>
      </c>
      <c r="J46" s="4" t="str">
        <f>PROPER(Sales_data!J46)</f>
        <v>West</v>
      </c>
      <c r="K46" s="4" t="str">
        <f>PROPER(Sales_data!K46)</f>
        <v>Home Appliances</v>
      </c>
      <c r="L46" s="8" t="s">
        <v>101</v>
      </c>
      <c r="M46" s="66">
        <v>19</v>
      </c>
      <c r="N46" s="8">
        <v>3500</v>
      </c>
      <c r="O46" s="8">
        <v>20</v>
      </c>
      <c r="P46" s="8">
        <v>53200</v>
      </c>
      <c r="Q46" s="8">
        <v>3</v>
      </c>
      <c r="R46" s="67" t="s">
        <v>38</v>
      </c>
      <c r="S46" s="8" t="s">
        <v>155</v>
      </c>
      <c r="T46" s="8" t="s">
        <v>84</v>
      </c>
      <c r="U46" s="9" t="s">
        <v>347</v>
      </c>
      <c r="V46" s="8" t="s">
        <v>73</v>
      </c>
      <c r="W46" s="4">
        <f t="shared" si="0"/>
        <v>10</v>
      </c>
    </row>
    <row r="47" spans="1:23">
      <c r="A47" s="3" t="s">
        <v>348</v>
      </c>
      <c r="B47" s="4" t="s">
        <v>255</v>
      </c>
      <c r="C47" s="4" t="s">
        <v>188</v>
      </c>
      <c r="D47" s="31" t="s">
        <v>349</v>
      </c>
      <c r="E47" s="4" t="s">
        <v>350</v>
      </c>
      <c r="F47" s="4" t="str">
        <f>PROPER(TRIM(Sales_data!F47))</f>
        <v>Mohit Verma</v>
      </c>
      <c r="G47" s="4" t="s">
        <v>32</v>
      </c>
      <c r="H47" s="69" t="s">
        <v>351</v>
      </c>
      <c r="I47" s="4" t="s">
        <v>118</v>
      </c>
      <c r="J47" s="4" t="str">
        <f>PROPER(Sales_data!J47)</f>
        <v>South</v>
      </c>
      <c r="K47" s="4" t="str">
        <f>PROPER(Sales_data!K47)</f>
        <v>Home Appliances</v>
      </c>
      <c r="L47" s="4" t="s">
        <v>193</v>
      </c>
      <c r="M47" s="66">
        <v>15</v>
      </c>
      <c r="N47" s="4">
        <v>700</v>
      </c>
      <c r="O47" s="4">
        <v>15</v>
      </c>
      <c r="P47" s="4">
        <v>8925</v>
      </c>
      <c r="Q47" s="4">
        <v>4</v>
      </c>
      <c r="R47" s="67" t="s">
        <v>92</v>
      </c>
      <c r="S47" s="4" t="s">
        <v>119</v>
      </c>
      <c r="T47" s="4" t="s">
        <v>352</v>
      </c>
      <c r="U47" s="6" t="s">
        <v>353</v>
      </c>
      <c r="V47" s="4" t="s">
        <v>42</v>
      </c>
      <c r="W47" s="4">
        <f t="shared" si="0"/>
        <v>10</v>
      </c>
    </row>
    <row r="48" spans="1:23">
      <c r="A48" s="7" t="s">
        <v>354</v>
      </c>
      <c r="B48" s="8" t="s">
        <v>255</v>
      </c>
      <c r="C48" s="8" t="s">
        <v>188</v>
      </c>
      <c r="D48" s="32" t="s">
        <v>355</v>
      </c>
      <c r="E48" s="8" t="s">
        <v>356</v>
      </c>
      <c r="F48" s="4" t="str">
        <f>PROPER(TRIM(Sales_data!F48))</f>
        <v>Sneha Joshi</v>
      </c>
      <c r="G48" s="8" t="s">
        <v>32</v>
      </c>
      <c r="H48" s="70" t="s">
        <v>357</v>
      </c>
      <c r="I48" s="8" t="s">
        <v>216</v>
      </c>
      <c r="J48" s="4" t="str">
        <f>PROPER(Sales_data!J48)</f>
        <v>West</v>
      </c>
      <c r="K48" s="4" t="str">
        <f>PROPER(Sales_data!K48)</f>
        <v>Electronics</v>
      </c>
      <c r="L48" s="8" t="s">
        <v>193</v>
      </c>
      <c r="M48" s="66">
        <v>19</v>
      </c>
      <c r="N48" s="8">
        <v>700</v>
      </c>
      <c r="O48" s="8">
        <v>20</v>
      </c>
      <c r="P48" s="8">
        <v>10640</v>
      </c>
      <c r="Q48" s="8">
        <v>1</v>
      </c>
      <c r="R48" s="67" t="s">
        <v>38</v>
      </c>
      <c r="S48" s="8" t="s">
        <v>119</v>
      </c>
      <c r="T48" s="8" t="s">
        <v>260</v>
      </c>
      <c r="U48" s="9" t="s">
        <v>358</v>
      </c>
      <c r="V48" s="8" t="s">
        <v>42</v>
      </c>
      <c r="W48" s="4">
        <f t="shared" si="0"/>
        <v>11</v>
      </c>
    </row>
    <row r="49" spans="1:23">
      <c r="A49" s="3" t="s">
        <v>359</v>
      </c>
      <c r="B49" s="4" t="s">
        <v>75</v>
      </c>
      <c r="C49" s="4" t="s">
        <v>44</v>
      </c>
      <c r="D49" s="31" t="s">
        <v>360</v>
      </c>
      <c r="E49" s="4" t="s">
        <v>68</v>
      </c>
      <c r="F49" s="4" t="str">
        <f>PROPER(TRIM(Sales_data!F49))</f>
        <v>Sneha Joshi</v>
      </c>
      <c r="G49" s="4" t="s">
        <v>80</v>
      </c>
      <c r="H49" s="69" t="s">
        <v>361</v>
      </c>
      <c r="I49" s="4" t="s">
        <v>48</v>
      </c>
      <c r="J49" s="4" t="str">
        <f>PROPER(Sales_data!J49)</f>
        <v>North</v>
      </c>
      <c r="K49" s="4" t="str">
        <f>PROPER(Sales_data!K49)</f>
        <v>Electronics</v>
      </c>
      <c r="L49" s="4" t="s">
        <v>51</v>
      </c>
      <c r="M49" s="66">
        <v>19</v>
      </c>
      <c r="N49" s="4">
        <v>12000</v>
      </c>
      <c r="O49" s="4">
        <v>0</v>
      </c>
      <c r="P49" s="4">
        <v>228000</v>
      </c>
      <c r="Q49" s="4">
        <v>1</v>
      </c>
      <c r="R49" s="67" t="s">
        <v>52</v>
      </c>
      <c r="S49" s="4" t="s">
        <v>65</v>
      </c>
      <c r="T49" s="4" t="s">
        <v>84</v>
      </c>
      <c r="U49" s="6" t="s">
        <v>362</v>
      </c>
      <c r="V49" s="4" t="s">
        <v>42</v>
      </c>
      <c r="W49" s="4">
        <f t="shared" si="0"/>
        <v>4</v>
      </c>
    </row>
    <row r="50" spans="1:23">
      <c r="A50" s="7" t="s">
        <v>363</v>
      </c>
      <c r="B50" s="8" t="s">
        <v>172</v>
      </c>
      <c r="C50" s="8" t="s">
        <v>76</v>
      </c>
      <c r="D50" s="32" t="s">
        <v>360</v>
      </c>
      <c r="E50" s="8" t="s">
        <v>364</v>
      </c>
      <c r="F50" s="4" t="str">
        <f>PROPER(TRIM(Sales_data!F50))</f>
        <v>Mohit Verma</v>
      </c>
      <c r="G50" s="8" t="s">
        <v>32</v>
      </c>
      <c r="H50" s="70" t="s">
        <v>366</v>
      </c>
      <c r="I50" s="8" t="s">
        <v>118</v>
      </c>
      <c r="J50" s="4" t="str">
        <f>PROPER(Sales_data!J50)</f>
        <v>North</v>
      </c>
      <c r="K50" s="4" t="str">
        <f>PROPER(Sales_data!K50)</f>
        <v>Electronics</v>
      </c>
      <c r="L50" s="8" t="s">
        <v>82</v>
      </c>
      <c r="M50" s="66">
        <v>6</v>
      </c>
      <c r="N50" s="8">
        <v>1200</v>
      </c>
      <c r="O50" s="8">
        <v>5</v>
      </c>
      <c r="P50" s="8">
        <v>6840</v>
      </c>
      <c r="Q50" s="8">
        <v>2</v>
      </c>
      <c r="R50" s="67" t="s">
        <v>38</v>
      </c>
      <c r="S50" s="8" t="s">
        <v>39</v>
      </c>
      <c r="T50" s="8" t="s">
        <v>179</v>
      </c>
      <c r="U50" s="9" t="s">
        <v>367</v>
      </c>
      <c r="V50" s="8" t="s">
        <v>68</v>
      </c>
      <c r="W50" s="4">
        <f t="shared" si="0"/>
        <v>4</v>
      </c>
    </row>
    <row r="51" spans="1:23">
      <c r="A51" s="3" t="s">
        <v>368</v>
      </c>
      <c r="B51" s="4" t="s">
        <v>57</v>
      </c>
      <c r="C51" s="4" t="s">
        <v>28</v>
      </c>
      <c r="D51" s="31" t="s">
        <v>369</v>
      </c>
      <c r="E51" s="4" t="s">
        <v>370</v>
      </c>
      <c r="F51" s="4" t="str">
        <f>PROPER(TRIM(Sales_data!F51))</f>
        <v>Anita Gupta</v>
      </c>
      <c r="G51" s="4" t="s">
        <v>32</v>
      </c>
      <c r="H51" s="69" t="s">
        <v>372</v>
      </c>
      <c r="I51" s="4" t="s">
        <v>63</v>
      </c>
      <c r="J51" s="4" t="str">
        <f>PROPER(Sales_data!J51)</f>
        <v>West</v>
      </c>
      <c r="K51" s="4" t="str">
        <f>PROPER(Sales_data!K51)</f>
        <v>Electronics</v>
      </c>
      <c r="L51" s="4" t="s">
        <v>37</v>
      </c>
      <c r="M51" s="66">
        <v>7</v>
      </c>
      <c r="N51" s="4">
        <v>2200</v>
      </c>
      <c r="O51" s="4">
        <v>15</v>
      </c>
      <c r="P51" s="4">
        <v>13090</v>
      </c>
      <c r="Q51" s="4">
        <v>1</v>
      </c>
      <c r="R51" s="67" t="s">
        <v>92</v>
      </c>
      <c r="S51" s="4" t="s">
        <v>65</v>
      </c>
      <c r="T51" s="4" t="s">
        <v>66</v>
      </c>
      <c r="U51" s="6" t="s">
        <v>373</v>
      </c>
      <c r="V51" s="4" t="s">
        <v>42</v>
      </c>
      <c r="W51" s="4">
        <f t="shared" si="0"/>
        <v>3</v>
      </c>
    </row>
    <row r="52" spans="1:23">
      <c r="A52" s="7" t="s">
        <v>374</v>
      </c>
      <c r="B52" s="8" t="s">
        <v>104</v>
      </c>
      <c r="C52" s="8" t="s">
        <v>122</v>
      </c>
      <c r="D52" s="32" t="s">
        <v>375</v>
      </c>
      <c r="E52" s="8" t="s">
        <v>376</v>
      </c>
      <c r="F52" s="4" t="str">
        <f>PROPER(TRIM(Sales_data!F52))</f>
        <v>Pooja Shah</v>
      </c>
      <c r="G52" s="8" t="s">
        <v>32</v>
      </c>
      <c r="H52" s="70" t="s">
        <v>377</v>
      </c>
      <c r="I52" s="8" t="s">
        <v>216</v>
      </c>
      <c r="J52" s="4" t="str">
        <f>PROPER(Sales_data!J52)</f>
        <v>South</v>
      </c>
      <c r="K52" s="4" t="str">
        <f>PROPER(Sales_data!K52)</f>
        <v>Home Appliances</v>
      </c>
      <c r="L52" s="8" t="s">
        <v>127</v>
      </c>
      <c r="M52" s="66">
        <v>8</v>
      </c>
      <c r="N52" s="8">
        <v>60</v>
      </c>
      <c r="O52" s="8">
        <v>10</v>
      </c>
      <c r="P52" s="8">
        <v>432</v>
      </c>
      <c r="Q52" s="8">
        <v>5</v>
      </c>
      <c r="R52" s="67" t="s">
        <v>83</v>
      </c>
      <c r="S52" s="8" t="s">
        <v>65</v>
      </c>
      <c r="T52" s="8" t="s">
        <v>148</v>
      </c>
      <c r="U52" s="9" t="s">
        <v>378</v>
      </c>
      <c r="V52" s="8" t="s">
        <v>73</v>
      </c>
      <c r="W52" s="4">
        <f t="shared" si="0"/>
        <v>8</v>
      </c>
    </row>
    <row r="53" spans="1:23">
      <c r="A53" s="3" t="s">
        <v>379</v>
      </c>
      <c r="B53" s="4" t="s">
        <v>225</v>
      </c>
      <c r="C53" s="4" t="s">
        <v>58</v>
      </c>
      <c r="D53" s="31" t="s">
        <v>380</v>
      </c>
      <c r="E53" s="4" t="s">
        <v>381</v>
      </c>
      <c r="F53" s="4" t="str">
        <f>PROPER(TRIM(Sales_data!F53))</f>
        <v>Priya Patel</v>
      </c>
      <c r="G53" s="4" t="s">
        <v>80</v>
      </c>
      <c r="H53" s="69" t="s">
        <v>382</v>
      </c>
      <c r="I53" s="4" t="s">
        <v>298</v>
      </c>
      <c r="J53" s="4" t="str">
        <f>PROPER(Sales_data!J53)</f>
        <v>North</v>
      </c>
      <c r="K53" s="4" t="str">
        <f>PROPER(Sales_data!K53)</f>
        <v>Stationery</v>
      </c>
      <c r="L53" s="4" t="s">
        <v>64</v>
      </c>
      <c r="M53" s="66">
        <v>12</v>
      </c>
      <c r="N53" s="4">
        <v>55000</v>
      </c>
      <c r="O53" s="4">
        <v>5</v>
      </c>
      <c r="P53" s="4">
        <v>627000</v>
      </c>
      <c r="Q53" s="4">
        <v>2</v>
      </c>
      <c r="R53" s="67" t="s">
        <v>92</v>
      </c>
      <c r="S53" s="4" t="s">
        <v>53</v>
      </c>
      <c r="T53" s="4" t="s">
        <v>232</v>
      </c>
      <c r="U53" s="6" t="s">
        <v>383</v>
      </c>
      <c r="V53" s="4" t="s">
        <v>68</v>
      </c>
      <c r="W53" s="4">
        <f t="shared" si="0"/>
        <v>8</v>
      </c>
    </row>
    <row r="54" spans="1:23">
      <c r="A54" s="7" t="s">
        <v>384</v>
      </c>
      <c r="B54" s="8" t="s">
        <v>27</v>
      </c>
      <c r="C54" s="8" t="s">
        <v>188</v>
      </c>
      <c r="D54" s="32" t="s">
        <v>385</v>
      </c>
      <c r="E54" s="8" t="s">
        <v>386</v>
      </c>
      <c r="F54" s="4" t="str">
        <f>PROPER(TRIM(Sales_data!F54))</f>
        <v>Vikas Mehta</v>
      </c>
      <c r="G54" s="8" t="s">
        <v>32</v>
      </c>
      <c r="H54" s="70" t="s">
        <v>387</v>
      </c>
      <c r="I54" s="8" t="s">
        <v>216</v>
      </c>
      <c r="J54" s="4" t="str">
        <f>PROPER(Sales_data!J54)</f>
        <v>East</v>
      </c>
      <c r="K54" s="4" t="str">
        <f>PROPER(Sales_data!K54)</f>
        <v>Electronics</v>
      </c>
      <c r="L54" s="8" t="s">
        <v>193</v>
      </c>
      <c r="M54" s="66">
        <v>3</v>
      </c>
      <c r="N54" s="8">
        <v>700</v>
      </c>
      <c r="O54" s="8">
        <v>0</v>
      </c>
      <c r="P54" s="8">
        <v>2100</v>
      </c>
      <c r="Q54" s="8">
        <v>3</v>
      </c>
      <c r="R54" s="67" t="s">
        <v>83</v>
      </c>
      <c r="S54" s="8" t="s">
        <v>155</v>
      </c>
      <c r="T54" s="8" t="s">
        <v>54</v>
      </c>
      <c r="U54" s="9" t="s">
        <v>388</v>
      </c>
      <c r="V54" s="8" t="s">
        <v>73</v>
      </c>
      <c r="W54" s="4">
        <f t="shared" si="0"/>
        <v>7</v>
      </c>
    </row>
    <row r="55" spans="1:23">
      <c r="A55" s="3" t="s">
        <v>389</v>
      </c>
      <c r="B55" s="4" t="s">
        <v>131</v>
      </c>
      <c r="C55" s="4" t="s">
        <v>122</v>
      </c>
      <c r="D55" s="31" t="s">
        <v>390</v>
      </c>
      <c r="E55" s="4" t="s">
        <v>391</v>
      </c>
      <c r="F55" s="4" t="str">
        <f>PROPER(TRIM(Sales_data!F55))</f>
        <v>Kavya Nair</v>
      </c>
      <c r="G55" s="4" t="s">
        <v>80</v>
      </c>
      <c r="H55" s="69" t="s">
        <v>393</v>
      </c>
      <c r="I55" s="4" t="s">
        <v>142</v>
      </c>
      <c r="J55" s="4" t="str">
        <f>PROPER(Sales_data!J55)</f>
        <v>North</v>
      </c>
      <c r="K55" s="4" t="str">
        <f>PROPER(Sales_data!K55)</f>
        <v>Electronics</v>
      </c>
      <c r="L55" s="4" t="s">
        <v>127</v>
      </c>
      <c r="M55" s="66">
        <v>19</v>
      </c>
      <c r="N55" s="4">
        <v>60</v>
      </c>
      <c r="O55" s="4">
        <v>15</v>
      </c>
      <c r="P55" s="4">
        <v>969</v>
      </c>
      <c r="Q55" s="4">
        <v>4</v>
      </c>
      <c r="R55" s="67" t="s">
        <v>83</v>
      </c>
      <c r="S55" s="4" t="s">
        <v>53</v>
      </c>
      <c r="T55" s="4" t="s">
        <v>136</v>
      </c>
      <c r="U55" s="6" t="s">
        <v>394</v>
      </c>
      <c r="V55" s="4" t="s">
        <v>73</v>
      </c>
      <c r="W55" s="4">
        <f t="shared" si="0"/>
        <v>2</v>
      </c>
    </row>
    <row r="56" spans="1:23">
      <c r="A56" s="7" t="s">
        <v>395</v>
      </c>
      <c r="B56" s="8" t="s">
        <v>331</v>
      </c>
      <c r="C56" s="8" t="s">
        <v>122</v>
      </c>
      <c r="D56" s="32" t="s">
        <v>396</v>
      </c>
      <c r="E56" s="8" t="s">
        <v>397</v>
      </c>
      <c r="F56" s="4" t="str">
        <f>PROPER(TRIM(Sales_data!F56))</f>
        <v>Rohit Singh</v>
      </c>
      <c r="G56" s="8" t="s">
        <v>80</v>
      </c>
      <c r="H56" s="70" t="s">
        <v>399</v>
      </c>
      <c r="I56" s="8" t="s">
        <v>216</v>
      </c>
      <c r="J56" s="4" t="str">
        <f>PROPER(Sales_data!J56)</f>
        <v>West</v>
      </c>
      <c r="K56" s="4" t="str">
        <f>PROPER(Sales_data!K56)</f>
        <v>Stationery</v>
      </c>
      <c r="L56" s="8" t="s">
        <v>127</v>
      </c>
      <c r="M56" s="66">
        <v>9</v>
      </c>
      <c r="N56" s="8">
        <v>60</v>
      </c>
      <c r="O56" s="8">
        <v>20</v>
      </c>
      <c r="P56" s="8">
        <v>432</v>
      </c>
      <c r="Q56" s="8">
        <v>1</v>
      </c>
      <c r="R56" s="67" t="s">
        <v>52</v>
      </c>
      <c r="S56" s="8" t="s">
        <v>119</v>
      </c>
      <c r="T56" s="8" t="s">
        <v>336</v>
      </c>
      <c r="U56" s="9" t="s">
        <v>400</v>
      </c>
      <c r="V56" s="8" t="s">
        <v>68</v>
      </c>
      <c r="W56" s="4">
        <f t="shared" si="0"/>
        <v>8</v>
      </c>
    </row>
    <row r="57" spans="1:23">
      <c r="A57" s="3" t="s">
        <v>401</v>
      </c>
      <c r="B57" s="4" t="s">
        <v>331</v>
      </c>
      <c r="C57" s="4" t="s">
        <v>188</v>
      </c>
      <c r="D57" s="31" t="s">
        <v>402</v>
      </c>
      <c r="E57" s="4" t="s">
        <v>403</v>
      </c>
      <c r="F57" s="4" t="str">
        <f>PROPER(TRIM(Sales_data!F57))</f>
        <v>Amit Sharma</v>
      </c>
      <c r="G57" s="4" t="s">
        <v>80</v>
      </c>
      <c r="H57" s="69" t="s">
        <v>404</v>
      </c>
      <c r="I57" s="4" t="s">
        <v>63</v>
      </c>
      <c r="J57" s="4" t="str">
        <f>PROPER(Sales_data!J57)</f>
        <v>North</v>
      </c>
      <c r="K57" s="4" t="str">
        <f>PROPER(Sales_data!K57)</f>
        <v>Stationery</v>
      </c>
      <c r="L57" s="4" t="s">
        <v>193</v>
      </c>
      <c r="M57" s="66">
        <v>6</v>
      </c>
      <c r="N57" s="4">
        <v>700</v>
      </c>
      <c r="O57" s="4">
        <v>0</v>
      </c>
      <c r="P57" s="4">
        <v>4200</v>
      </c>
      <c r="Q57" s="4">
        <v>4</v>
      </c>
      <c r="R57" s="67" t="s">
        <v>92</v>
      </c>
      <c r="S57" s="4" t="s">
        <v>53</v>
      </c>
      <c r="T57" s="4" t="s">
        <v>405</v>
      </c>
      <c r="U57" s="6" t="s">
        <v>406</v>
      </c>
      <c r="V57" s="4" t="s">
        <v>73</v>
      </c>
      <c r="W57" s="4">
        <f t="shared" si="0"/>
        <v>3</v>
      </c>
    </row>
    <row r="58" spans="1:23">
      <c r="A58" s="7" t="s">
        <v>407</v>
      </c>
      <c r="B58" s="8" t="s">
        <v>131</v>
      </c>
      <c r="C58" s="8" t="s">
        <v>263</v>
      </c>
      <c r="D58" s="32" t="s">
        <v>245</v>
      </c>
      <c r="E58" s="8" t="s">
        <v>408</v>
      </c>
      <c r="F58" s="4" t="str">
        <f>PROPER(TRIM(Sales_data!F58))</f>
        <v>Amit Sharma</v>
      </c>
      <c r="G58" s="8" t="s">
        <v>80</v>
      </c>
      <c r="H58" s="70" t="s">
        <v>409</v>
      </c>
      <c r="I58" s="8" t="s">
        <v>48</v>
      </c>
      <c r="J58" s="4" t="str">
        <f>PROPER(Sales_data!J58)</f>
        <v>South</v>
      </c>
      <c r="K58" s="4" t="str">
        <f>PROPER(Sales_data!K58)</f>
        <v>Electronics</v>
      </c>
      <c r="L58" s="8" t="s">
        <v>267</v>
      </c>
      <c r="M58" s="66">
        <v>18</v>
      </c>
      <c r="N58" s="8">
        <v>45</v>
      </c>
      <c r="O58" s="8">
        <v>5</v>
      </c>
      <c r="P58" s="8">
        <v>769.5</v>
      </c>
      <c r="Q58" s="8">
        <v>1</v>
      </c>
      <c r="R58" s="67" t="s">
        <v>83</v>
      </c>
      <c r="S58" s="8" t="s">
        <v>65</v>
      </c>
      <c r="T58" s="8" t="s">
        <v>136</v>
      </c>
      <c r="U58" s="9" t="s">
        <v>410</v>
      </c>
      <c r="V58" s="8" t="s">
        <v>68</v>
      </c>
      <c r="W58" s="4">
        <f t="shared" si="0"/>
        <v>3</v>
      </c>
    </row>
    <row r="59" spans="1:23">
      <c r="A59" s="3" t="s">
        <v>411</v>
      </c>
      <c r="B59" s="4" t="s">
        <v>87</v>
      </c>
      <c r="C59" s="4" t="s">
        <v>226</v>
      </c>
      <c r="D59" s="31" t="s">
        <v>412</v>
      </c>
      <c r="E59" s="4" t="s">
        <v>265</v>
      </c>
      <c r="F59" s="4" t="str">
        <f>PROPER(TRIM(Sales_data!F59))</f>
        <v>Rohit Singh</v>
      </c>
      <c r="G59" s="4" t="s">
        <v>80</v>
      </c>
      <c r="H59" s="69" t="s">
        <v>413</v>
      </c>
      <c r="I59" s="4" t="s">
        <v>216</v>
      </c>
      <c r="J59" s="4" t="str">
        <f>PROPER(Sales_data!J59)</f>
        <v>North</v>
      </c>
      <c r="K59" s="4" t="str">
        <f>PROPER(Sales_data!K59)</f>
        <v>Stationery</v>
      </c>
      <c r="L59" s="4" t="s">
        <v>231</v>
      </c>
      <c r="M59" s="66">
        <v>8</v>
      </c>
      <c r="N59" s="4">
        <v>20</v>
      </c>
      <c r="O59" s="4">
        <v>5</v>
      </c>
      <c r="P59" s="4">
        <v>152</v>
      </c>
      <c r="Q59" s="4">
        <v>1</v>
      </c>
      <c r="R59" s="67" t="s">
        <v>83</v>
      </c>
      <c r="S59" s="4" t="s">
        <v>39</v>
      </c>
      <c r="T59" s="4" t="s">
        <v>93</v>
      </c>
      <c r="U59" s="6" t="s">
        <v>414</v>
      </c>
      <c r="V59" s="4" t="s">
        <v>415</v>
      </c>
      <c r="W59" s="4">
        <f t="shared" si="0"/>
        <v>6</v>
      </c>
    </row>
    <row r="60" spans="1:23">
      <c r="A60" s="7" t="s">
        <v>416</v>
      </c>
      <c r="B60" s="8" t="s">
        <v>225</v>
      </c>
      <c r="C60" s="8" t="s">
        <v>188</v>
      </c>
      <c r="D60" s="32" t="s">
        <v>417</v>
      </c>
      <c r="E60" s="8" t="s">
        <v>418</v>
      </c>
      <c r="F60" s="4" t="str">
        <f>PROPER(TRIM(Sales_data!F60))</f>
        <v>Arjun Rao</v>
      </c>
      <c r="G60" s="8" t="s">
        <v>80</v>
      </c>
      <c r="H60" s="70" t="s">
        <v>419</v>
      </c>
      <c r="I60" s="8" t="s">
        <v>216</v>
      </c>
      <c r="J60" s="4" t="str">
        <f>PROPER(Sales_data!J60)</f>
        <v>North</v>
      </c>
      <c r="K60" s="4" t="str">
        <f>PROPER(Sales_data!K60)</f>
        <v>Stationery</v>
      </c>
      <c r="L60" s="8" t="s">
        <v>193</v>
      </c>
      <c r="M60" s="66">
        <v>8</v>
      </c>
      <c r="N60" s="8">
        <v>700</v>
      </c>
      <c r="O60" s="8">
        <v>10</v>
      </c>
      <c r="P60" s="8">
        <v>5040</v>
      </c>
      <c r="Q60" s="8">
        <v>1</v>
      </c>
      <c r="R60" s="67" t="s">
        <v>52</v>
      </c>
      <c r="S60" s="8" t="s">
        <v>65</v>
      </c>
      <c r="T60" s="10" t="s">
        <v>420</v>
      </c>
      <c r="U60" s="9" t="s">
        <v>421</v>
      </c>
      <c r="V60" s="8" t="s">
        <v>73</v>
      </c>
      <c r="W60" s="4">
        <f t="shared" si="0"/>
        <v>3</v>
      </c>
    </row>
    <row r="61" spans="1:23">
      <c r="A61" s="3" t="s">
        <v>422</v>
      </c>
      <c r="B61" s="4" t="s">
        <v>27</v>
      </c>
      <c r="C61" s="4" t="s">
        <v>226</v>
      </c>
      <c r="D61" s="31" t="s">
        <v>227</v>
      </c>
      <c r="E61" s="4" t="s">
        <v>360</v>
      </c>
      <c r="F61" s="4" t="str">
        <f>PROPER(TRIM(Sales_data!F61))</f>
        <v>Vikas Mehta</v>
      </c>
      <c r="G61" s="4" t="s">
        <v>32</v>
      </c>
      <c r="H61" s="69" t="s">
        <v>423</v>
      </c>
      <c r="I61" s="4" t="s">
        <v>48</v>
      </c>
      <c r="J61" s="4" t="str">
        <f>PROPER(Sales_data!J61)</f>
        <v>North</v>
      </c>
      <c r="K61" s="4" t="str">
        <f>PROPER(Sales_data!K61)</f>
        <v>Electronics</v>
      </c>
      <c r="L61" s="4" t="s">
        <v>231</v>
      </c>
      <c r="M61" s="66">
        <v>7</v>
      </c>
      <c r="N61" s="4">
        <v>20</v>
      </c>
      <c r="O61" s="4">
        <v>15</v>
      </c>
      <c r="P61" s="4">
        <v>119</v>
      </c>
      <c r="Q61" s="4">
        <v>5</v>
      </c>
      <c r="R61" s="67" t="s">
        <v>83</v>
      </c>
      <c r="S61" s="4" t="s">
        <v>53</v>
      </c>
      <c r="T61" s="4" t="s">
        <v>54</v>
      </c>
      <c r="U61" s="6" t="s">
        <v>424</v>
      </c>
      <c r="V61" s="4" t="s">
        <v>42</v>
      </c>
      <c r="W61" s="4">
        <f t="shared" si="0"/>
        <v>4</v>
      </c>
    </row>
    <row r="62" spans="1:23">
      <c r="A62" s="7" t="s">
        <v>425</v>
      </c>
      <c r="B62" s="8" t="s">
        <v>104</v>
      </c>
      <c r="C62" s="8" t="s">
        <v>226</v>
      </c>
      <c r="D62" s="32" t="s">
        <v>426</v>
      </c>
      <c r="E62" s="8" t="s">
        <v>375</v>
      </c>
      <c r="F62" s="4" t="str">
        <f>PROPER(TRIM(Sales_data!F62))</f>
        <v>Kavya Nair</v>
      </c>
      <c r="G62" s="8" t="s">
        <v>32</v>
      </c>
      <c r="H62" s="70" t="s">
        <v>427</v>
      </c>
      <c r="I62" s="8" t="s">
        <v>118</v>
      </c>
      <c r="J62" s="4" t="str">
        <f>PROPER(Sales_data!J62)</f>
        <v>North</v>
      </c>
      <c r="K62" s="4" t="str">
        <f>PROPER(Sales_data!K62)</f>
        <v>Stationery</v>
      </c>
      <c r="L62" s="8" t="s">
        <v>231</v>
      </c>
      <c r="M62" s="66">
        <v>16</v>
      </c>
      <c r="N62" s="8">
        <v>20</v>
      </c>
      <c r="O62" s="8">
        <v>0</v>
      </c>
      <c r="P62" s="8">
        <v>320</v>
      </c>
      <c r="Q62" s="8">
        <v>5</v>
      </c>
      <c r="R62" s="67" t="s">
        <v>52</v>
      </c>
      <c r="S62" s="8" t="s">
        <v>65</v>
      </c>
      <c r="T62" s="8" t="s">
        <v>148</v>
      </c>
      <c r="U62" s="9" t="s">
        <v>428</v>
      </c>
      <c r="V62" s="8" t="s">
        <v>68</v>
      </c>
      <c r="W62" s="4">
        <f t="shared" si="0"/>
        <v>8</v>
      </c>
    </row>
    <row r="63" spans="1:23">
      <c r="A63" s="3" t="s">
        <v>429</v>
      </c>
      <c r="B63" s="4" t="s">
        <v>57</v>
      </c>
      <c r="C63" s="4" t="s">
        <v>263</v>
      </c>
      <c r="D63" s="31" t="s">
        <v>430</v>
      </c>
      <c r="E63" s="4" t="s">
        <v>431</v>
      </c>
      <c r="F63" s="4" t="str">
        <f>PROPER(TRIM(Sales_data!F63))</f>
        <v>Priya Patel</v>
      </c>
      <c r="G63" s="4" t="s">
        <v>32</v>
      </c>
      <c r="H63" s="69" t="s">
        <v>432</v>
      </c>
      <c r="I63" s="4" t="s">
        <v>109</v>
      </c>
      <c r="J63" s="4" t="str">
        <f>PROPER(Sales_data!J63)</f>
        <v>West</v>
      </c>
      <c r="K63" s="4" t="str">
        <f>PROPER(Sales_data!K63)</f>
        <v>Stationery</v>
      </c>
      <c r="L63" s="4" t="s">
        <v>267</v>
      </c>
      <c r="M63" s="66">
        <v>15</v>
      </c>
      <c r="N63" s="4">
        <v>45</v>
      </c>
      <c r="O63" s="4">
        <v>0</v>
      </c>
      <c r="P63" s="4">
        <v>675</v>
      </c>
      <c r="Q63" s="4">
        <v>4</v>
      </c>
      <c r="R63" s="67" t="s">
        <v>38</v>
      </c>
      <c r="S63" s="4" t="s">
        <v>65</v>
      </c>
      <c r="T63" s="4" t="s">
        <v>66</v>
      </c>
      <c r="U63" s="6" t="s">
        <v>433</v>
      </c>
      <c r="V63" s="4" t="s">
        <v>73</v>
      </c>
      <c r="W63" s="4">
        <f t="shared" si="0"/>
        <v>5</v>
      </c>
    </row>
    <row r="64" spans="1:23">
      <c r="A64" s="7" t="s">
        <v>434</v>
      </c>
      <c r="B64" s="8" t="s">
        <v>255</v>
      </c>
      <c r="C64" s="8" t="s">
        <v>188</v>
      </c>
      <c r="D64" s="32" t="s">
        <v>435</v>
      </c>
      <c r="E64" s="8" t="s">
        <v>417</v>
      </c>
      <c r="F64" s="4" t="str">
        <f>PROPER(TRIM(Sales_data!F64))</f>
        <v>Pooja Shah</v>
      </c>
      <c r="G64" s="8" t="s">
        <v>32</v>
      </c>
      <c r="H64" s="70" t="s">
        <v>436</v>
      </c>
      <c r="I64" s="8" t="s">
        <v>142</v>
      </c>
      <c r="J64" s="4" t="str">
        <f>PROPER(Sales_data!J64)</f>
        <v>West</v>
      </c>
      <c r="K64" s="4" t="str">
        <f>PROPER(Sales_data!K64)</f>
        <v>Stationery</v>
      </c>
      <c r="L64" s="8" t="s">
        <v>193</v>
      </c>
      <c r="M64" s="66">
        <v>15</v>
      </c>
      <c r="N64" s="8">
        <v>700</v>
      </c>
      <c r="O64" s="8">
        <v>10</v>
      </c>
      <c r="P64" s="8">
        <v>9450</v>
      </c>
      <c r="Q64" s="8">
        <v>3</v>
      </c>
      <c r="R64" s="67" t="s">
        <v>52</v>
      </c>
      <c r="S64" s="8" t="s">
        <v>155</v>
      </c>
      <c r="T64" s="8" t="s">
        <v>260</v>
      </c>
      <c r="U64" s="9" t="s">
        <v>437</v>
      </c>
      <c r="V64" s="8" t="s">
        <v>42</v>
      </c>
      <c r="W64" s="4">
        <f t="shared" si="0"/>
        <v>3</v>
      </c>
    </row>
    <row r="65" spans="1:23">
      <c r="A65" s="3" t="s">
        <v>438</v>
      </c>
      <c r="B65" s="4" t="s">
        <v>57</v>
      </c>
      <c r="C65" s="4" t="s">
        <v>263</v>
      </c>
      <c r="D65" s="31" t="s">
        <v>439</v>
      </c>
      <c r="E65" s="4" t="s">
        <v>440</v>
      </c>
      <c r="F65" s="4" t="str">
        <f>PROPER(TRIM(Sales_data!F65))</f>
        <v>Sneha Joshi</v>
      </c>
      <c r="G65" s="4" t="s">
        <v>32</v>
      </c>
      <c r="H65" s="69" t="s">
        <v>441</v>
      </c>
      <c r="I65" s="4" t="s">
        <v>298</v>
      </c>
      <c r="J65" s="4" t="str">
        <f>PROPER(Sales_data!J65)</f>
        <v>West</v>
      </c>
      <c r="K65" s="4" t="str">
        <f>PROPER(Sales_data!K65)</f>
        <v>Electronics</v>
      </c>
      <c r="L65" s="4" t="s">
        <v>267</v>
      </c>
      <c r="M65" s="66">
        <v>3</v>
      </c>
      <c r="N65" s="4">
        <v>45</v>
      </c>
      <c r="O65" s="4">
        <v>15</v>
      </c>
      <c r="P65" s="4">
        <v>114.75</v>
      </c>
      <c r="Q65" s="4">
        <v>2</v>
      </c>
      <c r="R65" s="67" t="s">
        <v>92</v>
      </c>
      <c r="S65" s="4" t="s">
        <v>119</v>
      </c>
      <c r="T65" s="4" t="s">
        <v>66</v>
      </c>
      <c r="U65" s="6" t="s">
        <v>442</v>
      </c>
      <c r="V65" s="4" t="s">
        <v>68</v>
      </c>
      <c r="W65" s="4">
        <f t="shared" si="0"/>
        <v>2</v>
      </c>
    </row>
    <row r="66" spans="1:23">
      <c r="A66" s="7" t="s">
        <v>443</v>
      </c>
      <c r="B66" s="8" t="s">
        <v>104</v>
      </c>
      <c r="C66" s="8" t="s">
        <v>28</v>
      </c>
      <c r="D66" s="32" t="s">
        <v>444</v>
      </c>
      <c r="E66" s="8" t="s">
        <v>445</v>
      </c>
      <c r="F66" s="4" t="str">
        <f>PROPER(TRIM(Sales_data!F66))</f>
        <v>Pooja Shah</v>
      </c>
      <c r="G66" s="8" t="s">
        <v>32</v>
      </c>
      <c r="H66" s="70" t="s">
        <v>446</v>
      </c>
      <c r="I66" s="8" t="s">
        <v>298</v>
      </c>
      <c r="J66" s="4" t="str">
        <f>PROPER(Sales_data!J66)</f>
        <v>East</v>
      </c>
      <c r="K66" s="4" t="str">
        <f>PROPER(Sales_data!K66)</f>
        <v>Stationery</v>
      </c>
      <c r="L66" s="8" t="s">
        <v>37</v>
      </c>
      <c r="M66" s="66">
        <v>7</v>
      </c>
      <c r="N66" s="8">
        <v>2200</v>
      </c>
      <c r="O66" s="8">
        <v>15</v>
      </c>
      <c r="P66" s="8">
        <v>13090</v>
      </c>
      <c r="Q66" s="8">
        <v>5</v>
      </c>
      <c r="R66" s="67" t="s">
        <v>92</v>
      </c>
      <c r="S66" s="8" t="s">
        <v>119</v>
      </c>
      <c r="T66" s="8" t="s">
        <v>148</v>
      </c>
      <c r="U66" s="9" t="s">
        <v>447</v>
      </c>
      <c r="V66" s="8" t="s">
        <v>42</v>
      </c>
      <c r="W66" s="4">
        <f t="shared" si="0"/>
        <v>1</v>
      </c>
    </row>
    <row r="67" spans="1:23">
      <c r="A67" s="3" t="s">
        <v>448</v>
      </c>
      <c r="B67" s="4" t="s">
        <v>27</v>
      </c>
      <c r="C67" s="4" t="s">
        <v>263</v>
      </c>
      <c r="D67" s="31" t="s">
        <v>449</v>
      </c>
      <c r="E67" s="4" t="s">
        <v>450</v>
      </c>
      <c r="F67" s="4" t="str">
        <f>PROPER(TRIM(Sales_data!F67))</f>
        <v>Priya Patel</v>
      </c>
      <c r="G67" s="4" t="s">
        <v>32</v>
      </c>
      <c r="H67" s="69" t="s">
        <v>451</v>
      </c>
      <c r="I67" s="4" t="s">
        <v>48</v>
      </c>
      <c r="J67" s="4" t="str">
        <f>PROPER(Sales_data!J67)</f>
        <v>East</v>
      </c>
      <c r="K67" s="4" t="str">
        <f>PROPER(Sales_data!K67)</f>
        <v>Home Appliances</v>
      </c>
      <c r="L67" s="4" t="s">
        <v>267</v>
      </c>
      <c r="M67" s="66">
        <v>19</v>
      </c>
      <c r="N67" s="4">
        <v>45</v>
      </c>
      <c r="O67" s="4">
        <v>10</v>
      </c>
      <c r="P67" s="4">
        <v>769.5</v>
      </c>
      <c r="Q67" s="4">
        <v>5</v>
      </c>
      <c r="R67" s="67" t="s">
        <v>83</v>
      </c>
      <c r="S67" s="4" t="s">
        <v>119</v>
      </c>
      <c r="T67" s="4" t="s">
        <v>54</v>
      </c>
      <c r="U67" s="6" t="s">
        <v>452</v>
      </c>
      <c r="V67" s="4" t="s">
        <v>73</v>
      </c>
      <c r="W67" s="4">
        <f t="shared" ref="W67:W130" si="1">IF(D67="Pending", "0", MONTH(D67))</f>
        <v>9</v>
      </c>
    </row>
    <row r="68" spans="1:23">
      <c r="A68" s="7" t="s">
        <v>453</v>
      </c>
      <c r="B68" s="8" t="s">
        <v>255</v>
      </c>
      <c r="C68" s="8" t="s">
        <v>96</v>
      </c>
      <c r="D68" s="32" t="s">
        <v>454</v>
      </c>
      <c r="E68" s="8" t="s">
        <v>327</v>
      </c>
      <c r="F68" s="4" t="str">
        <f>PROPER(TRIM(Sales_data!F68))</f>
        <v>Kavya Nair</v>
      </c>
      <c r="G68" s="8" t="s">
        <v>32</v>
      </c>
      <c r="H68" s="70" t="s">
        <v>455</v>
      </c>
      <c r="I68" s="8" t="s">
        <v>34</v>
      </c>
      <c r="J68" s="4" t="str">
        <f>PROPER(Sales_data!J68)</f>
        <v>North</v>
      </c>
      <c r="K68" s="4" t="str">
        <f>PROPER(Sales_data!K68)</f>
        <v>Stationery</v>
      </c>
      <c r="L68" s="8" t="s">
        <v>101</v>
      </c>
      <c r="M68" s="66">
        <v>7</v>
      </c>
      <c r="N68" s="8">
        <v>3500</v>
      </c>
      <c r="O68" s="8">
        <v>15</v>
      </c>
      <c r="P68" s="8">
        <v>20825</v>
      </c>
      <c r="Q68" s="8">
        <v>1</v>
      </c>
      <c r="R68" s="67" t="s">
        <v>38</v>
      </c>
      <c r="S68" s="8" t="s">
        <v>155</v>
      </c>
      <c r="T68" s="8" t="s">
        <v>260</v>
      </c>
      <c r="U68" s="9" t="s">
        <v>456</v>
      </c>
      <c r="V68" s="8" t="s">
        <v>68</v>
      </c>
      <c r="W68" s="4">
        <f t="shared" si="1"/>
        <v>2</v>
      </c>
    </row>
    <row r="69" spans="1:23">
      <c r="A69" s="3" t="s">
        <v>457</v>
      </c>
      <c r="B69" s="4" t="s">
        <v>57</v>
      </c>
      <c r="C69" s="4" t="s">
        <v>173</v>
      </c>
      <c r="D69" s="31" t="s">
        <v>458</v>
      </c>
      <c r="E69" s="4" t="s">
        <v>459</v>
      </c>
      <c r="F69" s="4" t="str">
        <f>PROPER(TRIM(Sales_data!F69))</f>
        <v>Sneha Joshi</v>
      </c>
      <c r="G69" s="4" t="s">
        <v>32</v>
      </c>
      <c r="H69" s="69" t="s">
        <v>460</v>
      </c>
      <c r="I69" s="4" t="s">
        <v>216</v>
      </c>
      <c r="J69" s="4" t="str">
        <f>PROPER(Sales_data!J69)</f>
        <v>South</v>
      </c>
      <c r="K69" s="4" t="str">
        <f>PROPER(Sales_data!K69)</f>
        <v>Home Appliances</v>
      </c>
      <c r="L69" s="4" t="s">
        <v>178</v>
      </c>
      <c r="M69" s="66">
        <v>7</v>
      </c>
      <c r="N69" s="4">
        <v>8500</v>
      </c>
      <c r="O69" s="4">
        <v>20</v>
      </c>
      <c r="P69" s="4">
        <v>47600</v>
      </c>
      <c r="Q69" s="4">
        <v>4</v>
      </c>
      <c r="R69" s="67" t="s">
        <v>52</v>
      </c>
      <c r="S69" s="4" t="s">
        <v>119</v>
      </c>
      <c r="T69" s="4" t="s">
        <v>66</v>
      </c>
      <c r="U69" s="6" t="s">
        <v>461</v>
      </c>
      <c r="V69" s="4" t="s">
        <v>42</v>
      </c>
      <c r="W69" s="4">
        <f t="shared" si="1"/>
        <v>12</v>
      </c>
    </row>
    <row r="70" spans="1:23">
      <c r="A70" s="7" t="s">
        <v>462</v>
      </c>
      <c r="B70" s="8" t="s">
        <v>27</v>
      </c>
      <c r="C70" s="8" t="s">
        <v>58</v>
      </c>
      <c r="D70" s="32" t="s">
        <v>370</v>
      </c>
      <c r="E70" s="8" t="s">
        <v>463</v>
      </c>
      <c r="F70" s="4" t="str">
        <f>PROPER(TRIM(Sales_data!F70))</f>
        <v>Pooja Shah</v>
      </c>
      <c r="G70" s="8" t="s">
        <v>32</v>
      </c>
      <c r="H70" s="70" t="s">
        <v>464</v>
      </c>
      <c r="I70" s="8" t="s">
        <v>63</v>
      </c>
      <c r="J70" s="4" t="str">
        <f>PROPER(Sales_data!J70)</f>
        <v>North</v>
      </c>
      <c r="K70" s="4" t="str">
        <f>PROPER(Sales_data!K70)</f>
        <v>Home Appliances</v>
      </c>
      <c r="L70" s="8" t="s">
        <v>64</v>
      </c>
      <c r="M70" s="66">
        <v>16</v>
      </c>
      <c r="N70" s="8">
        <v>55000</v>
      </c>
      <c r="O70" s="8">
        <v>10</v>
      </c>
      <c r="P70" s="8">
        <v>792000</v>
      </c>
      <c r="Q70" s="8">
        <v>1</v>
      </c>
      <c r="R70" s="67" t="s">
        <v>83</v>
      </c>
      <c r="S70" s="8" t="s">
        <v>65</v>
      </c>
      <c r="T70" s="8" t="s">
        <v>54</v>
      </c>
      <c r="U70" s="9" t="s">
        <v>465</v>
      </c>
      <c r="V70" s="8" t="s">
        <v>42</v>
      </c>
      <c r="W70" s="4">
        <f t="shared" si="1"/>
        <v>4</v>
      </c>
    </row>
    <row r="71" spans="1:23">
      <c r="A71" s="3" t="s">
        <v>466</v>
      </c>
      <c r="B71" s="4" t="s">
        <v>172</v>
      </c>
      <c r="C71" s="4" t="s">
        <v>44</v>
      </c>
      <c r="D71" s="31" t="s">
        <v>467</v>
      </c>
      <c r="E71" s="4" t="s">
        <v>468</v>
      </c>
      <c r="F71" s="4" t="str">
        <f>PROPER(TRIM(Sales_data!F71))</f>
        <v>Kavya Nair</v>
      </c>
      <c r="G71" s="4" t="s">
        <v>32</v>
      </c>
      <c r="H71" s="69" t="s">
        <v>469</v>
      </c>
      <c r="I71" s="4" t="s">
        <v>109</v>
      </c>
      <c r="J71" s="4" t="str">
        <f>PROPER(Sales_data!J71)</f>
        <v>South</v>
      </c>
      <c r="K71" s="4" t="str">
        <f>PROPER(Sales_data!K71)</f>
        <v>Electronics</v>
      </c>
      <c r="L71" s="4" t="s">
        <v>51</v>
      </c>
      <c r="M71" s="66">
        <v>2</v>
      </c>
      <c r="N71" s="4">
        <v>12000</v>
      </c>
      <c r="O71" s="4">
        <v>20</v>
      </c>
      <c r="P71" s="4">
        <v>19200</v>
      </c>
      <c r="Q71" s="4">
        <v>1</v>
      </c>
      <c r="R71" s="67" t="s">
        <v>38</v>
      </c>
      <c r="S71" s="4" t="s">
        <v>155</v>
      </c>
      <c r="T71" s="5" t="s">
        <v>470</v>
      </c>
      <c r="U71" s="6" t="s">
        <v>471</v>
      </c>
      <c r="V71" s="4" t="s">
        <v>68</v>
      </c>
      <c r="W71" s="4">
        <f t="shared" si="1"/>
        <v>12</v>
      </c>
    </row>
    <row r="72" spans="1:23">
      <c r="A72" s="7" t="s">
        <v>472</v>
      </c>
      <c r="B72" s="8" t="s">
        <v>131</v>
      </c>
      <c r="C72" s="8" t="s">
        <v>263</v>
      </c>
      <c r="D72" s="32" t="s">
        <v>473</v>
      </c>
      <c r="E72" s="8" t="s">
        <v>450</v>
      </c>
      <c r="F72" s="4" t="str">
        <f>PROPER(TRIM(Sales_data!F72))</f>
        <v>Anita Gupta</v>
      </c>
      <c r="G72" s="8" t="s">
        <v>80</v>
      </c>
      <c r="H72" s="70" t="s">
        <v>474</v>
      </c>
      <c r="I72" s="8" t="s">
        <v>63</v>
      </c>
      <c r="J72" s="4" t="str">
        <f>PROPER(Sales_data!J72)</f>
        <v>West</v>
      </c>
      <c r="K72" s="4" t="str">
        <f>PROPER(Sales_data!K72)</f>
        <v>Electronics</v>
      </c>
      <c r="L72" s="8" t="s">
        <v>267</v>
      </c>
      <c r="M72" s="66">
        <v>4</v>
      </c>
      <c r="N72" s="8">
        <v>45</v>
      </c>
      <c r="O72" s="8">
        <v>5</v>
      </c>
      <c r="P72" s="8">
        <v>171</v>
      </c>
      <c r="Q72" s="8">
        <v>1</v>
      </c>
      <c r="R72" s="67" t="s">
        <v>83</v>
      </c>
      <c r="S72" s="8" t="s">
        <v>53</v>
      </c>
      <c r="T72" s="8" t="s">
        <v>136</v>
      </c>
      <c r="U72" s="9" t="s">
        <v>475</v>
      </c>
      <c r="V72" s="8" t="s">
        <v>68</v>
      </c>
      <c r="W72" s="4">
        <f t="shared" si="1"/>
        <v>8</v>
      </c>
    </row>
    <row r="73" spans="1:23">
      <c r="A73" s="3" t="s">
        <v>476</v>
      </c>
      <c r="B73" s="4" t="s">
        <v>27</v>
      </c>
      <c r="C73" s="4" t="s">
        <v>76</v>
      </c>
      <c r="D73" s="31" t="s">
        <v>477</v>
      </c>
      <c r="E73" s="4" t="s">
        <v>478</v>
      </c>
      <c r="F73" s="4" t="str">
        <f>PROPER(TRIM(Sales_data!F73))</f>
        <v>Rohit Singh</v>
      </c>
      <c r="G73" s="4" t="s">
        <v>32</v>
      </c>
      <c r="H73" s="69" t="s">
        <v>479</v>
      </c>
      <c r="I73" s="4" t="s">
        <v>216</v>
      </c>
      <c r="J73" s="4" t="str">
        <f>PROPER(Sales_data!J73)</f>
        <v>South</v>
      </c>
      <c r="K73" s="4" t="str">
        <f>PROPER(Sales_data!K73)</f>
        <v>Stationery</v>
      </c>
      <c r="L73" s="4" t="s">
        <v>82</v>
      </c>
      <c r="M73" s="66">
        <v>1</v>
      </c>
      <c r="N73" s="4">
        <v>1200</v>
      </c>
      <c r="O73" s="4">
        <v>5</v>
      </c>
      <c r="P73" s="4">
        <v>1140</v>
      </c>
      <c r="Q73" s="4">
        <v>3</v>
      </c>
      <c r="R73" s="67" t="s">
        <v>92</v>
      </c>
      <c r="S73" s="4" t="s">
        <v>65</v>
      </c>
      <c r="T73" s="4" t="s">
        <v>54</v>
      </c>
      <c r="U73" s="6" t="s">
        <v>480</v>
      </c>
      <c r="V73" s="4" t="s">
        <v>73</v>
      </c>
      <c r="W73" s="4">
        <f t="shared" si="1"/>
        <v>12</v>
      </c>
    </row>
    <row r="74" spans="1:23">
      <c r="A74" s="7" t="s">
        <v>481</v>
      </c>
      <c r="B74" s="8" t="s">
        <v>57</v>
      </c>
      <c r="C74" s="8" t="s">
        <v>28</v>
      </c>
      <c r="D74" s="32" t="s">
        <v>482</v>
      </c>
      <c r="E74" s="8" t="s">
        <v>483</v>
      </c>
      <c r="F74" s="4" t="str">
        <f>PROPER(TRIM(Sales_data!F74))</f>
        <v>Kavya Nair</v>
      </c>
      <c r="G74" s="8" t="s">
        <v>32</v>
      </c>
      <c r="H74" s="70" t="s">
        <v>484</v>
      </c>
      <c r="I74" s="8"/>
      <c r="J74" s="4" t="str">
        <f>PROPER(Sales_data!J74)</f>
        <v>North</v>
      </c>
      <c r="K74" s="4" t="str">
        <f>PROPER(Sales_data!K74)</f>
        <v>Electronics</v>
      </c>
      <c r="L74" s="8" t="s">
        <v>37</v>
      </c>
      <c r="M74" s="66">
        <v>1</v>
      </c>
      <c r="N74" s="8">
        <v>2200</v>
      </c>
      <c r="O74" s="8">
        <v>15</v>
      </c>
      <c r="P74" s="8">
        <v>1870</v>
      </c>
      <c r="Q74" s="8">
        <v>4</v>
      </c>
      <c r="R74" s="67" t="s">
        <v>83</v>
      </c>
      <c r="S74" s="8" t="s">
        <v>65</v>
      </c>
      <c r="T74" s="8" t="s">
        <v>66</v>
      </c>
      <c r="U74" s="9" t="s">
        <v>485</v>
      </c>
      <c r="V74" s="8" t="s">
        <v>42</v>
      </c>
      <c r="W74" s="4">
        <f t="shared" si="1"/>
        <v>2</v>
      </c>
    </row>
    <row r="75" spans="1:23">
      <c r="A75" s="3" t="s">
        <v>486</v>
      </c>
      <c r="B75" s="4" t="s">
        <v>131</v>
      </c>
      <c r="C75" s="4" t="s">
        <v>76</v>
      </c>
      <c r="D75" s="31" t="s">
        <v>487</v>
      </c>
      <c r="E75" s="4" t="s">
        <v>488</v>
      </c>
      <c r="F75" s="4" t="str">
        <f>PROPER(TRIM(Sales_data!F75))</f>
        <v>Pooja Shah</v>
      </c>
      <c r="G75" s="4" t="s">
        <v>80</v>
      </c>
      <c r="H75" s="69" t="s">
        <v>489</v>
      </c>
      <c r="I75" s="4" t="s">
        <v>118</v>
      </c>
      <c r="J75" s="4" t="str">
        <f>PROPER(Sales_data!J75)</f>
        <v>South</v>
      </c>
      <c r="K75" s="4" t="str">
        <f>PROPER(Sales_data!K75)</f>
        <v>Home Appliances</v>
      </c>
      <c r="L75" s="4" t="s">
        <v>82</v>
      </c>
      <c r="M75" s="66">
        <v>3</v>
      </c>
      <c r="N75" s="4">
        <v>1200</v>
      </c>
      <c r="O75" s="4">
        <v>10</v>
      </c>
      <c r="P75" s="4">
        <v>3240</v>
      </c>
      <c r="Q75" s="4">
        <v>5</v>
      </c>
      <c r="R75" s="67" t="s">
        <v>38</v>
      </c>
      <c r="S75" s="4" t="s">
        <v>53</v>
      </c>
      <c r="T75" s="4" t="s">
        <v>136</v>
      </c>
      <c r="U75" s="6" t="s">
        <v>490</v>
      </c>
      <c r="V75" s="4" t="s">
        <v>42</v>
      </c>
      <c r="W75" s="4">
        <f t="shared" si="1"/>
        <v>1</v>
      </c>
    </row>
    <row r="76" spans="1:23">
      <c r="A76" s="7" t="s">
        <v>491</v>
      </c>
      <c r="B76" s="8" t="s">
        <v>27</v>
      </c>
      <c r="C76" s="8" t="s">
        <v>96</v>
      </c>
      <c r="D76" s="32" t="s">
        <v>492</v>
      </c>
      <c r="E76" s="8" t="s">
        <v>493</v>
      </c>
      <c r="F76" s="4" t="str">
        <f>PROPER(TRIM(Sales_data!F76))</f>
        <v>Rohit Singh</v>
      </c>
      <c r="G76" s="8" t="s">
        <v>32</v>
      </c>
      <c r="H76" s="70" t="s">
        <v>494</v>
      </c>
      <c r="I76" s="8" t="s">
        <v>63</v>
      </c>
      <c r="J76" s="4" t="str">
        <f>PROPER(Sales_data!J76)</f>
        <v>West</v>
      </c>
      <c r="K76" s="4" t="str">
        <f>PROPER(Sales_data!K76)</f>
        <v>Electronics</v>
      </c>
      <c r="L76" s="8" t="s">
        <v>101</v>
      </c>
      <c r="M76" s="66">
        <v>10</v>
      </c>
      <c r="N76" s="8">
        <v>3500</v>
      </c>
      <c r="O76" s="8">
        <v>20</v>
      </c>
      <c r="P76" s="8">
        <v>28000</v>
      </c>
      <c r="Q76" s="8">
        <v>5</v>
      </c>
      <c r="R76" s="67" t="s">
        <v>83</v>
      </c>
      <c r="S76" s="8" t="s">
        <v>39</v>
      </c>
      <c r="T76" s="8" t="s">
        <v>54</v>
      </c>
      <c r="U76" s="9" t="s">
        <v>495</v>
      </c>
      <c r="V76" s="8" t="s">
        <v>42</v>
      </c>
      <c r="W76" s="4">
        <f t="shared" si="1"/>
        <v>6</v>
      </c>
    </row>
    <row r="77" spans="1:23">
      <c r="A77" s="3" t="s">
        <v>496</v>
      </c>
      <c r="B77" s="4" t="s">
        <v>87</v>
      </c>
      <c r="C77" s="4" t="s">
        <v>188</v>
      </c>
      <c r="D77" s="31" t="s">
        <v>497</v>
      </c>
      <c r="E77" s="4" t="s">
        <v>408</v>
      </c>
      <c r="F77" s="4" t="str">
        <f>PROPER(TRIM(Sales_data!F77))</f>
        <v>Kavya Nair</v>
      </c>
      <c r="G77" s="4" t="s">
        <v>80</v>
      </c>
      <c r="H77" s="69" t="s">
        <v>498</v>
      </c>
      <c r="I77" s="4" t="s">
        <v>48</v>
      </c>
      <c r="J77" s="4" t="str">
        <f>PROPER(Sales_data!J77)</f>
        <v>South</v>
      </c>
      <c r="K77" s="4" t="str">
        <f>PROPER(Sales_data!K77)</f>
        <v>Home Appliances</v>
      </c>
      <c r="L77" s="4" t="s">
        <v>193</v>
      </c>
      <c r="M77" s="66">
        <v>18</v>
      </c>
      <c r="N77" s="4">
        <v>700</v>
      </c>
      <c r="O77" s="4">
        <v>5</v>
      </c>
      <c r="P77" s="4">
        <v>11970</v>
      </c>
      <c r="Q77" s="4">
        <v>3</v>
      </c>
      <c r="R77" s="67" t="s">
        <v>83</v>
      </c>
      <c r="S77" s="4" t="s">
        <v>119</v>
      </c>
      <c r="T77" s="4" t="s">
        <v>93</v>
      </c>
      <c r="U77" s="6" t="s">
        <v>499</v>
      </c>
      <c r="V77" s="4" t="s">
        <v>73</v>
      </c>
      <c r="W77" s="4">
        <f t="shared" si="1"/>
        <v>3</v>
      </c>
    </row>
    <row r="78" spans="1:23">
      <c r="A78" s="7" t="s">
        <v>500</v>
      </c>
      <c r="B78" s="8" t="s">
        <v>225</v>
      </c>
      <c r="C78" s="8" t="s">
        <v>188</v>
      </c>
      <c r="D78" s="32" t="s">
        <v>501</v>
      </c>
      <c r="E78" s="8" t="s">
        <v>502</v>
      </c>
      <c r="F78" s="4" t="str">
        <f>PROPER(TRIM(Sales_data!F78))</f>
        <v>Arjun Rao</v>
      </c>
      <c r="G78" s="8" t="s">
        <v>80</v>
      </c>
      <c r="H78" s="70" t="s">
        <v>503</v>
      </c>
      <c r="I78" s="8" t="s">
        <v>63</v>
      </c>
      <c r="J78" s="4" t="str">
        <f>PROPER(Sales_data!J78)</f>
        <v>North</v>
      </c>
      <c r="K78" s="4" t="str">
        <f>PROPER(Sales_data!K78)</f>
        <v>Electronics</v>
      </c>
      <c r="L78" s="8" t="s">
        <v>193</v>
      </c>
      <c r="M78" s="66">
        <v>12</v>
      </c>
      <c r="N78" s="8">
        <v>700</v>
      </c>
      <c r="O78" s="8">
        <v>15</v>
      </c>
      <c r="P78" s="8">
        <v>7140</v>
      </c>
      <c r="Q78" s="8">
        <v>2</v>
      </c>
      <c r="R78" s="67" t="s">
        <v>92</v>
      </c>
      <c r="S78" s="8" t="s">
        <v>53</v>
      </c>
      <c r="T78" s="8" t="s">
        <v>232</v>
      </c>
      <c r="U78" s="9" t="s">
        <v>504</v>
      </c>
      <c r="V78" s="8" t="s">
        <v>42</v>
      </c>
      <c r="W78" s="4">
        <f t="shared" si="1"/>
        <v>6</v>
      </c>
    </row>
    <row r="79" spans="1:23">
      <c r="A79" s="3" t="s">
        <v>505</v>
      </c>
      <c r="B79" s="4" t="s">
        <v>75</v>
      </c>
      <c r="C79" s="4" t="s">
        <v>76</v>
      </c>
      <c r="D79" s="31" t="s">
        <v>506</v>
      </c>
      <c r="E79" s="4" t="s">
        <v>507</v>
      </c>
      <c r="F79" s="4" t="str">
        <f>PROPER(TRIM(Sales_data!F79))</f>
        <v>Vikas Mehta</v>
      </c>
      <c r="G79" s="4" t="s">
        <v>80</v>
      </c>
      <c r="H79" s="69" t="s">
        <v>508</v>
      </c>
      <c r="I79" s="4" t="s">
        <v>109</v>
      </c>
      <c r="J79" s="4" t="str">
        <f>PROPER(Sales_data!J79)</f>
        <v>South</v>
      </c>
      <c r="K79" s="4" t="str">
        <f>PROPER(Sales_data!K79)</f>
        <v>Electronics</v>
      </c>
      <c r="L79" s="4" t="s">
        <v>82</v>
      </c>
      <c r="M79" s="66">
        <v>8</v>
      </c>
      <c r="N79" s="4">
        <v>1200</v>
      </c>
      <c r="O79" s="4">
        <v>0</v>
      </c>
      <c r="P79" s="4">
        <v>9600</v>
      </c>
      <c r="Q79" s="4">
        <v>4</v>
      </c>
      <c r="R79" s="67" t="s">
        <v>83</v>
      </c>
      <c r="S79" s="4" t="s">
        <v>53</v>
      </c>
      <c r="T79" s="4" t="s">
        <v>84</v>
      </c>
      <c r="U79" s="6" t="s">
        <v>509</v>
      </c>
      <c r="V79" s="4" t="s">
        <v>68</v>
      </c>
      <c r="W79" s="4">
        <f t="shared" si="1"/>
        <v>11</v>
      </c>
    </row>
    <row r="80" spans="1:23">
      <c r="A80" s="7" t="s">
        <v>510</v>
      </c>
      <c r="B80" s="8" t="s">
        <v>131</v>
      </c>
      <c r="C80" s="8" t="s">
        <v>122</v>
      </c>
      <c r="D80" s="32" t="s">
        <v>511</v>
      </c>
      <c r="E80" s="8" t="s">
        <v>512</v>
      </c>
      <c r="F80" s="4" t="str">
        <f>PROPER(TRIM(Sales_data!F80))</f>
        <v>Mohit Verma</v>
      </c>
      <c r="G80" s="8" t="s">
        <v>80</v>
      </c>
      <c r="H80" s="70" t="s">
        <v>513</v>
      </c>
      <c r="I80" s="8" t="s">
        <v>118</v>
      </c>
      <c r="J80" s="4" t="str">
        <f>PROPER(Sales_data!J80)</f>
        <v>West</v>
      </c>
      <c r="K80" s="4" t="str">
        <f>PROPER(Sales_data!K80)</f>
        <v>Electronics</v>
      </c>
      <c r="L80" s="8" t="s">
        <v>127</v>
      </c>
      <c r="M80" s="66">
        <v>2</v>
      </c>
      <c r="N80" s="8">
        <v>60</v>
      </c>
      <c r="O80" s="8">
        <v>0</v>
      </c>
      <c r="P80" s="8">
        <v>120</v>
      </c>
      <c r="Q80" s="8">
        <v>2</v>
      </c>
      <c r="R80" s="67" t="s">
        <v>92</v>
      </c>
      <c r="S80" s="8" t="s">
        <v>53</v>
      </c>
      <c r="T80" s="8" t="s">
        <v>136</v>
      </c>
      <c r="U80" s="9" t="s">
        <v>514</v>
      </c>
      <c r="V80" s="8" t="s">
        <v>42</v>
      </c>
      <c r="W80" s="4">
        <f t="shared" si="1"/>
        <v>11</v>
      </c>
    </row>
    <row r="81" spans="1:23">
      <c r="A81" s="3" t="s">
        <v>515</v>
      </c>
      <c r="B81" s="4" t="s">
        <v>331</v>
      </c>
      <c r="C81" s="4" t="s">
        <v>263</v>
      </c>
      <c r="D81" s="31" t="s">
        <v>516</v>
      </c>
      <c r="E81" s="4" t="s">
        <v>517</v>
      </c>
      <c r="F81" s="4" t="str">
        <f>PROPER(TRIM(Sales_data!F81))</f>
        <v>Rohit Singh</v>
      </c>
      <c r="G81" s="4" t="s">
        <v>80</v>
      </c>
      <c r="H81" s="69" t="s">
        <v>518</v>
      </c>
      <c r="I81" s="4" t="s">
        <v>118</v>
      </c>
      <c r="J81" s="4" t="str">
        <f>PROPER(Sales_data!J81)</f>
        <v>West</v>
      </c>
      <c r="K81" s="4" t="str">
        <f>PROPER(Sales_data!K81)</f>
        <v>Stationery</v>
      </c>
      <c r="L81" s="4" t="s">
        <v>267</v>
      </c>
      <c r="M81" s="66">
        <v>10</v>
      </c>
      <c r="N81" s="4">
        <v>45</v>
      </c>
      <c r="O81" s="4">
        <v>15</v>
      </c>
      <c r="P81" s="4">
        <v>382.5</v>
      </c>
      <c r="Q81" s="4">
        <v>3</v>
      </c>
      <c r="R81" s="67" t="s">
        <v>52</v>
      </c>
      <c r="S81" s="4" t="s">
        <v>39</v>
      </c>
      <c r="T81" s="4" t="s">
        <v>336</v>
      </c>
      <c r="U81" s="6" t="s">
        <v>519</v>
      </c>
      <c r="V81" s="4" t="s">
        <v>73</v>
      </c>
      <c r="W81" s="4">
        <f t="shared" si="1"/>
        <v>1</v>
      </c>
    </row>
    <row r="82" spans="1:23">
      <c r="A82" s="7" t="s">
        <v>520</v>
      </c>
      <c r="B82" s="8" t="s">
        <v>225</v>
      </c>
      <c r="C82" s="8" t="s">
        <v>96</v>
      </c>
      <c r="D82" s="32" t="s">
        <v>521</v>
      </c>
      <c r="E82" s="8" t="s">
        <v>522</v>
      </c>
      <c r="F82" s="4" t="str">
        <f>PROPER(TRIM(Sales_data!F82))</f>
        <v>Amit Sharma</v>
      </c>
      <c r="G82" s="8" t="s">
        <v>80</v>
      </c>
      <c r="H82" s="70" t="s">
        <v>523</v>
      </c>
      <c r="I82" s="8" t="s">
        <v>298</v>
      </c>
      <c r="J82" s="4" t="str">
        <f>PROPER(Sales_data!J82)</f>
        <v>West</v>
      </c>
      <c r="K82" s="4" t="str">
        <f>PROPER(Sales_data!K82)</f>
        <v>Stationery</v>
      </c>
      <c r="L82" s="8" t="s">
        <v>101</v>
      </c>
      <c r="M82" s="66">
        <v>12</v>
      </c>
      <c r="N82" s="8">
        <v>3500</v>
      </c>
      <c r="O82" s="8">
        <v>5</v>
      </c>
      <c r="P82" s="8">
        <v>39900</v>
      </c>
      <c r="Q82" s="8">
        <v>3</v>
      </c>
      <c r="R82" s="67" t="s">
        <v>52</v>
      </c>
      <c r="S82" s="8" t="s">
        <v>65</v>
      </c>
      <c r="T82" s="8" t="s">
        <v>232</v>
      </c>
      <c r="U82" s="9" t="s">
        <v>524</v>
      </c>
      <c r="V82" s="8" t="s">
        <v>68</v>
      </c>
      <c r="W82" s="4">
        <f t="shared" si="1"/>
        <v>4</v>
      </c>
    </row>
    <row r="83" spans="1:23">
      <c r="A83" s="3" t="s">
        <v>525</v>
      </c>
      <c r="B83" s="4" t="s">
        <v>131</v>
      </c>
      <c r="C83" s="4" t="s">
        <v>122</v>
      </c>
      <c r="D83" s="31" t="s">
        <v>132</v>
      </c>
      <c r="E83" s="4" t="s">
        <v>77</v>
      </c>
      <c r="F83" s="4" t="str">
        <f>PROPER(TRIM(Sales_data!F83))</f>
        <v>Vikas Mehta</v>
      </c>
      <c r="G83" s="4" t="s">
        <v>80</v>
      </c>
      <c r="H83" s="69" t="s">
        <v>526</v>
      </c>
      <c r="I83" s="4" t="s">
        <v>109</v>
      </c>
      <c r="J83" s="4" t="str">
        <f>PROPER(Sales_data!J83)</f>
        <v>East</v>
      </c>
      <c r="K83" s="4" t="str">
        <f>PROPER(Sales_data!K83)</f>
        <v>Home Appliances</v>
      </c>
      <c r="L83" s="4" t="s">
        <v>127</v>
      </c>
      <c r="M83" s="66">
        <v>2</v>
      </c>
      <c r="N83" s="4">
        <v>60</v>
      </c>
      <c r="O83" s="4">
        <v>15</v>
      </c>
      <c r="P83" s="4">
        <v>102</v>
      </c>
      <c r="Q83" s="4">
        <v>1</v>
      </c>
      <c r="R83" s="67" t="s">
        <v>92</v>
      </c>
      <c r="S83" s="4" t="s">
        <v>119</v>
      </c>
      <c r="T83" s="4" t="s">
        <v>136</v>
      </c>
      <c r="U83" s="6" t="s">
        <v>527</v>
      </c>
      <c r="V83" s="4" t="s">
        <v>42</v>
      </c>
      <c r="W83" s="4">
        <f t="shared" si="1"/>
        <v>9</v>
      </c>
    </row>
    <row r="84" spans="1:23">
      <c r="A84" s="7" t="s">
        <v>528</v>
      </c>
      <c r="B84" s="8" t="s">
        <v>131</v>
      </c>
      <c r="C84" s="8" t="s">
        <v>76</v>
      </c>
      <c r="D84" s="32" t="s">
        <v>529</v>
      </c>
      <c r="E84" s="8" t="s">
        <v>530</v>
      </c>
      <c r="F84" s="4" t="str">
        <f>PROPER(TRIM(Sales_data!F84))</f>
        <v>Rohit Singh</v>
      </c>
      <c r="G84" s="8" t="s">
        <v>80</v>
      </c>
      <c r="H84" s="70" t="s">
        <v>531</v>
      </c>
      <c r="I84" s="8" t="s">
        <v>34</v>
      </c>
      <c r="J84" s="4" t="str">
        <f>PROPER(Sales_data!J84)</f>
        <v>West</v>
      </c>
      <c r="K84" s="4" t="str">
        <f>PROPER(Sales_data!K84)</f>
        <v>Stationery</v>
      </c>
      <c r="L84" s="8" t="s">
        <v>82</v>
      </c>
      <c r="M84" s="66">
        <v>18</v>
      </c>
      <c r="N84" s="8">
        <v>1200</v>
      </c>
      <c r="O84" s="8">
        <v>15</v>
      </c>
      <c r="P84" s="8">
        <v>18360</v>
      </c>
      <c r="Q84" s="8">
        <v>3</v>
      </c>
      <c r="R84" s="67" t="s">
        <v>83</v>
      </c>
      <c r="S84" s="8" t="s">
        <v>119</v>
      </c>
      <c r="T84" s="8" t="s">
        <v>136</v>
      </c>
      <c r="U84" s="9" t="s">
        <v>532</v>
      </c>
      <c r="V84" s="8" t="s">
        <v>68</v>
      </c>
      <c r="W84" s="4">
        <f t="shared" si="1"/>
        <v>3</v>
      </c>
    </row>
    <row r="85" spans="1:23">
      <c r="A85" s="3" t="s">
        <v>533</v>
      </c>
      <c r="B85" s="4" t="s">
        <v>27</v>
      </c>
      <c r="C85" s="4" t="s">
        <v>44</v>
      </c>
      <c r="D85" s="31" t="s">
        <v>534</v>
      </c>
      <c r="E85" s="4" t="s">
        <v>535</v>
      </c>
      <c r="F85" s="4" t="str">
        <f>PROPER(TRIM(Sales_data!F85))</f>
        <v>Rohit Singh</v>
      </c>
      <c r="G85" s="4" t="s">
        <v>32</v>
      </c>
      <c r="H85" s="69" t="s">
        <v>536</v>
      </c>
      <c r="I85" s="4" t="s">
        <v>109</v>
      </c>
      <c r="J85" s="4" t="str">
        <f>PROPER(Sales_data!J85)</f>
        <v>South</v>
      </c>
      <c r="K85" s="4" t="str">
        <f>PROPER(Sales_data!K85)</f>
        <v>Electronics</v>
      </c>
      <c r="L85" s="4" t="s">
        <v>51</v>
      </c>
      <c r="M85" s="66">
        <v>18</v>
      </c>
      <c r="N85" s="4">
        <v>12000</v>
      </c>
      <c r="O85" s="4">
        <v>15</v>
      </c>
      <c r="P85" s="4">
        <v>183600</v>
      </c>
      <c r="Q85" s="4">
        <v>2</v>
      </c>
      <c r="R85" s="67" t="s">
        <v>38</v>
      </c>
      <c r="S85" s="4" t="s">
        <v>53</v>
      </c>
      <c r="T85" s="4" t="s">
        <v>54</v>
      </c>
      <c r="U85" s="6" t="s">
        <v>537</v>
      </c>
      <c r="V85" s="4" t="s">
        <v>42</v>
      </c>
      <c r="W85" s="4">
        <f t="shared" si="1"/>
        <v>10</v>
      </c>
    </row>
    <row r="86" spans="1:23">
      <c r="A86" s="7" t="s">
        <v>538</v>
      </c>
      <c r="B86" s="8" t="s">
        <v>87</v>
      </c>
      <c r="C86" s="8" t="s">
        <v>226</v>
      </c>
      <c r="D86" s="32" t="s">
        <v>535</v>
      </c>
      <c r="E86" s="8" t="s">
        <v>539</v>
      </c>
      <c r="F86" s="4" t="str">
        <f>PROPER(TRIM(Sales_data!F86))</f>
        <v>Kavya Nair</v>
      </c>
      <c r="G86" s="8" t="s">
        <v>80</v>
      </c>
      <c r="H86" s="70" t="s">
        <v>540</v>
      </c>
      <c r="I86" s="8" t="s">
        <v>142</v>
      </c>
      <c r="J86" s="4" t="str">
        <f>PROPER(Sales_data!J86)</f>
        <v>West</v>
      </c>
      <c r="K86" s="4" t="str">
        <f>PROPER(Sales_data!K86)</f>
        <v>Electronics</v>
      </c>
      <c r="L86" s="8" t="s">
        <v>231</v>
      </c>
      <c r="M86" s="66">
        <v>7</v>
      </c>
      <c r="N86" s="8">
        <v>20</v>
      </c>
      <c r="O86" s="8">
        <v>0</v>
      </c>
      <c r="P86" s="8">
        <v>140</v>
      </c>
      <c r="Q86" s="8">
        <v>2</v>
      </c>
      <c r="R86" s="67" t="s">
        <v>83</v>
      </c>
      <c r="S86" s="8" t="s">
        <v>39</v>
      </c>
      <c r="T86" s="8" t="s">
        <v>93</v>
      </c>
      <c r="U86" s="9" t="s">
        <v>541</v>
      </c>
      <c r="V86" s="8" t="s">
        <v>73</v>
      </c>
      <c r="W86" s="4">
        <f t="shared" si="1"/>
        <v>10</v>
      </c>
    </row>
    <row r="87" spans="1:23">
      <c r="A87" s="3" t="s">
        <v>542</v>
      </c>
      <c r="B87" s="4" t="s">
        <v>255</v>
      </c>
      <c r="C87" s="4" t="s">
        <v>96</v>
      </c>
      <c r="D87" s="31" t="s">
        <v>463</v>
      </c>
      <c r="E87" s="4" t="s">
        <v>543</v>
      </c>
      <c r="F87" s="4" t="str">
        <f>PROPER(TRIM(Sales_data!F87))</f>
        <v>Arjun Rao</v>
      </c>
      <c r="G87" s="4" t="s">
        <v>32</v>
      </c>
      <c r="H87" s="69" t="s">
        <v>544</v>
      </c>
      <c r="I87" s="4" t="s">
        <v>118</v>
      </c>
      <c r="J87" s="4" t="str">
        <f>PROPER(Sales_data!J87)</f>
        <v>West</v>
      </c>
      <c r="K87" s="4" t="str">
        <f>PROPER(Sales_data!K87)</f>
        <v>Stationery</v>
      </c>
      <c r="L87" s="4" t="s">
        <v>101</v>
      </c>
      <c r="M87" s="66">
        <v>20</v>
      </c>
      <c r="N87" s="4">
        <v>3500</v>
      </c>
      <c r="O87" s="4">
        <v>20</v>
      </c>
      <c r="P87" s="4">
        <v>56000</v>
      </c>
      <c r="Q87" s="4">
        <v>4</v>
      </c>
      <c r="R87" s="67" t="s">
        <v>83</v>
      </c>
      <c r="S87" s="4" t="s">
        <v>119</v>
      </c>
      <c r="T87" s="4" t="s">
        <v>260</v>
      </c>
      <c r="U87" s="6" t="s">
        <v>545</v>
      </c>
      <c r="V87" s="4" t="s">
        <v>68</v>
      </c>
      <c r="W87" s="4">
        <f t="shared" si="1"/>
        <v>4</v>
      </c>
    </row>
    <row r="88" spans="1:23">
      <c r="A88" s="7" t="s">
        <v>546</v>
      </c>
      <c r="B88" s="8" t="s">
        <v>104</v>
      </c>
      <c r="C88" s="8" t="s">
        <v>173</v>
      </c>
      <c r="D88" s="32" t="s">
        <v>547</v>
      </c>
      <c r="E88" s="8" t="s">
        <v>548</v>
      </c>
      <c r="F88" s="4" t="str">
        <f>PROPER(TRIM(Sales_data!F88))</f>
        <v>Sneha Joshi</v>
      </c>
      <c r="G88" s="8" t="s">
        <v>32</v>
      </c>
      <c r="H88" s="70" t="s">
        <v>549</v>
      </c>
      <c r="I88" s="8" t="s">
        <v>142</v>
      </c>
      <c r="J88" s="4" t="str">
        <f>PROPER(Sales_data!J88)</f>
        <v>West</v>
      </c>
      <c r="K88" s="4" t="str">
        <f>PROPER(Sales_data!K88)</f>
        <v>Home Appliances</v>
      </c>
      <c r="L88" s="8" t="s">
        <v>178</v>
      </c>
      <c r="M88" s="66">
        <v>8</v>
      </c>
      <c r="N88" s="8">
        <v>8500</v>
      </c>
      <c r="O88" s="8">
        <v>20</v>
      </c>
      <c r="P88" s="8">
        <v>54400</v>
      </c>
      <c r="Q88" s="8">
        <v>3</v>
      </c>
      <c r="R88" s="67" t="s">
        <v>83</v>
      </c>
      <c r="S88" s="8" t="s">
        <v>119</v>
      </c>
      <c r="T88" s="8" t="s">
        <v>148</v>
      </c>
      <c r="U88" s="9" t="s">
        <v>550</v>
      </c>
      <c r="V88" s="8" t="s">
        <v>68</v>
      </c>
      <c r="W88" s="4">
        <f t="shared" si="1"/>
        <v>3</v>
      </c>
    </row>
    <row r="89" spans="1:23">
      <c r="A89" s="3" t="s">
        <v>551</v>
      </c>
      <c r="B89" s="4" t="s">
        <v>331</v>
      </c>
      <c r="C89" s="4" t="s">
        <v>44</v>
      </c>
      <c r="D89" s="31" t="s">
        <v>552</v>
      </c>
      <c r="E89" s="4" t="s">
        <v>553</v>
      </c>
      <c r="F89" s="4" t="str">
        <f>PROPER(TRIM(Sales_data!F89))</f>
        <v>Priya Patel</v>
      </c>
      <c r="G89" s="4" t="s">
        <v>80</v>
      </c>
      <c r="H89" s="69" t="s">
        <v>554</v>
      </c>
      <c r="I89" s="4" t="s">
        <v>142</v>
      </c>
      <c r="J89" s="4" t="str">
        <f>PROPER(Sales_data!J89)</f>
        <v>West</v>
      </c>
      <c r="K89" s="4" t="str">
        <f>PROPER(Sales_data!K89)</f>
        <v>Home Appliances</v>
      </c>
      <c r="L89" s="4" t="s">
        <v>51</v>
      </c>
      <c r="M89" s="66">
        <v>6</v>
      </c>
      <c r="N89" s="4">
        <v>12000</v>
      </c>
      <c r="O89" s="4">
        <v>5</v>
      </c>
      <c r="P89" s="4">
        <v>68400</v>
      </c>
      <c r="Q89" s="4">
        <v>4</v>
      </c>
      <c r="R89" s="67" t="s">
        <v>52</v>
      </c>
      <c r="S89" s="4" t="s">
        <v>39</v>
      </c>
      <c r="T89" s="4" t="s">
        <v>336</v>
      </c>
      <c r="U89" s="6" t="s">
        <v>556</v>
      </c>
      <c r="V89" s="4" t="s">
        <v>42</v>
      </c>
      <c r="W89" s="4">
        <f t="shared" si="1"/>
        <v>9</v>
      </c>
    </row>
    <row r="90" spans="1:23">
      <c r="A90" s="7" t="s">
        <v>557</v>
      </c>
      <c r="B90" s="8" t="s">
        <v>27</v>
      </c>
      <c r="C90" s="8" t="s">
        <v>173</v>
      </c>
      <c r="D90" s="32" t="s">
        <v>558</v>
      </c>
      <c r="E90" s="8" t="s">
        <v>408</v>
      </c>
      <c r="F90" s="4" t="str">
        <f>PROPER(TRIM(Sales_data!F90))</f>
        <v>Amit Sharma</v>
      </c>
      <c r="G90" s="8" t="s">
        <v>32</v>
      </c>
      <c r="H90" s="70" t="s">
        <v>559</v>
      </c>
      <c r="I90" s="8" t="s">
        <v>118</v>
      </c>
      <c r="J90" s="4" t="str">
        <f>PROPER(Sales_data!J90)</f>
        <v>North</v>
      </c>
      <c r="K90" s="4" t="str">
        <f>PROPER(Sales_data!K90)</f>
        <v>Electronics</v>
      </c>
      <c r="L90" s="8" t="s">
        <v>178</v>
      </c>
      <c r="M90" s="66">
        <v>15</v>
      </c>
      <c r="N90" s="8">
        <v>8500</v>
      </c>
      <c r="O90" s="8">
        <v>0</v>
      </c>
      <c r="P90" s="8">
        <v>127500</v>
      </c>
      <c r="Q90" s="8">
        <v>4</v>
      </c>
      <c r="R90" s="67" t="s">
        <v>52</v>
      </c>
      <c r="S90" s="8" t="s">
        <v>39</v>
      </c>
      <c r="T90" s="8" t="s">
        <v>54</v>
      </c>
      <c r="U90" s="9" t="s">
        <v>560</v>
      </c>
      <c r="V90" s="8" t="s">
        <v>73</v>
      </c>
      <c r="W90" s="4">
        <f t="shared" si="1"/>
        <v>3</v>
      </c>
    </row>
    <row r="91" spans="1:23">
      <c r="A91" s="3" t="s">
        <v>561</v>
      </c>
      <c r="B91" s="4" t="s">
        <v>57</v>
      </c>
      <c r="C91" s="4" t="s">
        <v>76</v>
      </c>
      <c r="D91" s="31" t="s">
        <v>562</v>
      </c>
      <c r="E91" s="4" t="s">
        <v>381</v>
      </c>
      <c r="F91" s="4" t="str">
        <f>PROPER(TRIM(Sales_data!F91))</f>
        <v>Kavya Nair</v>
      </c>
      <c r="G91" s="4" t="s">
        <v>32</v>
      </c>
      <c r="H91" s="69" t="s">
        <v>563</v>
      </c>
      <c r="I91" s="4" t="s">
        <v>216</v>
      </c>
      <c r="J91" s="4" t="str">
        <f>PROPER(Sales_data!J91)</f>
        <v>West</v>
      </c>
      <c r="K91" s="4" t="str">
        <f>PROPER(Sales_data!K91)</f>
        <v>Home Appliances</v>
      </c>
      <c r="L91" s="4" t="s">
        <v>82</v>
      </c>
      <c r="M91" s="66">
        <v>5</v>
      </c>
      <c r="N91" s="4">
        <v>1200</v>
      </c>
      <c r="O91" s="4">
        <v>15</v>
      </c>
      <c r="P91" s="4">
        <v>5100</v>
      </c>
      <c r="Q91" s="4">
        <v>1</v>
      </c>
      <c r="R91" s="67" t="s">
        <v>52</v>
      </c>
      <c r="S91" s="4" t="s">
        <v>39</v>
      </c>
      <c r="T91" s="4" t="s">
        <v>66</v>
      </c>
      <c r="U91" s="6" t="s">
        <v>564</v>
      </c>
      <c r="V91" s="4" t="s">
        <v>73</v>
      </c>
      <c r="W91" s="4">
        <f t="shared" si="1"/>
        <v>8</v>
      </c>
    </row>
    <row r="92" spans="1:23">
      <c r="A92" s="7" t="s">
        <v>565</v>
      </c>
      <c r="B92" s="8" t="s">
        <v>57</v>
      </c>
      <c r="C92" s="8" t="s">
        <v>226</v>
      </c>
      <c r="D92" s="32" t="s">
        <v>566</v>
      </c>
      <c r="E92" s="8" t="s">
        <v>567</v>
      </c>
      <c r="F92" s="4" t="str">
        <f>PROPER(TRIM(Sales_data!F92))</f>
        <v>Pooja Shah</v>
      </c>
      <c r="G92" s="8" t="s">
        <v>32</v>
      </c>
      <c r="H92" s="70" t="s">
        <v>568</v>
      </c>
      <c r="I92" s="8" t="s">
        <v>34</v>
      </c>
      <c r="J92" s="4" t="str">
        <f>PROPER(Sales_data!J92)</f>
        <v>North</v>
      </c>
      <c r="K92" s="4" t="str">
        <f>PROPER(Sales_data!K92)</f>
        <v>Electronics</v>
      </c>
      <c r="L92" s="8" t="s">
        <v>231</v>
      </c>
      <c r="M92" s="66">
        <v>4</v>
      </c>
      <c r="N92" s="8">
        <v>20</v>
      </c>
      <c r="O92" s="8">
        <v>0</v>
      </c>
      <c r="P92" s="8">
        <v>80</v>
      </c>
      <c r="Q92" s="8">
        <v>4</v>
      </c>
      <c r="R92" s="67" t="s">
        <v>52</v>
      </c>
      <c r="S92" s="8" t="s">
        <v>53</v>
      </c>
      <c r="T92" s="8" t="s">
        <v>66</v>
      </c>
      <c r="U92" s="9" t="s">
        <v>569</v>
      </c>
      <c r="V92" s="8" t="s">
        <v>42</v>
      </c>
      <c r="W92" s="4">
        <f t="shared" si="1"/>
        <v>8</v>
      </c>
    </row>
    <row r="93" spans="1:23">
      <c r="A93" s="3" t="s">
        <v>570</v>
      </c>
      <c r="B93" s="4" t="s">
        <v>27</v>
      </c>
      <c r="C93" s="4" t="s">
        <v>226</v>
      </c>
      <c r="D93" s="31" t="s">
        <v>571</v>
      </c>
      <c r="E93" s="4" t="s">
        <v>572</v>
      </c>
      <c r="F93" s="4" t="str">
        <f>PROPER(TRIM(Sales_data!F93))</f>
        <v>Pooja Shah</v>
      </c>
      <c r="G93" s="4" t="s">
        <v>32</v>
      </c>
      <c r="H93" s="69" t="s">
        <v>573</v>
      </c>
      <c r="I93" s="4" t="s">
        <v>63</v>
      </c>
      <c r="J93" s="4" t="str">
        <f>PROPER(Sales_data!J93)</f>
        <v>South</v>
      </c>
      <c r="K93" s="4" t="str">
        <f>PROPER(Sales_data!K93)</f>
        <v>Stationery</v>
      </c>
      <c r="L93" s="4" t="s">
        <v>231</v>
      </c>
      <c r="M93" s="66">
        <v>10</v>
      </c>
      <c r="N93" s="4">
        <v>20</v>
      </c>
      <c r="O93" s="4">
        <v>0</v>
      </c>
      <c r="P93" s="4">
        <v>200</v>
      </c>
      <c r="Q93" s="4">
        <v>3</v>
      </c>
      <c r="R93" s="67" t="s">
        <v>38</v>
      </c>
      <c r="S93" s="4" t="s">
        <v>155</v>
      </c>
      <c r="T93" s="4" t="s">
        <v>54</v>
      </c>
      <c r="U93" s="6" t="s">
        <v>574</v>
      </c>
      <c r="V93" s="4" t="s">
        <v>68</v>
      </c>
      <c r="W93" s="4">
        <f t="shared" si="1"/>
        <v>3</v>
      </c>
    </row>
    <row r="94" spans="1:23">
      <c r="A94" s="7" t="s">
        <v>575</v>
      </c>
      <c r="B94" s="8" t="s">
        <v>172</v>
      </c>
      <c r="C94" s="8" t="s">
        <v>28</v>
      </c>
      <c r="D94" s="32" t="s">
        <v>576</v>
      </c>
      <c r="E94" s="8" t="s">
        <v>577</v>
      </c>
      <c r="F94" s="4" t="str">
        <f>PROPER(TRIM(Sales_data!F94))</f>
        <v>Kavya Nair</v>
      </c>
      <c r="G94" s="8" t="s">
        <v>32</v>
      </c>
      <c r="H94" s="70" t="s">
        <v>578</v>
      </c>
      <c r="I94" s="8" t="s">
        <v>48</v>
      </c>
      <c r="J94" s="4" t="str">
        <f>PROPER(Sales_data!J94)</f>
        <v>South</v>
      </c>
      <c r="K94" s="4" t="str">
        <f>PROPER(Sales_data!K94)</f>
        <v>Stationery</v>
      </c>
      <c r="L94" s="8" t="s">
        <v>37</v>
      </c>
      <c r="M94" s="66">
        <v>18</v>
      </c>
      <c r="N94" s="8">
        <v>2200</v>
      </c>
      <c r="O94" s="8">
        <v>10</v>
      </c>
      <c r="P94" s="8">
        <v>35640</v>
      </c>
      <c r="Q94" s="8">
        <v>3</v>
      </c>
      <c r="R94" s="67" t="s">
        <v>38</v>
      </c>
      <c r="S94" s="8" t="s">
        <v>39</v>
      </c>
      <c r="T94" s="8" t="s">
        <v>179</v>
      </c>
      <c r="U94" s="9" t="s">
        <v>579</v>
      </c>
      <c r="V94" s="8" t="s">
        <v>73</v>
      </c>
      <c r="W94" s="4">
        <f t="shared" si="1"/>
        <v>9</v>
      </c>
    </row>
    <row r="95" spans="1:23">
      <c r="A95" s="3" t="s">
        <v>580</v>
      </c>
      <c r="B95" s="4" t="s">
        <v>331</v>
      </c>
      <c r="C95" s="4" t="s">
        <v>96</v>
      </c>
      <c r="D95" s="31" t="s">
        <v>581</v>
      </c>
      <c r="E95" s="4" t="s">
        <v>582</v>
      </c>
      <c r="F95" s="4" t="str">
        <f>PROPER(TRIM(Sales_data!F95))</f>
        <v>Anita Gupta</v>
      </c>
      <c r="G95" s="4" t="s">
        <v>80</v>
      </c>
      <c r="H95" s="69" t="s">
        <v>583</v>
      </c>
      <c r="I95" s="4" t="s">
        <v>48</v>
      </c>
      <c r="J95" s="4" t="str">
        <f>PROPER(Sales_data!J95)</f>
        <v>North</v>
      </c>
      <c r="K95" s="4" t="str">
        <f>PROPER(Sales_data!K95)</f>
        <v>Home Appliances</v>
      </c>
      <c r="L95" s="4" t="s">
        <v>101</v>
      </c>
      <c r="M95" s="66">
        <v>7</v>
      </c>
      <c r="N95" s="4">
        <v>3500</v>
      </c>
      <c r="O95" s="4">
        <v>15</v>
      </c>
      <c r="P95" s="4">
        <v>20825</v>
      </c>
      <c r="Q95" s="4">
        <v>3</v>
      </c>
      <c r="R95" s="67" t="s">
        <v>52</v>
      </c>
      <c r="S95" s="4" t="s">
        <v>53</v>
      </c>
      <c r="T95" s="4" t="s">
        <v>336</v>
      </c>
      <c r="U95" s="6" t="s">
        <v>584</v>
      </c>
      <c r="V95" s="4" t="s">
        <v>42</v>
      </c>
      <c r="W95" s="4">
        <f t="shared" si="1"/>
        <v>4</v>
      </c>
    </row>
    <row r="96" spans="1:23">
      <c r="A96" s="7" t="s">
        <v>585</v>
      </c>
      <c r="B96" s="8" t="s">
        <v>104</v>
      </c>
      <c r="C96" s="8" t="s">
        <v>173</v>
      </c>
      <c r="D96" s="32" t="s">
        <v>586</v>
      </c>
      <c r="E96" s="8" t="s">
        <v>587</v>
      </c>
      <c r="F96" s="4" t="str">
        <f>PROPER(TRIM(Sales_data!F96))</f>
        <v>Amit Sharma</v>
      </c>
      <c r="G96" s="8" t="s">
        <v>32</v>
      </c>
      <c r="H96" s="70" t="s">
        <v>588</v>
      </c>
      <c r="I96" s="8" t="s">
        <v>298</v>
      </c>
      <c r="J96" s="4" t="str">
        <f>PROPER(Sales_data!J96)</f>
        <v>North</v>
      </c>
      <c r="K96" s="4" t="str">
        <f>PROPER(Sales_data!K96)</f>
        <v>Home Appliances</v>
      </c>
      <c r="L96" s="8" t="s">
        <v>178</v>
      </c>
      <c r="M96" s="66">
        <v>19</v>
      </c>
      <c r="N96" s="8">
        <v>8500</v>
      </c>
      <c r="O96" s="8">
        <v>15</v>
      </c>
      <c r="P96" s="8">
        <v>137275</v>
      </c>
      <c r="Q96" s="8">
        <v>4</v>
      </c>
      <c r="R96" s="67" t="s">
        <v>83</v>
      </c>
      <c r="S96" s="8" t="s">
        <v>155</v>
      </c>
      <c r="T96" s="8" t="s">
        <v>148</v>
      </c>
      <c r="U96" s="9" t="s">
        <v>589</v>
      </c>
      <c r="V96" s="8" t="s">
        <v>68</v>
      </c>
      <c r="W96" s="4">
        <f t="shared" si="1"/>
        <v>5</v>
      </c>
    </row>
    <row r="97" spans="1:23">
      <c r="A97" s="3" t="s">
        <v>590</v>
      </c>
      <c r="B97" s="4" t="s">
        <v>255</v>
      </c>
      <c r="C97" s="4" t="s">
        <v>44</v>
      </c>
      <c r="D97" s="31" t="s">
        <v>591</v>
      </c>
      <c r="E97" s="4" t="s">
        <v>592</v>
      </c>
      <c r="F97" s="4" t="str">
        <f>PROPER(TRIM(Sales_data!F97))</f>
        <v>Priya Patel</v>
      </c>
      <c r="G97" s="4" t="s">
        <v>32</v>
      </c>
      <c r="H97" s="69" t="s">
        <v>593</v>
      </c>
      <c r="I97" s="4" t="s">
        <v>142</v>
      </c>
      <c r="J97" s="4" t="str">
        <f>PROPER(Sales_data!J97)</f>
        <v>East</v>
      </c>
      <c r="K97" s="4" t="str">
        <f>PROPER(Sales_data!K97)</f>
        <v>Home Appliances</v>
      </c>
      <c r="L97" s="4" t="s">
        <v>51</v>
      </c>
      <c r="M97" s="66">
        <v>13</v>
      </c>
      <c r="N97" s="4">
        <v>12000</v>
      </c>
      <c r="O97" s="4">
        <v>15</v>
      </c>
      <c r="P97" s="4">
        <v>132600</v>
      </c>
      <c r="Q97" s="4">
        <v>4</v>
      </c>
      <c r="R97" s="67" t="s">
        <v>38</v>
      </c>
      <c r="S97" s="4" t="s">
        <v>53</v>
      </c>
      <c r="T97" s="4" t="s">
        <v>260</v>
      </c>
      <c r="U97" s="6" t="s">
        <v>594</v>
      </c>
      <c r="V97" s="4" t="s">
        <v>42</v>
      </c>
      <c r="W97" s="4">
        <f t="shared" si="1"/>
        <v>1</v>
      </c>
    </row>
    <row r="98" spans="1:23">
      <c r="A98" s="7" t="s">
        <v>595</v>
      </c>
      <c r="B98" s="8" t="s">
        <v>331</v>
      </c>
      <c r="C98" s="8" t="s">
        <v>226</v>
      </c>
      <c r="D98" s="32" t="s">
        <v>596</v>
      </c>
      <c r="E98" s="8" t="s">
        <v>402</v>
      </c>
      <c r="F98" s="4" t="str">
        <f>PROPER(TRIM(Sales_data!F98))</f>
        <v>Sneha Joshi</v>
      </c>
      <c r="G98" s="8" t="s">
        <v>80</v>
      </c>
      <c r="H98" s="70" t="s">
        <v>597</v>
      </c>
      <c r="I98" s="8" t="s">
        <v>118</v>
      </c>
      <c r="J98" s="4" t="str">
        <f>PROPER(Sales_data!J98)</f>
        <v>West</v>
      </c>
      <c r="K98" s="4" t="str">
        <f>PROPER(Sales_data!K98)</f>
        <v>Electronics</v>
      </c>
      <c r="L98" s="8" t="s">
        <v>231</v>
      </c>
      <c r="M98" s="66">
        <v>7</v>
      </c>
      <c r="N98" s="8">
        <v>20</v>
      </c>
      <c r="O98" s="8">
        <v>0</v>
      </c>
      <c r="P98" s="8">
        <v>140</v>
      </c>
      <c r="Q98" s="8">
        <v>1</v>
      </c>
      <c r="R98" s="67" t="s">
        <v>83</v>
      </c>
      <c r="S98" s="8" t="s">
        <v>155</v>
      </c>
      <c r="T98" s="8" t="s">
        <v>336</v>
      </c>
      <c r="U98" s="9" t="s">
        <v>598</v>
      </c>
      <c r="V98" s="8" t="s">
        <v>73</v>
      </c>
      <c r="W98" s="4">
        <f t="shared" si="1"/>
        <v>3</v>
      </c>
    </row>
    <row r="99" spans="1:23">
      <c r="A99" s="3" t="s">
        <v>599</v>
      </c>
      <c r="B99" s="4" t="s">
        <v>172</v>
      </c>
      <c r="C99" s="4" t="s">
        <v>188</v>
      </c>
      <c r="D99" s="31" t="s">
        <v>600</v>
      </c>
      <c r="E99" s="4" t="s">
        <v>601</v>
      </c>
      <c r="F99" s="4" t="str">
        <f>PROPER(TRIM(Sales_data!F99))</f>
        <v>Amit Sharma</v>
      </c>
      <c r="G99" s="4" t="s">
        <v>32</v>
      </c>
      <c r="H99" s="69" t="s">
        <v>602</v>
      </c>
      <c r="I99" s="4" t="s">
        <v>48</v>
      </c>
      <c r="J99" s="4" t="str">
        <f>PROPER(Sales_data!J99)</f>
        <v>West</v>
      </c>
      <c r="K99" s="4" t="str">
        <f>PROPER(Sales_data!K99)</f>
        <v>Stationery</v>
      </c>
      <c r="L99" s="4" t="s">
        <v>193</v>
      </c>
      <c r="M99" s="66">
        <v>5</v>
      </c>
      <c r="N99" s="4">
        <v>700</v>
      </c>
      <c r="O99" s="4">
        <v>15</v>
      </c>
      <c r="P99" s="4">
        <v>999999</v>
      </c>
      <c r="Q99" s="4">
        <v>4</v>
      </c>
      <c r="R99" s="67" t="s">
        <v>83</v>
      </c>
      <c r="S99" s="4" t="s">
        <v>39</v>
      </c>
      <c r="T99" s="4" t="s">
        <v>179</v>
      </c>
      <c r="U99" s="6" t="s">
        <v>603</v>
      </c>
      <c r="V99" s="4" t="s">
        <v>68</v>
      </c>
      <c r="W99" s="4">
        <f t="shared" si="1"/>
        <v>5</v>
      </c>
    </row>
    <row r="100" spans="1:23">
      <c r="A100" s="7" t="s">
        <v>604</v>
      </c>
      <c r="B100" s="8" t="s">
        <v>87</v>
      </c>
      <c r="C100" s="8" t="s">
        <v>263</v>
      </c>
      <c r="D100" s="32" t="s">
        <v>587</v>
      </c>
      <c r="E100" s="8" t="s">
        <v>605</v>
      </c>
      <c r="F100" s="4" t="str">
        <f>PROPER(TRIM(Sales_data!F100))</f>
        <v>Anita Gupta</v>
      </c>
      <c r="G100" s="8" t="s">
        <v>80</v>
      </c>
      <c r="H100" s="70" t="s">
        <v>606</v>
      </c>
      <c r="I100" s="8" t="s">
        <v>63</v>
      </c>
      <c r="J100" s="4" t="str">
        <f>PROPER(Sales_data!J100)</f>
        <v>North</v>
      </c>
      <c r="K100" s="4" t="str">
        <f>PROPER(Sales_data!K100)</f>
        <v>Electronics</v>
      </c>
      <c r="L100" s="8" t="s">
        <v>267</v>
      </c>
      <c r="M100" s="66">
        <v>9</v>
      </c>
      <c r="N100" s="8">
        <v>45</v>
      </c>
      <c r="O100" s="8">
        <v>5</v>
      </c>
      <c r="P100" s="8">
        <v>384.75</v>
      </c>
      <c r="Q100" s="8">
        <v>3</v>
      </c>
      <c r="R100" s="67" t="s">
        <v>38</v>
      </c>
      <c r="S100" s="8" t="s">
        <v>39</v>
      </c>
      <c r="T100" s="8" t="s">
        <v>93</v>
      </c>
      <c r="U100" s="9" t="s">
        <v>607</v>
      </c>
      <c r="V100" s="8" t="s">
        <v>42</v>
      </c>
      <c r="W100" s="4">
        <f t="shared" si="1"/>
        <v>5</v>
      </c>
    </row>
    <row r="101" spans="1:23">
      <c r="A101" s="3" t="s">
        <v>608</v>
      </c>
      <c r="B101" s="4" t="s">
        <v>131</v>
      </c>
      <c r="C101" s="4" t="s">
        <v>122</v>
      </c>
      <c r="D101" s="31" t="s">
        <v>609</v>
      </c>
      <c r="E101" s="4" t="s">
        <v>610</v>
      </c>
      <c r="F101" s="4" t="str">
        <f>PROPER(TRIM(Sales_data!F101))</f>
        <v>Arjun Rao</v>
      </c>
      <c r="G101" s="4" t="s">
        <v>80</v>
      </c>
      <c r="H101" s="69" t="s">
        <v>611</v>
      </c>
      <c r="I101" s="4" t="s">
        <v>298</v>
      </c>
      <c r="J101" s="4" t="str">
        <f>PROPER(Sales_data!J101)</f>
        <v>South</v>
      </c>
      <c r="K101" s="4" t="str">
        <f>PROPER(Sales_data!K101)</f>
        <v>Stationery</v>
      </c>
      <c r="L101" s="4" t="s">
        <v>127</v>
      </c>
      <c r="M101" s="66">
        <v>19</v>
      </c>
      <c r="N101" s="4">
        <v>60</v>
      </c>
      <c r="O101" s="4">
        <v>10</v>
      </c>
      <c r="P101" s="4">
        <v>1026</v>
      </c>
      <c r="Q101" s="4">
        <v>5</v>
      </c>
      <c r="R101" s="67" t="s">
        <v>52</v>
      </c>
      <c r="S101" s="4" t="s">
        <v>119</v>
      </c>
      <c r="T101" s="4" t="s">
        <v>136</v>
      </c>
      <c r="U101" s="6" t="s">
        <v>612</v>
      </c>
      <c r="V101" s="4" t="s">
        <v>42</v>
      </c>
      <c r="W101" s="4">
        <f t="shared" si="1"/>
        <v>4</v>
      </c>
    </row>
    <row r="102" spans="1:23">
      <c r="A102" s="7" t="s">
        <v>613</v>
      </c>
      <c r="B102" s="8" t="s">
        <v>331</v>
      </c>
      <c r="C102" s="8" t="s">
        <v>188</v>
      </c>
      <c r="D102" s="32" t="s">
        <v>614</v>
      </c>
      <c r="E102" s="8" t="s">
        <v>615</v>
      </c>
      <c r="F102" s="4" t="str">
        <f>PROPER(TRIM(Sales_data!F102))</f>
        <v>Rohit Singh</v>
      </c>
      <c r="G102" s="8" t="s">
        <v>80</v>
      </c>
      <c r="H102" s="70" t="s">
        <v>616</v>
      </c>
      <c r="I102" s="8" t="s">
        <v>142</v>
      </c>
      <c r="J102" s="4" t="str">
        <f>PROPER(Sales_data!J102)</f>
        <v>East</v>
      </c>
      <c r="K102" s="4" t="str">
        <f>PROPER(Sales_data!K102)</f>
        <v>Stationery</v>
      </c>
      <c r="L102" s="8" t="s">
        <v>193</v>
      </c>
      <c r="M102" s="66">
        <v>4</v>
      </c>
      <c r="N102" s="8">
        <v>700</v>
      </c>
      <c r="O102" s="8">
        <v>5</v>
      </c>
      <c r="P102" s="8">
        <v>2660</v>
      </c>
      <c r="Q102" s="8">
        <v>3</v>
      </c>
      <c r="R102" s="67" t="s">
        <v>52</v>
      </c>
      <c r="S102" s="8" t="s">
        <v>65</v>
      </c>
      <c r="T102" s="8" t="s">
        <v>336</v>
      </c>
      <c r="U102" s="9" t="s">
        <v>617</v>
      </c>
      <c r="V102" s="8" t="s">
        <v>42</v>
      </c>
      <c r="W102" s="4">
        <f t="shared" si="1"/>
        <v>12</v>
      </c>
    </row>
    <row r="103" spans="1:23">
      <c r="A103" s="3" t="s">
        <v>618</v>
      </c>
      <c r="B103" s="4" t="s">
        <v>331</v>
      </c>
      <c r="C103" s="4" t="s">
        <v>96</v>
      </c>
      <c r="D103" s="31" t="s">
        <v>587</v>
      </c>
      <c r="E103" s="4" t="s">
        <v>619</v>
      </c>
      <c r="F103" s="4" t="str">
        <f>PROPER(TRIM(Sales_data!F103))</f>
        <v>Amit Sharma</v>
      </c>
      <c r="G103" s="4" t="s">
        <v>80</v>
      </c>
      <c r="H103" s="69" t="s">
        <v>620</v>
      </c>
      <c r="I103" s="4" t="s">
        <v>118</v>
      </c>
      <c r="J103" s="4" t="str">
        <f>PROPER(Sales_data!J103)</f>
        <v>West</v>
      </c>
      <c r="K103" s="4" t="str">
        <f>PROPER(Sales_data!K103)</f>
        <v>Electronics</v>
      </c>
      <c r="L103" s="4" t="s">
        <v>101</v>
      </c>
      <c r="M103" s="66">
        <v>16</v>
      </c>
      <c r="N103" s="4">
        <v>3500</v>
      </c>
      <c r="O103" s="4">
        <v>0</v>
      </c>
      <c r="P103" s="4">
        <v>56000</v>
      </c>
      <c r="Q103" s="4">
        <v>2</v>
      </c>
      <c r="R103" s="67" t="s">
        <v>83</v>
      </c>
      <c r="S103" s="4" t="s">
        <v>53</v>
      </c>
      <c r="T103" s="4" t="s">
        <v>336</v>
      </c>
      <c r="U103" s="6" t="s">
        <v>621</v>
      </c>
      <c r="V103" s="4" t="s">
        <v>42</v>
      </c>
      <c r="W103" s="4">
        <f t="shared" si="1"/>
        <v>5</v>
      </c>
    </row>
    <row r="104" spans="1:23">
      <c r="A104" s="7" t="s">
        <v>622</v>
      </c>
      <c r="B104" s="8" t="s">
        <v>255</v>
      </c>
      <c r="C104" s="8" t="s">
        <v>263</v>
      </c>
      <c r="D104" s="32" t="s">
        <v>623</v>
      </c>
      <c r="E104" s="8" t="s">
        <v>624</v>
      </c>
      <c r="F104" s="4" t="str">
        <f>PROPER(TRIM(Sales_data!F104))</f>
        <v>Amit Sharma</v>
      </c>
      <c r="G104" s="8" t="s">
        <v>32</v>
      </c>
      <c r="H104" s="70" t="s">
        <v>625</v>
      </c>
      <c r="I104" s="8" t="s">
        <v>63</v>
      </c>
      <c r="J104" s="4" t="str">
        <f>PROPER(Sales_data!J104)</f>
        <v>West</v>
      </c>
      <c r="K104" s="4" t="str">
        <f>PROPER(Sales_data!K104)</f>
        <v>Home Appliances</v>
      </c>
      <c r="L104" s="8" t="s">
        <v>267</v>
      </c>
      <c r="M104" s="66">
        <v>5</v>
      </c>
      <c r="N104" s="8">
        <v>45</v>
      </c>
      <c r="O104" s="8">
        <v>20</v>
      </c>
      <c r="P104" s="8">
        <v>180</v>
      </c>
      <c r="Q104" s="8">
        <v>3</v>
      </c>
      <c r="R104" s="67" t="s">
        <v>83</v>
      </c>
      <c r="S104" s="8" t="s">
        <v>39</v>
      </c>
      <c r="T104" s="8" t="s">
        <v>260</v>
      </c>
      <c r="U104" s="9" t="s">
        <v>626</v>
      </c>
      <c r="V104" s="8" t="s">
        <v>42</v>
      </c>
      <c r="W104" s="4">
        <f t="shared" si="1"/>
        <v>1</v>
      </c>
    </row>
    <row r="105" spans="1:23">
      <c r="A105" s="3" t="s">
        <v>627</v>
      </c>
      <c r="B105" s="4" t="s">
        <v>87</v>
      </c>
      <c r="C105" s="4" t="s">
        <v>226</v>
      </c>
      <c r="D105" s="31" t="s">
        <v>628</v>
      </c>
      <c r="E105" s="4" t="s">
        <v>529</v>
      </c>
      <c r="F105" s="4" t="str">
        <f>PROPER(TRIM(Sales_data!F105))</f>
        <v>Sneha Joshi</v>
      </c>
      <c r="G105" s="4" t="s">
        <v>80</v>
      </c>
      <c r="H105" s="69" t="s">
        <v>629</v>
      </c>
      <c r="I105" s="4" t="s">
        <v>109</v>
      </c>
      <c r="J105" s="4" t="str">
        <f>PROPER(Sales_data!J105)</f>
        <v>South</v>
      </c>
      <c r="K105" s="4" t="str">
        <f>PROPER(Sales_data!K105)</f>
        <v>Stationery</v>
      </c>
      <c r="L105" s="4" t="s">
        <v>231</v>
      </c>
      <c r="M105" s="66">
        <v>9</v>
      </c>
      <c r="N105" s="4">
        <v>20</v>
      </c>
      <c r="O105" s="4">
        <v>10</v>
      </c>
      <c r="P105" s="4">
        <v>162</v>
      </c>
      <c r="Q105" s="4">
        <v>4</v>
      </c>
      <c r="R105" s="67" t="s">
        <v>83</v>
      </c>
      <c r="S105" s="4" t="s">
        <v>39</v>
      </c>
      <c r="T105" s="4" t="s">
        <v>93</v>
      </c>
      <c r="U105" s="6" t="s">
        <v>630</v>
      </c>
      <c r="V105" s="4" t="s">
        <v>68</v>
      </c>
      <c r="W105" s="4">
        <f t="shared" si="1"/>
        <v>3</v>
      </c>
    </row>
    <row r="106" spans="1:23">
      <c r="A106" s="7" t="s">
        <v>631</v>
      </c>
      <c r="B106" s="8" t="s">
        <v>57</v>
      </c>
      <c r="C106" s="8" t="s">
        <v>76</v>
      </c>
      <c r="D106" s="32" t="s">
        <v>632</v>
      </c>
      <c r="E106" s="8" t="s">
        <v>435</v>
      </c>
      <c r="F106" s="4" t="str">
        <f>PROPER(TRIM(Sales_data!F106))</f>
        <v>Arjun Rao</v>
      </c>
      <c r="G106" s="8" t="s">
        <v>32</v>
      </c>
      <c r="H106" s="70" t="s">
        <v>633</v>
      </c>
      <c r="I106" s="8" t="s">
        <v>48</v>
      </c>
      <c r="J106" s="4" t="str">
        <f>PROPER(Sales_data!J106)</f>
        <v>West</v>
      </c>
      <c r="K106" s="4" t="str">
        <f>PROPER(Sales_data!K106)</f>
        <v>Stationery</v>
      </c>
      <c r="L106" s="8" t="s">
        <v>82</v>
      </c>
      <c r="M106" s="66">
        <v>9</v>
      </c>
      <c r="N106" s="8">
        <v>1200</v>
      </c>
      <c r="O106" s="8">
        <v>5</v>
      </c>
      <c r="P106" s="8">
        <v>10260</v>
      </c>
      <c r="Q106" s="8">
        <v>3</v>
      </c>
      <c r="R106" s="67" t="s">
        <v>92</v>
      </c>
      <c r="S106" s="8" t="s">
        <v>39</v>
      </c>
      <c r="T106" s="8" t="s">
        <v>66</v>
      </c>
      <c r="U106" s="9" t="s">
        <v>634</v>
      </c>
      <c r="V106" s="8" t="s">
        <v>68</v>
      </c>
      <c r="W106" s="4">
        <f t="shared" si="1"/>
        <v>2</v>
      </c>
    </row>
    <row r="107" spans="1:23">
      <c r="A107" s="3" t="s">
        <v>635</v>
      </c>
      <c r="B107" s="4" t="s">
        <v>104</v>
      </c>
      <c r="C107" s="4" t="s">
        <v>96</v>
      </c>
      <c r="D107" s="31" t="s">
        <v>391</v>
      </c>
      <c r="E107" s="4" t="s">
        <v>636</v>
      </c>
      <c r="F107" s="4" t="str">
        <f>PROPER(TRIM(Sales_data!F107))</f>
        <v>Pooja Shah</v>
      </c>
      <c r="G107" s="4" t="s">
        <v>32</v>
      </c>
      <c r="H107" s="69" t="s">
        <v>637</v>
      </c>
      <c r="I107" s="4" t="s">
        <v>48</v>
      </c>
      <c r="J107" s="4" t="str">
        <f>PROPER(Sales_data!J107)</f>
        <v>North</v>
      </c>
      <c r="K107" s="4" t="str">
        <f>PROPER(Sales_data!K107)</f>
        <v>Electronics</v>
      </c>
      <c r="L107" s="4" t="s">
        <v>101</v>
      </c>
      <c r="M107" s="66">
        <v>3</v>
      </c>
      <c r="N107" s="4">
        <v>3500</v>
      </c>
      <c r="O107" s="4">
        <v>10</v>
      </c>
      <c r="P107" s="4">
        <v>9450</v>
      </c>
      <c r="Q107" s="4">
        <v>2</v>
      </c>
      <c r="R107" s="67" t="s">
        <v>83</v>
      </c>
      <c r="S107" s="4" t="s">
        <v>155</v>
      </c>
      <c r="T107" s="4" t="s">
        <v>148</v>
      </c>
      <c r="U107" s="6" t="s">
        <v>638</v>
      </c>
      <c r="V107" s="4" t="s">
        <v>73</v>
      </c>
      <c r="W107" s="4">
        <f t="shared" si="1"/>
        <v>2</v>
      </c>
    </row>
    <row r="108" spans="1:23">
      <c r="A108" s="7" t="s">
        <v>639</v>
      </c>
      <c r="B108" s="8" t="s">
        <v>225</v>
      </c>
      <c r="C108" s="8" t="s">
        <v>76</v>
      </c>
      <c r="D108" s="32" t="s">
        <v>245</v>
      </c>
      <c r="E108" s="8" t="s">
        <v>640</v>
      </c>
      <c r="F108" s="4" t="str">
        <f>PROPER(TRIM(Sales_data!F108))</f>
        <v>Priya Patel</v>
      </c>
      <c r="G108" s="8" t="s">
        <v>80</v>
      </c>
      <c r="H108" s="70" t="s">
        <v>641</v>
      </c>
      <c r="I108" s="8" t="s">
        <v>109</v>
      </c>
      <c r="J108" s="4" t="str">
        <f>PROPER(Sales_data!J108)</f>
        <v>North</v>
      </c>
      <c r="K108" s="4" t="str">
        <f>PROPER(Sales_data!K108)</f>
        <v>Home Appliances</v>
      </c>
      <c r="L108" s="8" t="s">
        <v>82</v>
      </c>
      <c r="M108" s="66">
        <v>6</v>
      </c>
      <c r="N108" s="8">
        <v>1200</v>
      </c>
      <c r="O108" s="8">
        <v>15</v>
      </c>
      <c r="P108" s="8">
        <v>6120</v>
      </c>
      <c r="Q108" s="8">
        <v>4</v>
      </c>
      <c r="R108" s="67" t="s">
        <v>92</v>
      </c>
      <c r="S108" s="8" t="s">
        <v>39</v>
      </c>
      <c r="T108" s="8" t="s">
        <v>232</v>
      </c>
      <c r="U108" s="9" t="s">
        <v>642</v>
      </c>
      <c r="V108" s="8" t="s">
        <v>73</v>
      </c>
      <c r="W108" s="4">
        <f t="shared" si="1"/>
        <v>3</v>
      </c>
    </row>
    <row r="109" spans="1:23">
      <c r="A109" s="3" t="s">
        <v>643</v>
      </c>
      <c r="B109" s="4" t="s">
        <v>87</v>
      </c>
      <c r="C109" s="4" t="s">
        <v>76</v>
      </c>
      <c r="D109" s="31" t="s">
        <v>644</v>
      </c>
      <c r="E109" s="4" t="s">
        <v>645</v>
      </c>
      <c r="F109" s="4" t="str">
        <f>PROPER(TRIM(Sales_data!F109))</f>
        <v>Vikas Mehta</v>
      </c>
      <c r="G109" s="4" t="s">
        <v>80</v>
      </c>
      <c r="H109" s="69" t="s">
        <v>646</v>
      </c>
      <c r="I109" s="4" t="s">
        <v>216</v>
      </c>
      <c r="J109" s="4" t="str">
        <f>PROPER(Sales_data!J109)</f>
        <v>West</v>
      </c>
      <c r="K109" s="4" t="str">
        <f>PROPER(Sales_data!K109)</f>
        <v>Electronics</v>
      </c>
      <c r="L109" s="4" t="s">
        <v>82</v>
      </c>
      <c r="M109" s="66">
        <v>17</v>
      </c>
      <c r="N109" s="4">
        <v>1200</v>
      </c>
      <c r="O109" s="4">
        <v>15</v>
      </c>
      <c r="P109" s="4">
        <v>17340</v>
      </c>
      <c r="Q109" s="4">
        <v>1</v>
      </c>
      <c r="R109" s="67" t="s">
        <v>38</v>
      </c>
      <c r="S109" s="4" t="s">
        <v>65</v>
      </c>
      <c r="T109" s="4" t="s">
        <v>93</v>
      </c>
      <c r="U109" s="6" t="s">
        <v>647</v>
      </c>
      <c r="V109" s="4" t="s">
        <v>42</v>
      </c>
      <c r="W109" s="4">
        <f t="shared" si="1"/>
        <v>7</v>
      </c>
    </row>
    <row r="110" spans="1:23">
      <c r="A110" s="7" t="s">
        <v>648</v>
      </c>
      <c r="B110" s="8" t="s">
        <v>225</v>
      </c>
      <c r="C110" s="8" t="s">
        <v>173</v>
      </c>
      <c r="D110" s="32" t="s">
        <v>649</v>
      </c>
      <c r="E110" s="8" t="s">
        <v>291</v>
      </c>
      <c r="F110" s="4" t="str">
        <f>PROPER(TRIM(Sales_data!F110))</f>
        <v>Arjun Rao</v>
      </c>
      <c r="G110" s="8" t="s">
        <v>80</v>
      </c>
      <c r="H110" s="70" t="s">
        <v>650</v>
      </c>
      <c r="I110" s="8" t="s">
        <v>63</v>
      </c>
      <c r="J110" s="4" t="str">
        <f>PROPER(Sales_data!J110)</f>
        <v>North</v>
      </c>
      <c r="K110" s="4" t="str">
        <f>PROPER(Sales_data!K110)</f>
        <v>Electronics</v>
      </c>
      <c r="L110" s="8" t="s">
        <v>178</v>
      </c>
      <c r="M110" s="66">
        <v>15</v>
      </c>
      <c r="N110" s="8">
        <v>8500</v>
      </c>
      <c r="O110" s="8">
        <v>0</v>
      </c>
      <c r="P110" s="8">
        <v>127500</v>
      </c>
      <c r="Q110" s="8">
        <v>3</v>
      </c>
      <c r="R110" s="67" t="s">
        <v>38</v>
      </c>
      <c r="S110" s="8" t="s">
        <v>119</v>
      </c>
      <c r="T110" s="8" t="s">
        <v>232</v>
      </c>
      <c r="U110" s="9" t="s">
        <v>651</v>
      </c>
      <c r="V110" s="8" t="s">
        <v>68</v>
      </c>
      <c r="W110" s="4">
        <f t="shared" si="1"/>
        <v>11</v>
      </c>
    </row>
    <row r="111" spans="1:23">
      <c r="A111" s="3" t="s">
        <v>652</v>
      </c>
      <c r="B111" s="4" t="s">
        <v>131</v>
      </c>
      <c r="C111" s="4" t="s">
        <v>76</v>
      </c>
      <c r="D111" s="31" t="s">
        <v>105</v>
      </c>
      <c r="E111" s="4" t="s">
        <v>106</v>
      </c>
      <c r="F111" s="4" t="str">
        <f>PROPER(TRIM(Sales_data!F111))</f>
        <v>Vikas Mehta</v>
      </c>
      <c r="G111" s="4" t="s">
        <v>80</v>
      </c>
      <c r="H111" s="69" t="s">
        <v>653</v>
      </c>
      <c r="I111" s="4" t="s">
        <v>34</v>
      </c>
      <c r="J111" s="4" t="str">
        <f>PROPER(Sales_data!J111)</f>
        <v>South</v>
      </c>
      <c r="K111" s="4" t="str">
        <f>PROPER(Sales_data!K111)</f>
        <v>Home Appliances</v>
      </c>
      <c r="L111" s="4" t="s">
        <v>82</v>
      </c>
      <c r="M111" s="66">
        <v>1</v>
      </c>
      <c r="N111" s="4">
        <v>1200</v>
      </c>
      <c r="O111" s="4">
        <v>20</v>
      </c>
      <c r="P111" s="4">
        <v>960</v>
      </c>
      <c r="Q111" s="4">
        <v>1</v>
      </c>
      <c r="R111" s="67" t="s">
        <v>92</v>
      </c>
      <c r="S111" s="4" t="s">
        <v>119</v>
      </c>
      <c r="T111" s="4" t="s">
        <v>136</v>
      </c>
      <c r="U111" s="6" t="s">
        <v>654</v>
      </c>
      <c r="V111" s="4" t="s">
        <v>68</v>
      </c>
      <c r="W111" s="4">
        <f t="shared" si="1"/>
        <v>4</v>
      </c>
    </row>
    <row r="112" spans="1:23">
      <c r="A112" s="7" t="s">
        <v>655</v>
      </c>
      <c r="B112" s="8" t="s">
        <v>131</v>
      </c>
      <c r="C112" s="8" t="s">
        <v>173</v>
      </c>
      <c r="D112" s="32" t="s">
        <v>656</v>
      </c>
      <c r="E112" s="8" t="s">
        <v>543</v>
      </c>
      <c r="F112" s="4" t="str">
        <f>PROPER(TRIM(Sales_data!F112))</f>
        <v>Rohit Singh</v>
      </c>
      <c r="G112" s="8" t="s">
        <v>80</v>
      </c>
      <c r="H112" s="70" t="s">
        <v>657</v>
      </c>
      <c r="I112" s="8" t="s">
        <v>298</v>
      </c>
      <c r="J112" s="4" t="str">
        <f>PROPER(Sales_data!J112)</f>
        <v>South</v>
      </c>
      <c r="K112" s="4" t="str">
        <f>PROPER(Sales_data!K112)</f>
        <v>Electronics</v>
      </c>
      <c r="L112" s="8" t="s">
        <v>178</v>
      </c>
      <c r="M112" s="66">
        <v>5</v>
      </c>
      <c r="N112" s="8">
        <v>8500</v>
      </c>
      <c r="O112" s="8">
        <v>10</v>
      </c>
      <c r="P112" s="8">
        <v>38250</v>
      </c>
      <c r="Q112" s="8">
        <v>1</v>
      </c>
      <c r="R112" s="67" t="s">
        <v>83</v>
      </c>
      <c r="S112" s="8" t="s">
        <v>65</v>
      </c>
      <c r="T112" s="8" t="s">
        <v>136</v>
      </c>
      <c r="U112" s="9" t="s">
        <v>658</v>
      </c>
      <c r="V112" s="8" t="s">
        <v>42</v>
      </c>
      <c r="W112" s="4">
        <f t="shared" si="1"/>
        <v>4</v>
      </c>
    </row>
    <row r="113" spans="1:23">
      <c r="A113" s="3" t="s">
        <v>659</v>
      </c>
      <c r="B113" s="4" t="s">
        <v>57</v>
      </c>
      <c r="C113" s="4" t="s">
        <v>263</v>
      </c>
      <c r="D113" s="31" t="s">
        <v>660</v>
      </c>
      <c r="E113" s="4" t="s">
        <v>661</v>
      </c>
      <c r="F113" s="4" t="str">
        <f>PROPER(TRIM(Sales_data!F113))</f>
        <v>Rohit Singh</v>
      </c>
      <c r="G113" s="4" t="s">
        <v>32</v>
      </c>
      <c r="H113" s="69" t="s">
        <v>662</v>
      </c>
      <c r="I113" s="4" t="s">
        <v>34</v>
      </c>
      <c r="J113" s="4" t="str">
        <f>PROPER(Sales_data!J113)</f>
        <v>East</v>
      </c>
      <c r="K113" s="4" t="str">
        <f>PROPER(Sales_data!K113)</f>
        <v>Home Appliances</v>
      </c>
      <c r="L113" s="4" t="s">
        <v>267</v>
      </c>
      <c r="M113" s="66">
        <v>12</v>
      </c>
      <c r="N113" s="4">
        <v>45</v>
      </c>
      <c r="O113" s="4">
        <v>5</v>
      </c>
      <c r="P113" s="4">
        <v>513</v>
      </c>
      <c r="Q113" s="4">
        <v>2</v>
      </c>
      <c r="R113" s="67" t="s">
        <v>52</v>
      </c>
      <c r="S113" s="4" t="s">
        <v>39</v>
      </c>
      <c r="T113" s="4" t="s">
        <v>66</v>
      </c>
      <c r="U113" s="6" t="s">
        <v>663</v>
      </c>
      <c r="V113" s="4" t="s">
        <v>73</v>
      </c>
      <c r="W113" s="4">
        <f t="shared" si="1"/>
        <v>4</v>
      </c>
    </row>
    <row r="114" spans="1:23">
      <c r="A114" s="7" t="s">
        <v>664</v>
      </c>
      <c r="B114" s="8" t="s">
        <v>225</v>
      </c>
      <c r="C114" s="8" t="s">
        <v>122</v>
      </c>
      <c r="D114" s="32" t="s">
        <v>345</v>
      </c>
      <c r="E114" s="8" t="s">
        <v>665</v>
      </c>
      <c r="F114" s="4" t="str">
        <f>PROPER(TRIM(Sales_data!F114))</f>
        <v>Pooja Shah</v>
      </c>
      <c r="G114" s="8" t="s">
        <v>80</v>
      </c>
      <c r="H114" s="70" t="s">
        <v>666</v>
      </c>
      <c r="I114" s="8" t="s">
        <v>118</v>
      </c>
      <c r="J114" s="4" t="str">
        <f>PROPER(Sales_data!J114)</f>
        <v>South</v>
      </c>
      <c r="K114" s="4" t="str">
        <f>PROPER(Sales_data!K114)</f>
        <v>Stationery</v>
      </c>
      <c r="L114" s="8" t="s">
        <v>127</v>
      </c>
      <c r="M114" s="66">
        <v>5</v>
      </c>
      <c r="N114" s="8">
        <v>60</v>
      </c>
      <c r="O114" s="8">
        <v>5</v>
      </c>
      <c r="P114" s="8">
        <v>285</v>
      </c>
      <c r="Q114" s="8">
        <v>2</v>
      </c>
      <c r="R114" s="67" t="s">
        <v>38</v>
      </c>
      <c r="S114" s="8" t="s">
        <v>65</v>
      </c>
      <c r="T114" s="8" t="s">
        <v>232</v>
      </c>
      <c r="U114" s="9" t="s">
        <v>667</v>
      </c>
      <c r="V114" s="8" t="s">
        <v>42</v>
      </c>
      <c r="W114" s="4">
        <f t="shared" si="1"/>
        <v>10</v>
      </c>
    </row>
    <row r="115" spans="1:23">
      <c r="A115" s="3" t="s">
        <v>668</v>
      </c>
      <c r="B115" s="4" t="s">
        <v>57</v>
      </c>
      <c r="C115" s="4" t="s">
        <v>188</v>
      </c>
      <c r="D115" s="31" t="s">
        <v>669</v>
      </c>
      <c r="E115" s="4" t="s">
        <v>670</v>
      </c>
      <c r="F115" s="4" t="str">
        <f>PROPER(TRIM(Sales_data!F115))</f>
        <v>Vikas Mehta</v>
      </c>
      <c r="G115" s="4" t="s">
        <v>32</v>
      </c>
      <c r="H115" s="69" t="s">
        <v>671</v>
      </c>
      <c r="I115" s="4" t="s">
        <v>298</v>
      </c>
      <c r="J115" s="4" t="str">
        <f>PROPER(Sales_data!J115)</f>
        <v>West</v>
      </c>
      <c r="K115" s="4" t="str">
        <f>PROPER(Sales_data!K115)</f>
        <v>Stationery</v>
      </c>
      <c r="L115" s="4" t="s">
        <v>193</v>
      </c>
      <c r="M115" s="66">
        <v>3</v>
      </c>
      <c r="N115" s="4">
        <v>700</v>
      </c>
      <c r="O115" s="4">
        <v>0</v>
      </c>
      <c r="P115" s="4">
        <v>2100</v>
      </c>
      <c r="Q115" s="4">
        <v>4</v>
      </c>
      <c r="R115" s="67" t="s">
        <v>83</v>
      </c>
      <c r="S115" s="4" t="s">
        <v>65</v>
      </c>
      <c r="T115" s="4" t="s">
        <v>66</v>
      </c>
      <c r="U115" s="6" t="s">
        <v>672</v>
      </c>
      <c r="V115" s="4" t="s">
        <v>42</v>
      </c>
      <c r="W115" s="4">
        <f t="shared" si="1"/>
        <v>4</v>
      </c>
    </row>
    <row r="116" spans="1:23">
      <c r="A116" s="7" t="s">
        <v>673</v>
      </c>
      <c r="B116" s="8" t="s">
        <v>172</v>
      </c>
      <c r="C116" s="8" t="s">
        <v>226</v>
      </c>
      <c r="D116" s="32" t="s">
        <v>339</v>
      </c>
      <c r="E116" s="8" t="s">
        <v>610</v>
      </c>
      <c r="F116" s="4" t="str">
        <f>PROPER(TRIM(Sales_data!F116))</f>
        <v>Pooja Shah</v>
      </c>
      <c r="G116" s="8" t="s">
        <v>32</v>
      </c>
      <c r="H116" s="70" t="s">
        <v>674</v>
      </c>
      <c r="I116" s="8" t="s">
        <v>48</v>
      </c>
      <c r="J116" s="4" t="str">
        <f>PROPER(Sales_data!J116)</f>
        <v>East</v>
      </c>
      <c r="K116" s="4" t="str">
        <f>PROPER(Sales_data!K116)</f>
        <v>Electronics</v>
      </c>
      <c r="L116" s="8" t="s">
        <v>231</v>
      </c>
      <c r="M116" s="66">
        <v>6</v>
      </c>
      <c r="N116" s="8">
        <v>20</v>
      </c>
      <c r="O116" s="8">
        <v>15</v>
      </c>
      <c r="P116" s="8">
        <v>102</v>
      </c>
      <c r="Q116" s="8">
        <v>5</v>
      </c>
      <c r="R116" s="67" t="s">
        <v>83</v>
      </c>
      <c r="S116" s="8" t="s">
        <v>155</v>
      </c>
      <c r="T116" s="8" t="s">
        <v>179</v>
      </c>
      <c r="U116" s="9" t="s">
        <v>675</v>
      </c>
      <c r="V116" s="8" t="s">
        <v>42</v>
      </c>
      <c r="W116" s="4">
        <f t="shared" si="1"/>
        <v>4</v>
      </c>
    </row>
    <row r="117" spans="1:23">
      <c r="A117" s="3" t="s">
        <v>676</v>
      </c>
      <c r="B117" s="4" t="s">
        <v>104</v>
      </c>
      <c r="C117" s="4" t="s">
        <v>188</v>
      </c>
      <c r="D117" s="31" t="s">
        <v>677</v>
      </c>
      <c r="E117" s="4" t="s">
        <v>678</v>
      </c>
      <c r="F117" s="4" t="str">
        <f>PROPER(TRIM(Sales_data!F117))</f>
        <v>Anita Gupta</v>
      </c>
      <c r="G117" s="4" t="s">
        <v>32</v>
      </c>
      <c r="H117" s="69" t="s">
        <v>679</v>
      </c>
      <c r="I117" s="4" t="s">
        <v>63</v>
      </c>
      <c r="J117" s="4" t="str">
        <f>PROPER(Sales_data!J117)</f>
        <v>North</v>
      </c>
      <c r="K117" s="4" t="str">
        <f>PROPER(Sales_data!K117)</f>
        <v>Stationery</v>
      </c>
      <c r="L117" s="4" t="s">
        <v>193</v>
      </c>
      <c r="M117" s="66">
        <v>2</v>
      </c>
      <c r="N117" s="4">
        <v>700</v>
      </c>
      <c r="O117" s="4">
        <v>15</v>
      </c>
      <c r="P117" s="4">
        <v>1190</v>
      </c>
      <c r="Q117" s="4">
        <v>4</v>
      </c>
      <c r="R117" s="67" t="s">
        <v>38</v>
      </c>
      <c r="S117" s="4" t="s">
        <v>155</v>
      </c>
      <c r="T117" s="4" t="s">
        <v>148</v>
      </c>
      <c r="U117" s="6" t="s">
        <v>680</v>
      </c>
      <c r="V117" s="4" t="s">
        <v>68</v>
      </c>
      <c r="W117" s="4">
        <f t="shared" si="1"/>
        <v>8</v>
      </c>
    </row>
    <row r="118" spans="1:23">
      <c r="A118" s="7" t="s">
        <v>681</v>
      </c>
      <c r="B118" s="8" t="s">
        <v>331</v>
      </c>
      <c r="C118" s="8" t="s">
        <v>263</v>
      </c>
      <c r="D118" s="32" t="s">
        <v>682</v>
      </c>
      <c r="E118" s="8" t="s">
        <v>683</v>
      </c>
      <c r="F118" s="4" t="str">
        <f>PROPER(TRIM(Sales_data!F118))</f>
        <v>Priya Patel</v>
      </c>
      <c r="G118" s="8" t="s">
        <v>80</v>
      </c>
      <c r="H118" s="70" t="s">
        <v>684</v>
      </c>
      <c r="I118" s="8" t="s">
        <v>118</v>
      </c>
      <c r="J118" s="4" t="str">
        <f>PROPER(Sales_data!J118)</f>
        <v>South</v>
      </c>
      <c r="K118" s="4" t="str">
        <f>PROPER(Sales_data!K118)</f>
        <v>Electronics</v>
      </c>
      <c r="L118" s="8" t="s">
        <v>267</v>
      </c>
      <c r="M118" s="66">
        <v>16</v>
      </c>
      <c r="N118" s="8">
        <v>45</v>
      </c>
      <c r="O118" s="8">
        <v>0</v>
      </c>
      <c r="P118" s="8">
        <v>720</v>
      </c>
      <c r="Q118" s="8">
        <v>1</v>
      </c>
      <c r="R118" s="67" t="s">
        <v>52</v>
      </c>
      <c r="S118" s="8" t="s">
        <v>65</v>
      </c>
      <c r="T118" s="8" t="s">
        <v>336</v>
      </c>
      <c r="U118" s="9" t="s">
        <v>685</v>
      </c>
      <c r="V118" s="8" t="s">
        <v>42</v>
      </c>
      <c r="W118" s="4">
        <f t="shared" si="1"/>
        <v>5</v>
      </c>
    </row>
    <row r="119" spans="1:23">
      <c r="A119" s="3" t="s">
        <v>686</v>
      </c>
      <c r="B119" s="4" t="s">
        <v>75</v>
      </c>
      <c r="C119" s="4" t="s">
        <v>76</v>
      </c>
      <c r="D119" s="31" t="s">
        <v>687</v>
      </c>
      <c r="E119" s="4" t="s">
        <v>688</v>
      </c>
      <c r="F119" s="4" t="str">
        <f>PROPER(TRIM(Sales_data!F119))</f>
        <v>Amit Sharma</v>
      </c>
      <c r="G119" s="4" t="s">
        <v>80</v>
      </c>
      <c r="H119" s="69" t="s">
        <v>689</v>
      </c>
      <c r="I119" s="4" t="s">
        <v>142</v>
      </c>
      <c r="J119" s="4" t="str">
        <f>PROPER(Sales_data!J119)</f>
        <v>West</v>
      </c>
      <c r="K119" s="4" t="str">
        <f>PROPER(Sales_data!K119)</f>
        <v>Stationery</v>
      </c>
      <c r="L119" s="4" t="s">
        <v>82</v>
      </c>
      <c r="M119" s="66" t="s">
        <v>690</v>
      </c>
      <c r="N119" s="4">
        <v>1200</v>
      </c>
      <c r="O119" s="4">
        <v>15</v>
      </c>
      <c r="P119" s="4">
        <v>7140</v>
      </c>
      <c r="Q119" s="4">
        <v>4</v>
      </c>
      <c r="R119" s="67" t="s">
        <v>92</v>
      </c>
      <c r="S119" s="4" t="s">
        <v>155</v>
      </c>
      <c r="T119" s="4" t="s">
        <v>84</v>
      </c>
      <c r="U119" s="6" t="s">
        <v>691</v>
      </c>
      <c r="V119" s="4" t="s">
        <v>68</v>
      </c>
      <c r="W119" s="4">
        <f t="shared" si="1"/>
        <v>5</v>
      </c>
    </row>
    <row r="120" spans="1:23">
      <c r="A120" s="7" t="s">
        <v>692</v>
      </c>
      <c r="B120" s="8" t="s">
        <v>104</v>
      </c>
      <c r="C120" s="8" t="s">
        <v>44</v>
      </c>
      <c r="D120" s="32" t="s">
        <v>380</v>
      </c>
      <c r="E120" s="8" t="s">
        <v>473</v>
      </c>
      <c r="F120" s="4" t="str">
        <f>PROPER(TRIM(Sales_data!F120))</f>
        <v>Mohit Verma</v>
      </c>
      <c r="G120" s="8" t="s">
        <v>32</v>
      </c>
      <c r="H120" s="70" t="s">
        <v>693</v>
      </c>
      <c r="I120" s="8" t="s">
        <v>216</v>
      </c>
      <c r="J120" s="4" t="str">
        <f>PROPER(Sales_data!J120)</f>
        <v>West</v>
      </c>
      <c r="K120" s="4" t="str">
        <f>PROPER(Sales_data!K120)</f>
        <v>Electronics</v>
      </c>
      <c r="L120" s="8" t="s">
        <v>51</v>
      </c>
      <c r="M120" s="66">
        <v>14</v>
      </c>
      <c r="N120" s="8">
        <v>12000</v>
      </c>
      <c r="O120" s="8">
        <v>15</v>
      </c>
      <c r="P120" s="8">
        <v>142800</v>
      </c>
      <c r="Q120" s="8">
        <v>2</v>
      </c>
      <c r="R120" s="67" t="s">
        <v>52</v>
      </c>
      <c r="S120" s="8" t="s">
        <v>65</v>
      </c>
      <c r="T120" s="8" t="s">
        <v>148</v>
      </c>
      <c r="U120" s="9" t="s">
        <v>694</v>
      </c>
      <c r="V120" s="8" t="s">
        <v>68</v>
      </c>
      <c r="W120" s="4">
        <f t="shared" si="1"/>
        <v>8</v>
      </c>
    </row>
    <row r="121" spans="1:23">
      <c r="A121" s="3" t="s">
        <v>695</v>
      </c>
      <c r="B121" s="4" t="s">
        <v>131</v>
      </c>
      <c r="C121" s="4" t="s">
        <v>173</v>
      </c>
      <c r="D121" s="31" t="s">
        <v>458</v>
      </c>
      <c r="E121" s="4" t="s">
        <v>696</v>
      </c>
      <c r="F121" s="4" t="str">
        <f>PROPER(TRIM(Sales_data!F121))</f>
        <v>Priya Patel</v>
      </c>
      <c r="G121" s="4" t="s">
        <v>80</v>
      </c>
      <c r="H121" s="69" t="s">
        <v>697</v>
      </c>
      <c r="I121" s="4" t="s">
        <v>118</v>
      </c>
      <c r="J121" s="4" t="str">
        <f>PROPER(Sales_data!J121)</f>
        <v>North</v>
      </c>
      <c r="K121" s="4" t="str">
        <f>PROPER(Sales_data!K121)</f>
        <v>Electronics</v>
      </c>
      <c r="L121" s="4" t="s">
        <v>178</v>
      </c>
      <c r="M121" s="66">
        <v>8</v>
      </c>
      <c r="N121" s="4">
        <v>8500</v>
      </c>
      <c r="O121" s="4">
        <v>20</v>
      </c>
      <c r="P121" s="4">
        <v>54400</v>
      </c>
      <c r="Q121" s="4">
        <v>3</v>
      </c>
      <c r="R121" s="67" t="s">
        <v>83</v>
      </c>
      <c r="S121" s="4" t="s">
        <v>53</v>
      </c>
      <c r="T121" s="4" t="s">
        <v>136</v>
      </c>
      <c r="U121" s="6" t="s">
        <v>698</v>
      </c>
      <c r="V121" s="4" t="s">
        <v>42</v>
      </c>
      <c r="W121" s="4">
        <f t="shared" si="1"/>
        <v>12</v>
      </c>
    </row>
    <row r="122" spans="1:23">
      <c r="A122" s="7" t="s">
        <v>699</v>
      </c>
      <c r="B122" s="8" t="s">
        <v>87</v>
      </c>
      <c r="C122" s="8" t="s">
        <v>263</v>
      </c>
      <c r="D122" s="32" t="s">
        <v>114</v>
      </c>
      <c r="E122" s="8" t="s">
        <v>317</v>
      </c>
      <c r="F122" s="4" t="str">
        <f>PROPER(TRIM(Sales_data!F122))</f>
        <v>Rohit Singh</v>
      </c>
      <c r="G122" s="8" t="s">
        <v>80</v>
      </c>
      <c r="H122" s="70" t="s">
        <v>700</v>
      </c>
      <c r="I122" s="8" t="s">
        <v>63</v>
      </c>
      <c r="J122" s="4" t="str">
        <f>PROPER(Sales_data!J122)</f>
        <v>West</v>
      </c>
      <c r="K122" s="4" t="str">
        <f>PROPER(Sales_data!K122)</f>
        <v>Home Appliances</v>
      </c>
      <c r="L122" s="8" t="s">
        <v>267</v>
      </c>
      <c r="M122" s="66">
        <v>3</v>
      </c>
      <c r="N122" s="8">
        <v>45</v>
      </c>
      <c r="O122" s="8">
        <v>0</v>
      </c>
      <c r="P122" s="8">
        <v>135</v>
      </c>
      <c r="Q122" s="8">
        <v>4</v>
      </c>
      <c r="R122" s="67" t="s">
        <v>92</v>
      </c>
      <c r="S122" s="8" t="s">
        <v>65</v>
      </c>
      <c r="T122" s="8" t="s">
        <v>93</v>
      </c>
      <c r="U122" s="9" t="s">
        <v>701</v>
      </c>
      <c r="V122" s="8" t="s">
        <v>73</v>
      </c>
      <c r="W122" s="4">
        <f t="shared" si="1"/>
        <v>1</v>
      </c>
    </row>
    <row r="123" spans="1:23">
      <c r="A123" s="3" t="s">
        <v>702</v>
      </c>
      <c r="B123" s="4" t="s">
        <v>331</v>
      </c>
      <c r="C123" s="4" t="s">
        <v>188</v>
      </c>
      <c r="D123" s="31" t="s">
        <v>468</v>
      </c>
      <c r="E123" s="4" t="s">
        <v>88</v>
      </c>
      <c r="F123" s="4" t="str">
        <f>PROPER(TRIM(Sales_data!F123))</f>
        <v>Arjun Rao</v>
      </c>
      <c r="G123" s="4" t="s">
        <v>80</v>
      </c>
      <c r="H123" s="69" t="s">
        <v>703</v>
      </c>
      <c r="I123" s="4" t="s">
        <v>216</v>
      </c>
      <c r="J123" s="4" t="str">
        <f>PROPER(Sales_data!J123)</f>
        <v>South</v>
      </c>
      <c r="K123" s="4" t="str">
        <f>PROPER(Sales_data!K123)</f>
        <v>Stationery</v>
      </c>
      <c r="L123" s="4" t="s">
        <v>193</v>
      </c>
      <c r="M123" s="66">
        <v>13</v>
      </c>
      <c r="N123" s="4">
        <v>700</v>
      </c>
      <c r="O123" s="4">
        <v>5</v>
      </c>
      <c r="P123" s="4">
        <v>8645</v>
      </c>
      <c r="Q123" s="4">
        <v>3</v>
      </c>
      <c r="R123" s="67" t="s">
        <v>83</v>
      </c>
      <c r="S123" s="4" t="s">
        <v>119</v>
      </c>
      <c r="T123" s="4" t="s">
        <v>336</v>
      </c>
      <c r="U123" s="6" t="s">
        <v>704</v>
      </c>
      <c r="V123" s="4" t="s">
        <v>68</v>
      </c>
      <c r="W123" s="4">
        <f t="shared" si="1"/>
        <v>1</v>
      </c>
    </row>
    <row r="124" spans="1:23">
      <c r="A124" s="7" t="s">
        <v>705</v>
      </c>
      <c r="B124" s="8" t="s">
        <v>172</v>
      </c>
      <c r="C124" s="8" t="s">
        <v>76</v>
      </c>
      <c r="D124" s="32" t="s">
        <v>706</v>
      </c>
      <c r="E124" s="8" t="s">
        <v>707</v>
      </c>
      <c r="F124" s="4" t="str">
        <f>PROPER(TRIM(Sales_data!F124))</f>
        <v>Amit Sharma</v>
      </c>
      <c r="G124" s="8" t="s">
        <v>32</v>
      </c>
      <c r="H124" s="70" t="s">
        <v>708</v>
      </c>
      <c r="I124" s="8" t="s">
        <v>109</v>
      </c>
      <c r="J124" s="4" t="str">
        <f>PROPER(Sales_data!J124)</f>
        <v>North</v>
      </c>
      <c r="K124" s="4" t="str">
        <f>PROPER(Sales_data!K124)</f>
        <v>Electronics</v>
      </c>
      <c r="L124" s="8" t="s">
        <v>82</v>
      </c>
      <c r="M124" s="66">
        <v>14</v>
      </c>
      <c r="N124" s="8">
        <v>1200</v>
      </c>
      <c r="O124" s="8">
        <v>20</v>
      </c>
      <c r="P124" s="8">
        <v>13440</v>
      </c>
      <c r="Q124" s="8">
        <v>5</v>
      </c>
      <c r="R124" s="67" t="s">
        <v>52</v>
      </c>
      <c r="S124" s="8" t="s">
        <v>65</v>
      </c>
      <c r="T124" s="8" t="s">
        <v>179</v>
      </c>
      <c r="U124" s="9" t="s">
        <v>709</v>
      </c>
      <c r="V124" s="8" t="s">
        <v>42</v>
      </c>
      <c r="W124" s="4">
        <f t="shared" si="1"/>
        <v>10</v>
      </c>
    </row>
    <row r="125" spans="1:23">
      <c r="A125" s="3" t="s">
        <v>710</v>
      </c>
      <c r="B125" s="4" t="s">
        <v>104</v>
      </c>
      <c r="C125" s="4" t="s">
        <v>263</v>
      </c>
      <c r="D125" s="31" t="s">
        <v>601</v>
      </c>
      <c r="E125" s="4" t="s">
        <v>711</v>
      </c>
      <c r="F125" s="4" t="str">
        <f>PROPER(TRIM(Sales_data!F125))</f>
        <v>Anita Gupta</v>
      </c>
      <c r="G125" s="4" t="s">
        <v>32</v>
      </c>
      <c r="H125" s="69" t="s">
        <v>712</v>
      </c>
      <c r="I125" s="4" t="s">
        <v>48</v>
      </c>
      <c r="J125" s="4" t="str">
        <f>PROPER(Sales_data!J125)</f>
        <v>West</v>
      </c>
      <c r="K125" s="4" t="str">
        <f>PROPER(Sales_data!K125)</f>
        <v>Electronics</v>
      </c>
      <c r="L125" s="4" t="s">
        <v>267</v>
      </c>
      <c r="M125" s="66">
        <v>2</v>
      </c>
      <c r="N125" s="4">
        <v>45</v>
      </c>
      <c r="O125" s="4">
        <v>5</v>
      </c>
      <c r="P125" s="4">
        <v>85.5</v>
      </c>
      <c r="Q125" s="4">
        <v>3</v>
      </c>
      <c r="R125" s="67" t="s">
        <v>92</v>
      </c>
      <c r="S125" s="4" t="s">
        <v>39</v>
      </c>
      <c r="T125" s="4" t="s">
        <v>148</v>
      </c>
      <c r="U125" s="6" t="s">
        <v>713</v>
      </c>
      <c r="V125" s="4" t="s">
        <v>73</v>
      </c>
      <c r="W125" s="4">
        <f t="shared" si="1"/>
        <v>5</v>
      </c>
    </row>
    <row r="126" spans="1:23">
      <c r="A126" s="7" t="s">
        <v>714</v>
      </c>
      <c r="B126" s="8" t="s">
        <v>172</v>
      </c>
      <c r="C126" s="8" t="s">
        <v>76</v>
      </c>
      <c r="D126" s="32" t="s">
        <v>715</v>
      </c>
      <c r="E126" s="8" t="s">
        <v>716</v>
      </c>
      <c r="F126" s="4" t="str">
        <f>PROPER(TRIM(Sales_data!F126))</f>
        <v>Priya Patel</v>
      </c>
      <c r="G126" s="8" t="s">
        <v>32</v>
      </c>
      <c r="H126" s="70" t="s">
        <v>717</v>
      </c>
      <c r="I126" s="8" t="s">
        <v>63</v>
      </c>
      <c r="J126" s="4" t="str">
        <f>PROPER(Sales_data!J126)</f>
        <v>North</v>
      </c>
      <c r="K126" s="4" t="str">
        <f>PROPER(Sales_data!K126)</f>
        <v>Stationery</v>
      </c>
      <c r="L126" s="8" t="s">
        <v>82</v>
      </c>
      <c r="M126" s="66">
        <v>2</v>
      </c>
      <c r="N126" s="8">
        <v>1200</v>
      </c>
      <c r="O126" s="8">
        <v>20</v>
      </c>
      <c r="P126" s="8">
        <v>1920</v>
      </c>
      <c r="Q126" s="8">
        <v>3</v>
      </c>
      <c r="R126" s="67" t="s">
        <v>83</v>
      </c>
      <c r="S126" s="8" t="s">
        <v>119</v>
      </c>
      <c r="T126" s="8" t="s">
        <v>179</v>
      </c>
      <c r="U126" s="9" t="s">
        <v>718</v>
      </c>
      <c r="V126" s="8" t="s">
        <v>42</v>
      </c>
      <c r="W126" s="4">
        <f t="shared" si="1"/>
        <v>1</v>
      </c>
    </row>
    <row r="127" spans="1:23">
      <c r="A127" s="3" t="s">
        <v>719</v>
      </c>
      <c r="B127" s="4" t="s">
        <v>131</v>
      </c>
      <c r="C127" s="4" t="s">
        <v>58</v>
      </c>
      <c r="D127" s="31" t="s">
        <v>228</v>
      </c>
      <c r="E127" s="4" t="s">
        <v>720</v>
      </c>
      <c r="F127" s="4" t="str">
        <f>PROPER(TRIM(Sales_data!F127))</f>
        <v>Anita Gupta</v>
      </c>
      <c r="G127" s="4" t="s">
        <v>80</v>
      </c>
      <c r="H127" s="69" t="s">
        <v>721</v>
      </c>
      <c r="I127" s="4" t="s">
        <v>63</v>
      </c>
      <c r="J127" s="4" t="str">
        <f>PROPER(Sales_data!J127)</f>
        <v>South</v>
      </c>
      <c r="K127" s="4" t="str">
        <f>PROPER(Sales_data!K127)</f>
        <v>Electronics</v>
      </c>
      <c r="L127" s="4" t="s">
        <v>64</v>
      </c>
      <c r="M127" s="66">
        <v>10</v>
      </c>
      <c r="N127" s="4">
        <v>55000</v>
      </c>
      <c r="O127" s="4">
        <v>5</v>
      </c>
      <c r="P127" s="4">
        <v>522500</v>
      </c>
      <c r="Q127" s="4">
        <v>5</v>
      </c>
      <c r="R127" s="67" t="s">
        <v>92</v>
      </c>
      <c r="S127" s="4" t="s">
        <v>65</v>
      </c>
      <c r="T127" s="4" t="s">
        <v>136</v>
      </c>
      <c r="U127" s="6" t="s">
        <v>722</v>
      </c>
      <c r="V127" s="4" t="s">
        <v>68</v>
      </c>
      <c r="W127" s="4">
        <f t="shared" si="1"/>
        <v>4</v>
      </c>
    </row>
    <row r="128" spans="1:23">
      <c r="A128" s="7" t="s">
        <v>723</v>
      </c>
      <c r="B128" s="8" t="s">
        <v>255</v>
      </c>
      <c r="C128" s="8" t="s">
        <v>96</v>
      </c>
      <c r="D128" s="32" t="s">
        <v>724</v>
      </c>
      <c r="E128" s="8" t="s">
        <v>386</v>
      </c>
      <c r="F128" s="4" t="str">
        <f>PROPER(TRIM(Sales_data!F128))</f>
        <v>Rohit Singh</v>
      </c>
      <c r="G128" s="8" t="s">
        <v>32</v>
      </c>
      <c r="H128" s="70" t="s">
        <v>725</v>
      </c>
      <c r="I128" s="8" t="s">
        <v>216</v>
      </c>
      <c r="J128" s="4" t="str">
        <f>PROPER(Sales_data!J128)</f>
        <v>South</v>
      </c>
      <c r="K128" s="4" t="str">
        <f>PROPER(Sales_data!K128)</f>
        <v>Electronics</v>
      </c>
      <c r="L128" s="8" t="s">
        <v>101</v>
      </c>
      <c r="M128" s="66">
        <v>15</v>
      </c>
      <c r="N128" s="8">
        <v>3500</v>
      </c>
      <c r="O128" s="8">
        <v>10</v>
      </c>
      <c r="P128" s="8">
        <v>47250</v>
      </c>
      <c r="Q128" s="8">
        <v>3</v>
      </c>
      <c r="R128" s="67" t="s">
        <v>52</v>
      </c>
      <c r="S128" s="8" t="s">
        <v>119</v>
      </c>
      <c r="T128" s="8" t="s">
        <v>260</v>
      </c>
      <c r="U128" s="9" t="s">
        <v>726</v>
      </c>
      <c r="V128" s="8" t="s">
        <v>42</v>
      </c>
      <c r="W128" s="4">
        <f t="shared" si="1"/>
        <v>8</v>
      </c>
    </row>
    <row r="129" spans="1:23">
      <c r="A129" s="3" t="s">
        <v>727</v>
      </c>
      <c r="B129" s="4" t="s">
        <v>104</v>
      </c>
      <c r="C129" s="4" t="s">
        <v>28</v>
      </c>
      <c r="D129" s="31" t="s">
        <v>566</v>
      </c>
      <c r="E129" s="4" t="s">
        <v>728</v>
      </c>
      <c r="F129" s="4" t="str">
        <f>PROPER(TRIM(Sales_data!F129))</f>
        <v>Sneha Joshi</v>
      </c>
      <c r="G129" s="4" t="s">
        <v>32</v>
      </c>
      <c r="H129" s="69" t="s">
        <v>729</v>
      </c>
      <c r="I129" s="4" t="s">
        <v>63</v>
      </c>
      <c r="J129" s="4" t="str">
        <f>PROPER(Sales_data!J129)</f>
        <v>North</v>
      </c>
      <c r="K129" s="4" t="str">
        <f>PROPER(Sales_data!K129)</f>
        <v>Home Appliances</v>
      </c>
      <c r="L129" s="4" t="s">
        <v>37</v>
      </c>
      <c r="M129" s="66">
        <v>10</v>
      </c>
      <c r="N129" s="4">
        <v>2200</v>
      </c>
      <c r="O129" s="4">
        <v>15</v>
      </c>
      <c r="P129" s="4">
        <v>18700</v>
      </c>
      <c r="Q129" s="4">
        <v>4</v>
      </c>
      <c r="R129" s="67" t="s">
        <v>83</v>
      </c>
      <c r="S129" s="4" t="s">
        <v>53</v>
      </c>
      <c r="T129" s="4" t="s">
        <v>148</v>
      </c>
      <c r="U129" s="6" t="s">
        <v>730</v>
      </c>
      <c r="V129" s="4" t="s">
        <v>68</v>
      </c>
      <c r="W129" s="4">
        <f t="shared" si="1"/>
        <v>8</v>
      </c>
    </row>
    <row r="130" spans="1:23">
      <c r="A130" s="7" t="s">
        <v>731</v>
      </c>
      <c r="B130" s="8" t="s">
        <v>255</v>
      </c>
      <c r="C130" s="8" t="s">
        <v>96</v>
      </c>
      <c r="D130" s="32" t="s">
        <v>264</v>
      </c>
      <c r="E130" s="8" t="s">
        <v>235</v>
      </c>
      <c r="F130" s="4" t="str">
        <f>PROPER(TRIM(Sales_data!F130))</f>
        <v>Priya Patel</v>
      </c>
      <c r="G130" s="8" t="s">
        <v>32</v>
      </c>
      <c r="H130" s="70" t="s">
        <v>732</v>
      </c>
      <c r="I130" s="8" t="s">
        <v>118</v>
      </c>
      <c r="J130" s="4" t="str">
        <f>PROPER(Sales_data!J130)</f>
        <v>South</v>
      </c>
      <c r="K130" s="4" t="str">
        <f>PROPER(Sales_data!K130)</f>
        <v>Home Appliances</v>
      </c>
      <c r="L130" s="8" t="s">
        <v>101</v>
      </c>
      <c r="M130" s="66">
        <v>11</v>
      </c>
      <c r="N130" s="8">
        <v>3500</v>
      </c>
      <c r="O130" s="8">
        <v>5</v>
      </c>
      <c r="P130" s="8">
        <v>36575</v>
      </c>
      <c r="Q130" s="8">
        <v>5</v>
      </c>
      <c r="R130" s="67" t="s">
        <v>38</v>
      </c>
      <c r="S130" s="8" t="s">
        <v>39</v>
      </c>
      <c r="T130" s="8" t="s">
        <v>260</v>
      </c>
      <c r="U130" s="9" t="s">
        <v>733</v>
      </c>
      <c r="V130" s="8" t="s">
        <v>73</v>
      </c>
      <c r="W130" s="4">
        <f t="shared" si="1"/>
        <v>6</v>
      </c>
    </row>
    <row r="131" spans="1:23">
      <c r="A131" s="3" t="s">
        <v>734</v>
      </c>
      <c r="B131" s="4" t="s">
        <v>172</v>
      </c>
      <c r="C131" s="4" t="s">
        <v>76</v>
      </c>
      <c r="D131" s="31" t="s">
        <v>735</v>
      </c>
      <c r="E131" s="4" t="s">
        <v>736</v>
      </c>
      <c r="F131" s="4" t="str">
        <f>PROPER(TRIM(Sales_data!F131))</f>
        <v>Sneha Joshi</v>
      </c>
      <c r="G131" s="4" t="s">
        <v>32</v>
      </c>
      <c r="H131" s="69" t="s">
        <v>737</v>
      </c>
      <c r="I131" s="4" t="s">
        <v>63</v>
      </c>
      <c r="J131" s="4" t="str">
        <f>PROPER(Sales_data!J131)</f>
        <v>West</v>
      </c>
      <c r="K131" s="4" t="str">
        <f>PROPER(Sales_data!K131)</f>
        <v>Home Appliances</v>
      </c>
      <c r="L131" s="4" t="s">
        <v>82</v>
      </c>
      <c r="M131" s="66">
        <v>14</v>
      </c>
      <c r="N131" s="4">
        <v>1200</v>
      </c>
      <c r="O131" s="4">
        <v>0</v>
      </c>
      <c r="P131" s="4">
        <v>16800</v>
      </c>
      <c r="Q131" s="4">
        <v>5</v>
      </c>
      <c r="R131" s="67" t="s">
        <v>38</v>
      </c>
      <c r="S131" s="4" t="s">
        <v>53</v>
      </c>
      <c r="T131" s="4" t="s">
        <v>179</v>
      </c>
      <c r="U131" s="6" t="s">
        <v>738</v>
      </c>
      <c r="V131" s="4" t="s">
        <v>73</v>
      </c>
      <c r="W131" s="4">
        <f t="shared" ref="W131:W194" si="2">IF(D131="Pending", "0", MONTH(D131))</f>
        <v>4</v>
      </c>
    </row>
    <row r="132" spans="1:23">
      <c r="A132" s="7" t="s">
        <v>739</v>
      </c>
      <c r="B132" s="8" t="s">
        <v>104</v>
      </c>
      <c r="C132" s="8" t="s">
        <v>226</v>
      </c>
      <c r="D132" s="32" t="s">
        <v>740</v>
      </c>
      <c r="E132" s="8" t="s">
        <v>174</v>
      </c>
      <c r="F132" s="4" t="str">
        <f>PROPER(TRIM(Sales_data!F132))</f>
        <v>Anita Gupta</v>
      </c>
      <c r="G132" s="8" t="s">
        <v>32</v>
      </c>
      <c r="H132" s="70" t="s">
        <v>741</v>
      </c>
      <c r="I132" s="8" t="s">
        <v>48</v>
      </c>
      <c r="J132" s="4" t="str">
        <f>PROPER(Sales_data!J132)</f>
        <v>South</v>
      </c>
      <c r="K132" s="4" t="str">
        <f>PROPER(Sales_data!K132)</f>
        <v>Electronics</v>
      </c>
      <c r="L132" s="8" t="s">
        <v>231</v>
      </c>
      <c r="M132" s="66">
        <v>11</v>
      </c>
      <c r="N132" s="8">
        <v>20</v>
      </c>
      <c r="O132" s="8">
        <v>20</v>
      </c>
      <c r="P132" s="8">
        <v>176</v>
      </c>
      <c r="Q132" s="8">
        <v>4</v>
      </c>
      <c r="R132" s="67" t="s">
        <v>52</v>
      </c>
      <c r="S132" s="8" t="s">
        <v>39</v>
      </c>
      <c r="T132" s="8" t="s">
        <v>148</v>
      </c>
      <c r="U132" s="9" t="s">
        <v>742</v>
      </c>
      <c r="V132" s="8" t="s">
        <v>42</v>
      </c>
      <c r="W132" s="4">
        <f t="shared" si="2"/>
        <v>2</v>
      </c>
    </row>
    <row r="133" spans="1:23">
      <c r="A133" s="3" t="s">
        <v>743</v>
      </c>
      <c r="B133" s="4" t="s">
        <v>75</v>
      </c>
      <c r="C133" s="4" t="s">
        <v>44</v>
      </c>
      <c r="D133" s="31" t="s">
        <v>744</v>
      </c>
      <c r="E133" s="4" t="s">
        <v>661</v>
      </c>
      <c r="F133" s="4" t="str">
        <f>PROPER(TRIM(Sales_data!F133))</f>
        <v>Priya Patel</v>
      </c>
      <c r="G133" s="4" t="s">
        <v>80</v>
      </c>
      <c r="H133" s="69" t="s">
        <v>745</v>
      </c>
      <c r="I133" s="4" t="s">
        <v>118</v>
      </c>
      <c r="J133" s="4" t="str">
        <f>PROPER(Sales_data!J133)</f>
        <v>North</v>
      </c>
      <c r="K133" s="4" t="str">
        <f>PROPER(Sales_data!K133)</f>
        <v>Stationery</v>
      </c>
      <c r="L133" s="4" t="s">
        <v>51</v>
      </c>
      <c r="M133" s="66">
        <v>6</v>
      </c>
      <c r="N133" s="4">
        <v>12000</v>
      </c>
      <c r="O133" s="4">
        <v>10</v>
      </c>
      <c r="P133" s="4">
        <v>64800</v>
      </c>
      <c r="Q133" s="4">
        <v>5</v>
      </c>
      <c r="R133" s="67" t="s">
        <v>92</v>
      </c>
      <c r="S133" s="4" t="s">
        <v>155</v>
      </c>
      <c r="T133" s="4" t="s">
        <v>84</v>
      </c>
      <c r="U133" s="6" t="s">
        <v>746</v>
      </c>
      <c r="V133" s="4" t="s">
        <v>42</v>
      </c>
      <c r="W133" s="4">
        <f t="shared" si="2"/>
        <v>4</v>
      </c>
    </row>
    <row r="134" spans="1:23">
      <c r="A134" s="7" t="s">
        <v>747</v>
      </c>
      <c r="B134" s="8" t="s">
        <v>75</v>
      </c>
      <c r="C134" s="8" t="s">
        <v>28</v>
      </c>
      <c r="D134" s="32" t="s">
        <v>656</v>
      </c>
      <c r="E134" s="8" t="s">
        <v>543</v>
      </c>
      <c r="F134" s="4" t="str">
        <f>PROPER(TRIM(Sales_data!F134))</f>
        <v>Mohit Verma</v>
      </c>
      <c r="G134" s="8" t="s">
        <v>80</v>
      </c>
      <c r="H134" s="70" t="s">
        <v>748</v>
      </c>
      <c r="I134" s="8" t="s">
        <v>34</v>
      </c>
      <c r="J134" s="4" t="str">
        <f>PROPER(Sales_data!J134)</f>
        <v>West</v>
      </c>
      <c r="K134" s="4" t="str">
        <f>PROPER(Sales_data!K134)</f>
        <v>Electronics</v>
      </c>
      <c r="L134" s="8" t="s">
        <v>37</v>
      </c>
      <c r="M134" s="66">
        <v>6</v>
      </c>
      <c r="N134" s="8">
        <v>2200</v>
      </c>
      <c r="O134" s="8">
        <v>5</v>
      </c>
      <c r="P134" s="8">
        <v>12540</v>
      </c>
      <c r="Q134" s="8">
        <v>4</v>
      </c>
      <c r="R134" s="67" t="s">
        <v>38</v>
      </c>
      <c r="S134" s="8" t="s">
        <v>53</v>
      </c>
      <c r="T134" s="8" t="s">
        <v>84</v>
      </c>
      <c r="U134" s="9" t="s">
        <v>749</v>
      </c>
      <c r="V134" s="8" t="s">
        <v>42</v>
      </c>
      <c r="W134" s="4">
        <f t="shared" si="2"/>
        <v>4</v>
      </c>
    </row>
    <row r="135" spans="1:23">
      <c r="A135" s="3" t="s">
        <v>750</v>
      </c>
      <c r="B135" s="4" t="s">
        <v>57</v>
      </c>
      <c r="C135" s="4" t="s">
        <v>96</v>
      </c>
      <c r="D135" s="31" t="s">
        <v>412</v>
      </c>
      <c r="E135" s="4" t="s">
        <v>492</v>
      </c>
      <c r="F135" s="4" t="str">
        <f>PROPER(TRIM(Sales_data!F135))</f>
        <v>Mohit Verma</v>
      </c>
      <c r="G135" s="4" t="s">
        <v>32</v>
      </c>
      <c r="H135" s="69" t="s">
        <v>751</v>
      </c>
      <c r="I135" s="4" t="s">
        <v>48</v>
      </c>
      <c r="J135" s="4" t="str">
        <f>PROPER(Sales_data!J135)</f>
        <v>South</v>
      </c>
      <c r="K135" s="4" t="str">
        <f>PROPER(Sales_data!K135)</f>
        <v>Home Appliances</v>
      </c>
      <c r="L135" s="4" t="s">
        <v>101</v>
      </c>
      <c r="M135" s="66">
        <v>3</v>
      </c>
      <c r="N135" s="4">
        <v>3500</v>
      </c>
      <c r="O135" s="4">
        <v>5</v>
      </c>
      <c r="P135" s="4">
        <v>9975</v>
      </c>
      <c r="Q135" s="4">
        <v>4</v>
      </c>
      <c r="R135" s="67" t="s">
        <v>52</v>
      </c>
      <c r="S135" s="4" t="s">
        <v>53</v>
      </c>
      <c r="T135" s="4" t="s">
        <v>66</v>
      </c>
      <c r="U135" s="6" t="s">
        <v>752</v>
      </c>
      <c r="V135" s="4" t="s">
        <v>68</v>
      </c>
      <c r="W135" s="4">
        <f t="shared" si="2"/>
        <v>6</v>
      </c>
    </row>
    <row r="136" spans="1:23">
      <c r="A136" s="7" t="s">
        <v>753</v>
      </c>
      <c r="B136" s="8" t="s">
        <v>75</v>
      </c>
      <c r="C136" s="8" t="s">
        <v>173</v>
      </c>
      <c r="D136" s="32" t="s">
        <v>754</v>
      </c>
      <c r="E136" s="8" t="s">
        <v>755</v>
      </c>
      <c r="F136" s="4" t="str">
        <f>PROPER(TRIM(Sales_data!F136))</f>
        <v>Pooja Shah</v>
      </c>
      <c r="G136" s="8" t="s">
        <v>80</v>
      </c>
      <c r="H136" s="70" t="s">
        <v>756</v>
      </c>
      <c r="I136" s="8" t="s">
        <v>34</v>
      </c>
      <c r="J136" s="4" t="str">
        <f>PROPER(Sales_data!J136)</f>
        <v>North</v>
      </c>
      <c r="K136" s="4" t="str">
        <f>PROPER(Sales_data!K136)</f>
        <v>Home Appliances</v>
      </c>
      <c r="L136" s="8" t="s">
        <v>178</v>
      </c>
      <c r="M136" s="66">
        <v>5</v>
      </c>
      <c r="N136" s="8">
        <v>8500</v>
      </c>
      <c r="O136" s="8">
        <v>20</v>
      </c>
      <c r="P136" s="8">
        <v>34000</v>
      </c>
      <c r="Q136" s="8">
        <v>5</v>
      </c>
      <c r="R136" s="67" t="s">
        <v>38</v>
      </c>
      <c r="S136" s="8" t="s">
        <v>65</v>
      </c>
      <c r="T136" s="8" t="s">
        <v>84</v>
      </c>
      <c r="U136" s="9" t="s">
        <v>757</v>
      </c>
      <c r="V136" s="8" t="s">
        <v>68</v>
      </c>
      <c r="W136" s="4">
        <f t="shared" si="2"/>
        <v>6</v>
      </c>
    </row>
    <row r="137" spans="1:23">
      <c r="A137" s="3" t="s">
        <v>758</v>
      </c>
      <c r="B137" s="4" t="s">
        <v>27</v>
      </c>
      <c r="C137" s="4" t="s">
        <v>96</v>
      </c>
      <c r="D137" s="31" t="s">
        <v>759</v>
      </c>
      <c r="E137" s="4" t="s">
        <v>760</v>
      </c>
      <c r="F137" s="4" t="str">
        <f>PROPER(TRIM(Sales_data!F137))</f>
        <v>Mohit Verma</v>
      </c>
      <c r="G137" s="4" t="s">
        <v>32</v>
      </c>
      <c r="H137" s="69" t="s">
        <v>761</v>
      </c>
      <c r="I137" s="4" t="s">
        <v>63</v>
      </c>
      <c r="J137" s="4" t="str">
        <f>PROPER(Sales_data!J137)</f>
        <v>South</v>
      </c>
      <c r="K137" s="4" t="str">
        <f>PROPER(Sales_data!K137)</f>
        <v>Home Appliances</v>
      </c>
      <c r="L137" s="4" t="s">
        <v>101</v>
      </c>
      <c r="M137" s="66">
        <v>14</v>
      </c>
      <c r="N137" s="4">
        <v>3500</v>
      </c>
      <c r="O137" s="4">
        <v>10</v>
      </c>
      <c r="P137" s="4">
        <v>44100</v>
      </c>
      <c r="Q137" s="4">
        <v>4</v>
      </c>
      <c r="R137" s="67" t="s">
        <v>92</v>
      </c>
      <c r="S137" s="4" t="s">
        <v>39</v>
      </c>
      <c r="T137" s="4" t="s">
        <v>54</v>
      </c>
      <c r="U137" s="6" t="s">
        <v>762</v>
      </c>
      <c r="V137" s="4" t="s">
        <v>73</v>
      </c>
      <c r="W137" s="4">
        <f t="shared" si="2"/>
        <v>7</v>
      </c>
    </row>
    <row r="138" spans="1:23">
      <c r="A138" s="7" t="s">
        <v>763</v>
      </c>
      <c r="B138" s="8" t="s">
        <v>331</v>
      </c>
      <c r="C138" s="8" t="s">
        <v>263</v>
      </c>
      <c r="D138" s="32" t="s">
        <v>764</v>
      </c>
      <c r="E138" s="8" t="s">
        <v>765</v>
      </c>
      <c r="F138" s="4" t="str">
        <f>PROPER(TRIM(Sales_data!F138))</f>
        <v>Kavya Nair</v>
      </c>
      <c r="G138" s="8" t="s">
        <v>80</v>
      </c>
      <c r="H138" s="70" t="s">
        <v>766</v>
      </c>
      <c r="I138" s="8" t="s">
        <v>142</v>
      </c>
      <c r="J138" s="4" t="str">
        <f>PROPER(Sales_data!J138)</f>
        <v>South</v>
      </c>
      <c r="K138" s="4" t="str">
        <f>PROPER(Sales_data!K138)</f>
        <v>Home Appliances</v>
      </c>
      <c r="L138" s="8" t="s">
        <v>267</v>
      </c>
      <c r="M138" s="66">
        <v>8</v>
      </c>
      <c r="N138" s="8">
        <v>45</v>
      </c>
      <c r="O138" s="8">
        <v>0</v>
      </c>
      <c r="P138" s="8">
        <v>360</v>
      </c>
      <c r="Q138" s="8">
        <v>1</v>
      </c>
      <c r="R138" s="67" t="s">
        <v>83</v>
      </c>
      <c r="S138" s="8" t="s">
        <v>155</v>
      </c>
      <c r="T138" s="8" t="s">
        <v>336</v>
      </c>
      <c r="U138" s="9" t="s">
        <v>767</v>
      </c>
      <c r="V138" s="8" t="s">
        <v>73</v>
      </c>
      <c r="W138" s="4">
        <f t="shared" si="2"/>
        <v>1</v>
      </c>
    </row>
    <row r="139" spans="1:23">
      <c r="A139" s="3" t="s">
        <v>768</v>
      </c>
      <c r="B139" s="4" t="s">
        <v>225</v>
      </c>
      <c r="C139" s="4" t="s">
        <v>263</v>
      </c>
      <c r="D139" s="31" t="s">
        <v>769</v>
      </c>
      <c r="E139" s="4" t="s">
        <v>770</v>
      </c>
      <c r="F139" s="4" t="str">
        <f>PROPER(TRIM(Sales_data!F139))</f>
        <v>Amit Sharma</v>
      </c>
      <c r="G139" s="4" t="s">
        <v>80</v>
      </c>
      <c r="H139" s="69" t="s">
        <v>771</v>
      </c>
      <c r="I139" s="4" t="s">
        <v>48</v>
      </c>
      <c r="J139" s="4" t="str">
        <f>PROPER(Sales_data!J139)</f>
        <v>West</v>
      </c>
      <c r="K139" s="4" t="str">
        <f>PROPER(Sales_data!K139)</f>
        <v>Stationery</v>
      </c>
      <c r="L139" s="4" t="s">
        <v>267</v>
      </c>
      <c r="M139" s="66">
        <v>11</v>
      </c>
      <c r="N139" s="4">
        <v>45</v>
      </c>
      <c r="O139" s="4">
        <v>5</v>
      </c>
      <c r="P139" s="4">
        <v>470.25</v>
      </c>
      <c r="Q139" s="4">
        <v>3</v>
      </c>
      <c r="R139" s="67" t="s">
        <v>83</v>
      </c>
      <c r="S139" s="4" t="s">
        <v>53</v>
      </c>
      <c r="T139" s="4" t="s">
        <v>232</v>
      </c>
      <c r="U139" s="6" t="s">
        <v>772</v>
      </c>
      <c r="V139" s="4" t="s">
        <v>42</v>
      </c>
      <c r="W139" s="4">
        <f t="shared" si="2"/>
        <v>2</v>
      </c>
    </row>
    <row r="140" spans="1:23">
      <c r="A140" s="7" t="s">
        <v>773</v>
      </c>
      <c r="B140" s="8" t="s">
        <v>87</v>
      </c>
      <c r="C140" s="8" t="s">
        <v>58</v>
      </c>
      <c r="D140" s="32" t="s">
        <v>774</v>
      </c>
      <c r="E140" s="8" t="s">
        <v>775</v>
      </c>
      <c r="F140" s="4" t="str">
        <f>PROPER(TRIM(Sales_data!F140))</f>
        <v>Vikas Mehta</v>
      </c>
      <c r="G140" s="8" t="s">
        <v>80</v>
      </c>
      <c r="H140" s="70" t="s">
        <v>776</v>
      </c>
      <c r="I140" s="8" t="s">
        <v>142</v>
      </c>
      <c r="J140" s="4" t="str">
        <f>PROPER(Sales_data!J140)</f>
        <v>North</v>
      </c>
      <c r="K140" s="4" t="str">
        <f>PROPER(Sales_data!K140)</f>
        <v>Stationery</v>
      </c>
      <c r="L140" s="8" t="s">
        <v>64</v>
      </c>
      <c r="M140" s="66">
        <v>19</v>
      </c>
      <c r="N140" s="8">
        <v>55000</v>
      </c>
      <c r="O140" s="8">
        <v>0</v>
      </c>
      <c r="P140" s="8">
        <v>1045000</v>
      </c>
      <c r="Q140" s="8">
        <v>2</v>
      </c>
      <c r="R140" s="67" t="s">
        <v>83</v>
      </c>
      <c r="S140" s="8" t="s">
        <v>39</v>
      </c>
      <c r="T140" s="8" t="s">
        <v>93</v>
      </c>
      <c r="U140" s="9" t="s">
        <v>777</v>
      </c>
      <c r="V140" s="8" t="s">
        <v>73</v>
      </c>
      <c r="W140" s="4">
        <f t="shared" si="2"/>
        <v>1</v>
      </c>
    </row>
    <row r="141" spans="1:23">
      <c r="A141" s="3" t="s">
        <v>778</v>
      </c>
      <c r="B141" s="4" t="s">
        <v>57</v>
      </c>
      <c r="C141" s="4" t="s">
        <v>96</v>
      </c>
      <c r="D141" s="31" t="s">
        <v>779</v>
      </c>
      <c r="E141" s="4" t="s">
        <v>543</v>
      </c>
      <c r="F141" s="4" t="str">
        <f>PROPER(TRIM(Sales_data!F141))</f>
        <v>Arjun Rao</v>
      </c>
      <c r="G141" s="4" t="s">
        <v>32</v>
      </c>
      <c r="H141" s="69" t="s">
        <v>780</v>
      </c>
      <c r="I141" s="4" t="s">
        <v>118</v>
      </c>
      <c r="J141" s="4" t="str">
        <f>PROPER(Sales_data!J141)</f>
        <v>West</v>
      </c>
      <c r="K141" s="4" t="str">
        <f>PROPER(Sales_data!K141)</f>
        <v>Electronics</v>
      </c>
      <c r="L141" s="4" t="s">
        <v>101</v>
      </c>
      <c r="M141" s="66">
        <v>20</v>
      </c>
      <c r="N141" s="4">
        <v>3500</v>
      </c>
      <c r="O141" s="4">
        <v>20</v>
      </c>
      <c r="P141" s="4">
        <v>56000</v>
      </c>
      <c r="Q141" s="4">
        <v>4</v>
      </c>
      <c r="R141" s="67" t="s">
        <v>52</v>
      </c>
      <c r="S141" s="4" t="s">
        <v>53</v>
      </c>
      <c r="T141" s="4" t="s">
        <v>66</v>
      </c>
      <c r="U141" s="6" t="s">
        <v>781</v>
      </c>
      <c r="V141" s="4" t="s">
        <v>42</v>
      </c>
      <c r="W141" s="4">
        <f t="shared" si="2"/>
        <v>4</v>
      </c>
    </row>
    <row r="142" spans="1:23">
      <c r="A142" s="7" t="s">
        <v>782</v>
      </c>
      <c r="B142" s="8" t="s">
        <v>87</v>
      </c>
      <c r="C142" s="8" t="s">
        <v>28</v>
      </c>
      <c r="D142" s="32" t="s">
        <v>280</v>
      </c>
      <c r="E142" s="8" t="s">
        <v>783</v>
      </c>
      <c r="F142" s="4" t="str">
        <f>PROPER(TRIM(Sales_data!F142))</f>
        <v>Pooja Shah</v>
      </c>
      <c r="G142" s="8" t="s">
        <v>80</v>
      </c>
      <c r="H142" s="70" t="s">
        <v>784</v>
      </c>
      <c r="I142" s="8" t="s">
        <v>118</v>
      </c>
      <c r="J142" s="4" t="str">
        <f>PROPER(Sales_data!J142)</f>
        <v>West</v>
      </c>
      <c r="K142" s="4" t="str">
        <f>PROPER(Sales_data!K142)</f>
        <v>Home Appliances</v>
      </c>
      <c r="L142" s="8" t="s">
        <v>37</v>
      </c>
      <c r="M142" s="66">
        <v>17</v>
      </c>
      <c r="N142" s="8">
        <v>2200</v>
      </c>
      <c r="O142" s="8">
        <v>0</v>
      </c>
      <c r="P142" s="8">
        <v>37400</v>
      </c>
      <c r="Q142" s="8">
        <v>5</v>
      </c>
      <c r="R142" s="67" t="s">
        <v>52</v>
      </c>
      <c r="S142" s="8" t="s">
        <v>39</v>
      </c>
      <c r="T142" s="8" t="s">
        <v>93</v>
      </c>
      <c r="U142" s="9" t="s">
        <v>785</v>
      </c>
      <c r="V142" s="8" t="s">
        <v>68</v>
      </c>
      <c r="W142" s="4">
        <f t="shared" si="2"/>
        <v>7</v>
      </c>
    </row>
    <row r="143" spans="1:23">
      <c r="A143" s="3" t="s">
        <v>786</v>
      </c>
      <c r="B143" s="4" t="s">
        <v>87</v>
      </c>
      <c r="C143" s="4" t="s">
        <v>76</v>
      </c>
      <c r="D143" s="31" t="s">
        <v>774</v>
      </c>
      <c r="E143" s="4" t="s">
        <v>787</v>
      </c>
      <c r="F143" s="4" t="str">
        <f>PROPER(TRIM(Sales_data!F143))</f>
        <v>Arjun Rao</v>
      </c>
      <c r="G143" s="4" t="s">
        <v>80</v>
      </c>
      <c r="H143" s="69" t="s">
        <v>788</v>
      </c>
      <c r="I143" s="4" t="s">
        <v>118</v>
      </c>
      <c r="J143" s="4" t="str">
        <f>PROPER(Sales_data!J143)</f>
        <v>West</v>
      </c>
      <c r="K143" s="4" t="str">
        <f>PROPER(Sales_data!K143)</f>
        <v>Home Appliances</v>
      </c>
      <c r="L143" s="4" t="s">
        <v>82</v>
      </c>
      <c r="M143" s="66">
        <v>10</v>
      </c>
      <c r="N143" s="4">
        <v>1200</v>
      </c>
      <c r="O143" s="4">
        <v>5</v>
      </c>
      <c r="P143" s="4">
        <v>11400</v>
      </c>
      <c r="Q143" s="4">
        <v>2</v>
      </c>
      <c r="R143" s="67" t="s">
        <v>38</v>
      </c>
      <c r="S143" s="4" t="s">
        <v>53</v>
      </c>
      <c r="T143" s="4" t="s">
        <v>93</v>
      </c>
      <c r="U143" s="6" t="s">
        <v>789</v>
      </c>
      <c r="V143" s="4" t="s">
        <v>73</v>
      </c>
      <c r="W143" s="4">
        <f t="shared" si="2"/>
        <v>1</v>
      </c>
    </row>
    <row r="144" spans="1:23">
      <c r="A144" s="7" t="s">
        <v>790</v>
      </c>
      <c r="B144" s="8" t="s">
        <v>225</v>
      </c>
      <c r="C144" s="8" t="s">
        <v>122</v>
      </c>
      <c r="D144" s="32" t="s">
        <v>791</v>
      </c>
      <c r="E144" s="8" t="s">
        <v>792</v>
      </c>
      <c r="F144" s="4" t="str">
        <f>PROPER(TRIM(Sales_data!F144))</f>
        <v>Arjun Rao</v>
      </c>
      <c r="G144" s="8" t="s">
        <v>80</v>
      </c>
      <c r="H144" s="70" t="s">
        <v>793</v>
      </c>
      <c r="I144" s="8" t="s">
        <v>34</v>
      </c>
      <c r="J144" s="4" t="str">
        <f>PROPER(Sales_data!J144)</f>
        <v>West</v>
      </c>
      <c r="K144" s="4" t="str">
        <f>PROPER(Sales_data!K144)</f>
        <v>Electronics</v>
      </c>
      <c r="L144" s="8" t="s">
        <v>127</v>
      </c>
      <c r="M144" s="66">
        <v>3</v>
      </c>
      <c r="N144" s="8">
        <v>60</v>
      </c>
      <c r="O144" s="8">
        <v>0</v>
      </c>
      <c r="P144" s="8">
        <v>180</v>
      </c>
      <c r="Q144" s="8">
        <v>4</v>
      </c>
      <c r="R144" s="67" t="s">
        <v>52</v>
      </c>
      <c r="S144" s="8" t="s">
        <v>155</v>
      </c>
      <c r="T144" s="8" t="s">
        <v>232</v>
      </c>
      <c r="U144" s="9" t="s">
        <v>794</v>
      </c>
      <c r="V144" s="8" t="s">
        <v>42</v>
      </c>
      <c r="W144" s="4">
        <f t="shared" si="2"/>
        <v>12</v>
      </c>
    </row>
    <row r="145" spans="1:23">
      <c r="A145" s="3" t="s">
        <v>795</v>
      </c>
      <c r="B145" s="4" t="s">
        <v>57</v>
      </c>
      <c r="C145" s="4" t="s">
        <v>28</v>
      </c>
      <c r="D145" s="31" t="s">
        <v>796</v>
      </c>
      <c r="E145" s="4" t="s">
        <v>797</v>
      </c>
      <c r="F145" s="4" t="str">
        <f>PROPER(TRIM(Sales_data!F145))</f>
        <v>Vikas Mehta</v>
      </c>
      <c r="G145" s="4" t="s">
        <v>32</v>
      </c>
      <c r="H145" s="69" t="s">
        <v>798</v>
      </c>
      <c r="I145" s="4" t="s">
        <v>109</v>
      </c>
      <c r="J145" s="4" t="str">
        <f>PROPER(Sales_data!J145)</f>
        <v>South</v>
      </c>
      <c r="K145" s="4" t="str">
        <f>PROPER(Sales_data!K145)</f>
        <v>Stationery</v>
      </c>
      <c r="L145" s="4" t="s">
        <v>37</v>
      </c>
      <c r="M145" s="66">
        <v>18</v>
      </c>
      <c r="N145" s="4">
        <v>2200</v>
      </c>
      <c r="O145" s="4">
        <v>10</v>
      </c>
      <c r="P145" s="4">
        <v>35640</v>
      </c>
      <c r="Q145" s="4">
        <v>1</v>
      </c>
      <c r="R145" s="67" t="s">
        <v>83</v>
      </c>
      <c r="S145" s="4" t="s">
        <v>155</v>
      </c>
      <c r="T145" s="4" t="s">
        <v>66</v>
      </c>
      <c r="U145" s="6" t="s">
        <v>799</v>
      </c>
      <c r="V145" s="4" t="s">
        <v>73</v>
      </c>
      <c r="W145" s="4">
        <f t="shared" si="2"/>
        <v>10</v>
      </c>
    </row>
    <row r="146" spans="1:23">
      <c r="A146" s="7" t="s">
        <v>800</v>
      </c>
      <c r="B146" s="8" t="s">
        <v>75</v>
      </c>
      <c r="C146" s="8" t="s">
        <v>122</v>
      </c>
      <c r="D146" s="32" t="s">
        <v>801</v>
      </c>
      <c r="E146" s="8" t="s">
        <v>802</v>
      </c>
      <c r="F146" s="4" t="str">
        <f>PROPER(TRIM(Sales_data!F146))</f>
        <v>Pooja Shah</v>
      </c>
      <c r="G146" s="8" t="s">
        <v>80</v>
      </c>
      <c r="H146" s="70" t="s">
        <v>803</v>
      </c>
      <c r="I146" s="8" t="s">
        <v>48</v>
      </c>
      <c r="J146" s="4" t="str">
        <f>PROPER(Sales_data!J146)</f>
        <v>West</v>
      </c>
      <c r="K146" s="4" t="str">
        <f>PROPER(Sales_data!K146)</f>
        <v>Home Appliances</v>
      </c>
      <c r="L146" s="8" t="s">
        <v>127</v>
      </c>
      <c r="M146" s="66">
        <v>18</v>
      </c>
      <c r="N146" s="8">
        <v>60</v>
      </c>
      <c r="O146" s="8">
        <v>5</v>
      </c>
      <c r="P146" s="8">
        <v>1026</v>
      </c>
      <c r="Q146" s="8">
        <v>3</v>
      </c>
      <c r="R146" s="67" t="s">
        <v>83</v>
      </c>
      <c r="S146" s="8" t="s">
        <v>53</v>
      </c>
      <c r="T146" s="8" t="s">
        <v>84</v>
      </c>
      <c r="U146" s="9" t="s">
        <v>804</v>
      </c>
      <c r="V146" s="8" t="s">
        <v>68</v>
      </c>
      <c r="W146" s="4">
        <f t="shared" si="2"/>
        <v>3</v>
      </c>
    </row>
    <row r="147" spans="1:23">
      <c r="A147" s="3" t="s">
        <v>805</v>
      </c>
      <c r="B147" s="4" t="s">
        <v>131</v>
      </c>
      <c r="C147" s="4" t="s">
        <v>58</v>
      </c>
      <c r="D147" s="31" t="s">
        <v>426</v>
      </c>
      <c r="E147" s="4" t="s">
        <v>381</v>
      </c>
      <c r="F147" s="4" t="str">
        <f>PROPER(TRIM(Sales_data!F147))</f>
        <v>Mohit Verma</v>
      </c>
      <c r="G147" s="4" t="s">
        <v>80</v>
      </c>
      <c r="H147" s="69" t="s">
        <v>806</v>
      </c>
      <c r="I147" s="4" t="s">
        <v>118</v>
      </c>
      <c r="J147" s="4" t="str">
        <f>PROPER(Sales_data!J147)</f>
        <v>North</v>
      </c>
      <c r="K147" s="4" t="str">
        <f>PROPER(Sales_data!K147)</f>
        <v>Stationery</v>
      </c>
      <c r="L147" s="4" t="s">
        <v>64</v>
      </c>
      <c r="M147" s="66">
        <v>11</v>
      </c>
      <c r="N147" s="4">
        <v>55000</v>
      </c>
      <c r="O147" s="4">
        <v>15</v>
      </c>
      <c r="P147" s="4">
        <v>514250</v>
      </c>
      <c r="Q147" s="4">
        <v>4</v>
      </c>
      <c r="R147" s="67" t="s">
        <v>92</v>
      </c>
      <c r="S147" s="4" t="s">
        <v>119</v>
      </c>
      <c r="T147" s="4" t="s">
        <v>136</v>
      </c>
      <c r="U147" s="6" t="s">
        <v>807</v>
      </c>
      <c r="V147" s="4" t="s">
        <v>73</v>
      </c>
      <c r="W147" s="4">
        <f t="shared" si="2"/>
        <v>8</v>
      </c>
    </row>
    <row r="148" spans="1:23">
      <c r="A148" s="7" t="s">
        <v>808</v>
      </c>
      <c r="B148" s="8" t="s">
        <v>255</v>
      </c>
      <c r="C148" s="8" t="s">
        <v>173</v>
      </c>
      <c r="D148" s="32" t="s">
        <v>478</v>
      </c>
      <c r="E148" s="8" t="s">
        <v>468</v>
      </c>
      <c r="F148" s="4" t="str">
        <f>PROPER(TRIM(Sales_data!F148))</f>
        <v>Rohit Singh</v>
      </c>
      <c r="G148" s="8" t="s">
        <v>32</v>
      </c>
      <c r="H148" s="70" t="s">
        <v>809</v>
      </c>
      <c r="I148" s="8" t="s">
        <v>298</v>
      </c>
      <c r="J148" s="4" t="str">
        <f>PROPER(Sales_data!J148)</f>
        <v>West</v>
      </c>
      <c r="K148" s="4" t="str">
        <f>PROPER(Sales_data!K148)</f>
        <v>Electronics</v>
      </c>
      <c r="L148" s="8" t="s">
        <v>178</v>
      </c>
      <c r="M148" s="66">
        <v>5</v>
      </c>
      <c r="N148" s="8">
        <v>8500</v>
      </c>
      <c r="O148" s="8">
        <v>5</v>
      </c>
      <c r="P148" s="8">
        <v>40375</v>
      </c>
      <c r="Q148" s="8">
        <v>4</v>
      </c>
      <c r="R148" s="67" t="s">
        <v>38</v>
      </c>
      <c r="S148" s="8" t="s">
        <v>155</v>
      </c>
      <c r="T148" s="8" t="s">
        <v>260</v>
      </c>
      <c r="U148" s="9" t="s">
        <v>810</v>
      </c>
      <c r="V148" s="8" t="s">
        <v>42</v>
      </c>
      <c r="W148" s="4">
        <f t="shared" si="2"/>
        <v>12</v>
      </c>
    </row>
    <row r="149" spans="1:23">
      <c r="A149" s="7" t="s">
        <v>813</v>
      </c>
      <c r="B149" s="8" t="s">
        <v>131</v>
      </c>
      <c r="C149" s="8" t="s">
        <v>188</v>
      </c>
      <c r="D149" s="32" t="s">
        <v>493</v>
      </c>
      <c r="E149" s="8" t="s">
        <v>271</v>
      </c>
      <c r="F149" s="4" t="str">
        <f>PROPER(TRIM(Sales_data!F149))</f>
        <v>Sneha Joshi</v>
      </c>
      <c r="G149" s="8" t="s">
        <v>80</v>
      </c>
      <c r="H149" s="70" t="s">
        <v>814</v>
      </c>
      <c r="I149" s="8" t="s">
        <v>118</v>
      </c>
      <c r="J149" s="4" t="str">
        <f>PROPER(Sales_data!J149)</f>
        <v>East</v>
      </c>
      <c r="K149" s="4" t="str">
        <f>PROPER(Sales_data!K149)</f>
        <v>Home Appliances</v>
      </c>
      <c r="L149" s="8" t="s">
        <v>193</v>
      </c>
      <c r="M149" s="66">
        <v>6</v>
      </c>
      <c r="N149" s="8">
        <v>700</v>
      </c>
      <c r="O149" s="8">
        <v>10</v>
      </c>
      <c r="P149" s="8">
        <v>3780</v>
      </c>
      <c r="Q149" s="8">
        <v>4</v>
      </c>
      <c r="R149" s="67" t="s">
        <v>38</v>
      </c>
      <c r="S149" s="8" t="s">
        <v>53</v>
      </c>
      <c r="T149" s="8" t="s">
        <v>136</v>
      </c>
      <c r="U149" s="9" t="s">
        <v>815</v>
      </c>
      <c r="V149" s="8" t="s">
        <v>73</v>
      </c>
      <c r="W149" s="4">
        <f t="shared" si="2"/>
        <v>7</v>
      </c>
    </row>
    <row r="150" spans="1:23">
      <c r="A150" s="3" t="s">
        <v>816</v>
      </c>
      <c r="B150" s="4" t="s">
        <v>57</v>
      </c>
      <c r="C150" s="4" t="s">
        <v>96</v>
      </c>
      <c r="D150" s="31" t="s">
        <v>522</v>
      </c>
      <c r="E150" s="4" t="s">
        <v>619</v>
      </c>
      <c r="F150" s="4" t="str">
        <f>PROPER(TRIM(Sales_data!F150))</f>
        <v>Priya Patel</v>
      </c>
      <c r="G150" s="4" t="s">
        <v>32</v>
      </c>
      <c r="H150" s="69" t="s">
        <v>817</v>
      </c>
      <c r="I150" s="4" t="s">
        <v>48</v>
      </c>
      <c r="J150" s="4" t="str">
        <f>PROPER(Sales_data!J150)</f>
        <v>North</v>
      </c>
      <c r="K150" s="4" t="str">
        <f>PROPER(Sales_data!K150)</f>
        <v>Electronics</v>
      </c>
      <c r="L150" s="4" t="s">
        <v>101</v>
      </c>
      <c r="M150" s="66">
        <v>20</v>
      </c>
      <c r="N150" s="4">
        <v>3500</v>
      </c>
      <c r="O150" s="4">
        <v>10</v>
      </c>
      <c r="P150" s="4">
        <v>63000</v>
      </c>
      <c r="Q150" s="4">
        <v>4</v>
      </c>
      <c r="R150" s="67" t="s">
        <v>92</v>
      </c>
      <c r="S150" s="4" t="s">
        <v>53</v>
      </c>
      <c r="T150" s="4" t="s">
        <v>66</v>
      </c>
      <c r="U150" s="6" t="s">
        <v>818</v>
      </c>
      <c r="V150" s="4" t="s">
        <v>68</v>
      </c>
      <c r="W150" s="4">
        <f t="shared" si="2"/>
        <v>5</v>
      </c>
    </row>
    <row r="151" spans="1:23">
      <c r="A151" s="7" t="s">
        <v>819</v>
      </c>
      <c r="B151" s="8" t="s">
        <v>27</v>
      </c>
      <c r="C151" s="8" t="s">
        <v>226</v>
      </c>
      <c r="D151" s="32" t="s">
        <v>820</v>
      </c>
      <c r="E151" s="8" t="s">
        <v>821</v>
      </c>
      <c r="F151" s="4" t="str">
        <f>PROPER(TRIM(Sales_data!F151))</f>
        <v>Rohit Singh</v>
      </c>
      <c r="G151" s="8" t="s">
        <v>32</v>
      </c>
      <c r="H151" s="70" t="s">
        <v>822</v>
      </c>
      <c r="I151" s="8" t="s">
        <v>63</v>
      </c>
      <c r="J151" s="4" t="str">
        <f>PROPER(Sales_data!J151)</f>
        <v>West</v>
      </c>
      <c r="K151" s="4" t="str">
        <f>PROPER(Sales_data!K151)</f>
        <v>Electronics</v>
      </c>
      <c r="L151" s="8" t="s">
        <v>231</v>
      </c>
      <c r="M151" s="66">
        <v>2</v>
      </c>
      <c r="N151" s="8">
        <v>20</v>
      </c>
      <c r="O151" s="8">
        <v>10</v>
      </c>
      <c r="P151" s="8">
        <v>36</v>
      </c>
      <c r="Q151" s="8">
        <v>1</v>
      </c>
      <c r="R151" s="67" t="s">
        <v>52</v>
      </c>
      <c r="S151" s="8" t="s">
        <v>119</v>
      </c>
      <c r="T151" s="8" t="s">
        <v>54</v>
      </c>
      <c r="U151" s="9" t="s">
        <v>823</v>
      </c>
      <c r="V151" s="8" t="s">
        <v>68</v>
      </c>
      <c r="W151" s="4">
        <f t="shared" si="2"/>
        <v>11</v>
      </c>
    </row>
    <row r="152" spans="1:23">
      <c r="A152" s="3" t="s">
        <v>824</v>
      </c>
      <c r="B152" s="4" t="s">
        <v>104</v>
      </c>
      <c r="C152" s="4" t="s">
        <v>28</v>
      </c>
      <c r="D152" s="31" t="s">
        <v>783</v>
      </c>
      <c r="E152" s="4" t="s">
        <v>825</v>
      </c>
      <c r="F152" s="4" t="str">
        <f>PROPER(TRIM(Sales_data!F152))</f>
        <v>Pooja Shah</v>
      </c>
      <c r="G152" s="4" t="s">
        <v>32</v>
      </c>
      <c r="H152" s="69" t="s">
        <v>826</v>
      </c>
      <c r="I152" s="4" t="s">
        <v>118</v>
      </c>
      <c r="J152" s="4" t="str">
        <f>PROPER(Sales_data!J152)</f>
        <v>North</v>
      </c>
      <c r="K152" s="4" t="str">
        <f>PROPER(Sales_data!K152)</f>
        <v>Home Appliances</v>
      </c>
      <c r="L152" s="4" t="s">
        <v>37</v>
      </c>
      <c r="M152" s="66">
        <v>16</v>
      </c>
      <c r="N152" s="4">
        <v>2200</v>
      </c>
      <c r="O152" s="4">
        <v>20</v>
      </c>
      <c r="P152" s="4">
        <v>28160</v>
      </c>
      <c r="Q152" s="4">
        <v>2</v>
      </c>
      <c r="R152" s="67" t="s">
        <v>92</v>
      </c>
      <c r="S152" s="4" t="s">
        <v>155</v>
      </c>
      <c r="T152" s="4" t="s">
        <v>148</v>
      </c>
      <c r="U152" s="6" t="s">
        <v>827</v>
      </c>
      <c r="V152" s="4" t="s">
        <v>68</v>
      </c>
      <c r="W152" s="4">
        <f t="shared" si="2"/>
        <v>7</v>
      </c>
    </row>
    <row r="153" spans="1:23">
      <c r="A153" s="7" t="s">
        <v>828</v>
      </c>
      <c r="B153" s="8" t="s">
        <v>225</v>
      </c>
      <c r="C153" s="8" t="s">
        <v>44</v>
      </c>
      <c r="D153" s="32" t="s">
        <v>152</v>
      </c>
      <c r="E153" s="8" t="s">
        <v>829</v>
      </c>
      <c r="F153" s="4" t="str">
        <f>PROPER(TRIM(Sales_data!F153))</f>
        <v>Kavya Nair</v>
      </c>
      <c r="G153" s="8" t="s">
        <v>80</v>
      </c>
      <c r="H153" s="70" t="s">
        <v>830</v>
      </c>
      <c r="I153" s="8" t="s">
        <v>118</v>
      </c>
      <c r="J153" s="4" t="str">
        <f>PROPER(Sales_data!J153)</f>
        <v>South</v>
      </c>
      <c r="K153" s="4" t="str">
        <f>PROPER(Sales_data!K153)</f>
        <v>Stationery</v>
      </c>
      <c r="L153" s="8" t="s">
        <v>51</v>
      </c>
      <c r="M153" s="66">
        <v>15</v>
      </c>
      <c r="N153" s="8">
        <v>12000</v>
      </c>
      <c r="O153" s="8">
        <v>0</v>
      </c>
      <c r="P153" s="8">
        <v>180000</v>
      </c>
      <c r="Q153" s="8">
        <v>1</v>
      </c>
      <c r="R153" s="67" t="s">
        <v>83</v>
      </c>
      <c r="S153" s="8" t="s">
        <v>65</v>
      </c>
      <c r="T153" s="8" t="s">
        <v>232</v>
      </c>
      <c r="U153" s="9" t="s">
        <v>831</v>
      </c>
      <c r="V153" s="8" t="s">
        <v>68</v>
      </c>
      <c r="W153" s="4">
        <f t="shared" si="2"/>
        <v>3</v>
      </c>
    </row>
    <row r="154" spans="1:23">
      <c r="A154" s="3" t="s">
        <v>832</v>
      </c>
      <c r="B154" s="4" t="s">
        <v>27</v>
      </c>
      <c r="C154" s="4" t="s">
        <v>122</v>
      </c>
      <c r="D154" s="31" t="s">
        <v>833</v>
      </c>
      <c r="E154" s="4" t="s">
        <v>834</v>
      </c>
      <c r="F154" s="4" t="str">
        <f>PROPER(TRIM(Sales_data!F154))</f>
        <v>Priya Patel</v>
      </c>
      <c r="G154" s="4" t="s">
        <v>32</v>
      </c>
      <c r="H154" s="69" t="s">
        <v>835</v>
      </c>
      <c r="I154" s="4" t="s">
        <v>48</v>
      </c>
      <c r="J154" s="4" t="str">
        <f>PROPER(Sales_data!J154)</f>
        <v>West</v>
      </c>
      <c r="K154" s="4" t="str">
        <f>PROPER(Sales_data!K154)</f>
        <v>Home Appliances</v>
      </c>
      <c r="L154" s="4" t="s">
        <v>127</v>
      </c>
      <c r="M154" s="66">
        <v>14</v>
      </c>
      <c r="N154" s="4">
        <v>60</v>
      </c>
      <c r="O154" s="4">
        <v>15</v>
      </c>
      <c r="P154" s="4">
        <v>714</v>
      </c>
      <c r="Q154" s="4">
        <v>4</v>
      </c>
      <c r="R154" s="67" t="s">
        <v>92</v>
      </c>
      <c r="S154" s="4" t="s">
        <v>53</v>
      </c>
      <c r="T154" s="4" t="s">
        <v>54</v>
      </c>
      <c r="U154" s="6" t="s">
        <v>836</v>
      </c>
      <c r="V154" s="4" t="s">
        <v>42</v>
      </c>
      <c r="W154" s="4">
        <f t="shared" si="2"/>
        <v>7</v>
      </c>
    </row>
    <row r="155" spans="1:23">
      <c r="A155" s="7" t="s">
        <v>837</v>
      </c>
      <c r="B155" s="8" t="s">
        <v>57</v>
      </c>
      <c r="C155" s="8" t="s">
        <v>76</v>
      </c>
      <c r="D155" s="32" t="s">
        <v>838</v>
      </c>
      <c r="E155" s="8" t="s">
        <v>839</v>
      </c>
      <c r="F155" s="4" t="str">
        <f>PROPER(TRIM(Sales_data!F155))</f>
        <v>Vikas Mehta</v>
      </c>
      <c r="G155" s="8" t="s">
        <v>32</v>
      </c>
      <c r="H155" s="70" t="s">
        <v>840</v>
      </c>
      <c r="I155" s="8" t="s">
        <v>34</v>
      </c>
      <c r="J155" s="4" t="str">
        <f>PROPER(Sales_data!J155)</f>
        <v>West</v>
      </c>
      <c r="K155" s="4" t="str">
        <f>PROPER(Sales_data!K155)</f>
        <v>Electronics</v>
      </c>
      <c r="L155" s="8" t="s">
        <v>82</v>
      </c>
      <c r="M155" s="66">
        <v>9</v>
      </c>
      <c r="N155" s="8">
        <v>1200</v>
      </c>
      <c r="O155" s="8">
        <v>5</v>
      </c>
      <c r="P155" s="8">
        <v>10260</v>
      </c>
      <c r="Q155" s="8">
        <v>5</v>
      </c>
      <c r="R155" s="67" t="s">
        <v>52</v>
      </c>
      <c r="S155" s="8" t="s">
        <v>65</v>
      </c>
      <c r="T155" s="8" t="s">
        <v>66</v>
      </c>
      <c r="U155" s="9" t="s">
        <v>841</v>
      </c>
      <c r="V155" s="8" t="s">
        <v>68</v>
      </c>
      <c r="W155" s="4">
        <f t="shared" si="2"/>
        <v>7</v>
      </c>
    </row>
    <row r="156" spans="1:23">
      <c r="A156" s="3" t="s">
        <v>842</v>
      </c>
      <c r="B156" s="4" t="s">
        <v>225</v>
      </c>
      <c r="C156" s="4" t="s">
        <v>76</v>
      </c>
      <c r="D156" s="31" t="s">
        <v>825</v>
      </c>
      <c r="E156" s="4" t="s">
        <v>843</v>
      </c>
      <c r="F156" s="4" t="str">
        <f>PROPER(TRIM(Sales_data!F156))</f>
        <v>Kavya Nair</v>
      </c>
      <c r="G156" s="4" t="s">
        <v>80</v>
      </c>
      <c r="H156" s="69" t="s">
        <v>844</v>
      </c>
      <c r="I156" s="4" t="s">
        <v>298</v>
      </c>
      <c r="J156" s="4" t="str">
        <f>PROPER(Sales_data!J156)</f>
        <v>North</v>
      </c>
      <c r="K156" s="4" t="str">
        <f>PROPER(Sales_data!K156)</f>
        <v>Stationery</v>
      </c>
      <c r="L156" s="4" t="s">
        <v>82</v>
      </c>
      <c r="M156" s="66">
        <v>3</v>
      </c>
      <c r="N156" s="4">
        <v>1200</v>
      </c>
      <c r="O156" s="4">
        <v>10</v>
      </c>
      <c r="P156" s="4">
        <v>3240</v>
      </c>
      <c r="Q156" s="4">
        <v>2</v>
      </c>
      <c r="R156" s="67" t="s">
        <v>83</v>
      </c>
      <c r="S156" s="4" t="s">
        <v>155</v>
      </c>
      <c r="T156" s="4" t="s">
        <v>232</v>
      </c>
      <c r="U156" s="6" t="s">
        <v>845</v>
      </c>
      <c r="V156" s="4" t="s">
        <v>73</v>
      </c>
      <c r="W156" s="4">
        <f t="shared" si="2"/>
        <v>7</v>
      </c>
    </row>
    <row r="157" spans="1:23">
      <c r="A157" s="7" t="s">
        <v>846</v>
      </c>
      <c r="B157" s="8" t="s">
        <v>331</v>
      </c>
      <c r="C157" s="8" t="s">
        <v>122</v>
      </c>
      <c r="D157" s="32" t="s">
        <v>463</v>
      </c>
      <c r="E157" s="8" t="s">
        <v>581</v>
      </c>
      <c r="F157" s="4" t="str">
        <f>PROPER(TRIM(Sales_data!F157))</f>
        <v>Pooja Shah</v>
      </c>
      <c r="G157" s="8" t="s">
        <v>80</v>
      </c>
      <c r="H157" s="70" t="s">
        <v>847</v>
      </c>
      <c r="I157" s="8" t="s">
        <v>34</v>
      </c>
      <c r="J157" s="4" t="str">
        <f>PROPER(Sales_data!J157)</f>
        <v>South</v>
      </c>
      <c r="K157" s="4" t="str">
        <f>PROPER(Sales_data!K157)</f>
        <v>Electronics</v>
      </c>
      <c r="L157" s="8" t="s">
        <v>127</v>
      </c>
      <c r="M157" s="66">
        <v>2</v>
      </c>
      <c r="N157" s="8">
        <v>60</v>
      </c>
      <c r="O157" s="8">
        <v>10</v>
      </c>
      <c r="P157" s="8">
        <v>108</v>
      </c>
      <c r="Q157" s="8">
        <v>2</v>
      </c>
      <c r="R157" s="67" t="s">
        <v>92</v>
      </c>
      <c r="S157" s="8" t="s">
        <v>65</v>
      </c>
      <c r="T157" s="8" t="s">
        <v>336</v>
      </c>
      <c r="U157" s="9" t="s">
        <v>848</v>
      </c>
      <c r="V157" s="8" t="s">
        <v>42</v>
      </c>
      <c r="W157" s="4">
        <f t="shared" si="2"/>
        <v>4</v>
      </c>
    </row>
    <row r="158" spans="1:23">
      <c r="A158" s="3" t="s">
        <v>849</v>
      </c>
      <c r="B158" s="4" t="s">
        <v>75</v>
      </c>
      <c r="C158" s="4" t="s">
        <v>96</v>
      </c>
      <c r="D158" s="31" t="s">
        <v>430</v>
      </c>
      <c r="E158" s="4" t="s">
        <v>850</v>
      </c>
      <c r="F158" s="4" t="str">
        <f>PROPER(TRIM(Sales_data!F158))</f>
        <v>Vikas Mehta</v>
      </c>
      <c r="G158" s="4" t="s">
        <v>80</v>
      </c>
      <c r="H158" s="69" t="s">
        <v>851</v>
      </c>
      <c r="I158" s="4" t="s">
        <v>48</v>
      </c>
      <c r="J158" s="4" t="str">
        <f>PROPER(Sales_data!J158)</f>
        <v>East</v>
      </c>
      <c r="K158" s="4" t="str">
        <f>PROPER(Sales_data!K158)</f>
        <v>Electronics</v>
      </c>
      <c r="L158" s="4" t="s">
        <v>101</v>
      </c>
      <c r="M158" s="66">
        <v>9</v>
      </c>
      <c r="N158" s="4">
        <v>3500</v>
      </c>
      <c r="O158" s="4">
        <v>20</v>
      </c>
      <c r="P158" s="4">
        <v>25200</v>
      </c>
      <c r="Q158" s="4">
        <v>1</v>
      </c>
      <c r="R158" s="67" t="s">
        <v>52</v>
      </c>
      <c r="S158" s="4" t="s">
        <v>39</v>
      </c>
      <c r="T158" s="4" t="s">
        <v>84</v>
      </c>
      <c r="U158" s="6" t="s">
        <v>852</v>
      </c>
      <c r="V158" s="4" t="s">
        <v>42</v>
      </c>
      <c r="W158" s="4">
        <f t="shared" si="2"/>
        <v>5</v>
      </c>
    </row>
    <row r="159" spans="1:23">
      <c r="A159" s="7" t="s">
        <v>853</v>
      </c>
      <c r="B159" s="8" t="s">
        <v>225</v>
      </c>
      <c r="C159" s="8" t="s">
        <v>58</v>
      </c>
      <c r="D159" s="32" t="s">
        <v>245</v>
      </c>
      <c r="E159" s="8" t="s">
        <v>547</v>
      </c>
      <c r="F159" s="4" t="str">
        <f>PROPER(TRIM(Sales_data!F159))</f>
        <v>Amit Sharma</v>
      </c>
      <c r="G159" s="8" t="s">
        <v>80</v>
      </c>
      <c r="H159" s="70" t="s">
        <v>854</v>
      </c>
      <c r="I159" s="8" t="s">
        <v>216</v>
      </c>
      <c r="J159" s="4" t="str">
        <f>PROPER(Sales_data!J159)</f>
        <v>South</v>
      </c>
      <c r="K159" s="4" t="str">
        <f>PROPER(Sales_data!K159)</f>
        <v>Stationery</v>
      </c>
      <c r="L159" s="8" t="s">
        <v>64</v>
      </c>
      <c r="M159" s="66">
        <v>4</v>
      </c>
      <c r="N159" s="8">
        <v>55000</v>
      </c>
      <c r="O159" s="8">
        <v>5</v>
      </c>
      <c r="P159" s="8">
        <v>209000</v>
      </c>
      <c r="Q159" s="8">
        <v>2</v>
      </c>
      <c r="R159" s="67" t="s">
        <v>38</v>
      </c>
      <c r="S159" s="8" t="s">
        <v>155</v>
      </c>
      <c r="T159" s="8" t="s">
        <v>232</v>
      </c>
      <c r="U159" s="9" t="s">
        <v>855</v>
      </c>
      <c r="V159" s="8" t="s">
        <v>68</v>
      </c>
      <c r="W159" s="4">
        <f t="shared" si="2"/>
        <v>3</v>
      </c>
    </row>
    <row r="160" spans="1:23">
      <c r="A160" s="3" t="s">
        <v>856</v>
      </c>
      <c r="B160" s="4" t="s">
        <v>331</v>
      </c>
      <c r="C160" s="4" t="s">
        <v>188</v>
      </c>
      <c r="D160" s="31" t="s">
        <v>492</v>
      </c>
      <c r="E160" s="4" t="s">
        <v>270</v>
      </c>
      <c r="F160" s="4" t="str">
        <f>PROPER(TRIM(Sales_data!F160))</f>
        <v>Mohit Verma</v>
      </c>
      <c r="G160" s="4" t="s">
        <v>80</v>
      </c>
      <c r="H160" s="69" t="s">
        <v>858</v>
      </c>
      <c r="I160" s="4" t="s">
        <v>48</v>
      </c>
      <c r="J160" s="4" t="str">
        <f>PROPER(Sales_data!J160)</f>
        <v>North</v>
      </c>
      <c r="K160" s="4" t="str">
        <f>PROPER(Sales_data!K160)</f>
        <v>Home Appliances</v>
      </c>
      <c r="L160" s="4" t="s">
        <v>193</v>
      </c>
      <c r="M160" s="66">
        <v>11</v>
      </c>
      <c r="N160" s="4">
        <v>700</v>
      </c>
      <c r="O160" s="4">
        <v>20</v>
      </c>
      <c r="P160" s="4">
        <v>6160</v>
      </c>
      <c r="Q160" s="4">
        <v>4</v>
      </c>
      <c r="R160" s="67" t="s">
        <v>38</v>
      </c>
      <c r="S160" s="4" t="s">
        <v>155</v>
      </c>
      <c r="T160" s="4" t="s">
        <v>336</v>
      </c>
      <c r="U160" s="6" t="s">
        <v>859</v>
      </c>
      <c r="V160" s="4" t="s">
        <v>73</v>
      </c>
      <c r="W160" s="4">
        <f t="shared" si="2"/>
        <v>6</v>
      </c>
    </row>
    <row r="161" spans="1:23">
      <c r="A161" s="7" t="s">
        <v>860</v>
      </c>
      <c r="B161" s="8" t="s">
        <v>172</v>
      </c>
      <c r="C161" s="8" t="s">
        <v>76</v>
      </c>
      <c r="D161" s="32" t="s">
        <v>290</v>
      </c>
      <c r="E161" s="8" t="s">
        <v>820</v>
      </c>
      <c r="F161" s="4" t="str">
        <f>PROPER(TRIM(Sales_data!F161))</f>
        <v>Vikas Mehta</v>
      </c>
      <c r="G161" s="8" t="s">
        <v>32</v>
      </c>
      <c r="H161" s="70" t="s">
        <v>861</v>
      </c>
      <c r="I161" s="8" t="s">
        <v>298</v>
      </c>
      <c r="J161" s="4" t="str">
        <f>PROPER(Sales_data!J161)</f>
        <v>North</v>
      </c>
      <c r="K161" s="4" t="str">
        <f>PROPER(Sales_data!K161)</f>
        <v>Electronics</v>
      </c>
      <c r="L161" s="8" t="s">
        <v>82</v>
      </c>
      <c r="M161" s="66">
        <v>16</v>
      </c>
      <c r="N161" s="8">
        <v>1200</v>
      </c>
      <c r="O161" s="8">
        <v>5</v>
      </c>
      <c r="P161" s="8">
        <v>18240</v>
      </c>
      <c r="Q161" s="8">
        <v>1</v>
      </c>
      <c r="R161" s="67" t="s">
        <v>83</v>
      </c>
      <c r="S161" s="8" t="s">
        <v>39</v>
      </c>
      <c r="T161" s="8" t="s">
        <v>179</v>
      </c>
      <c r="U161" s="9" t="s">
        <v>862</v>
      </c>
      <c r="V161" s="8" t="s">
        <v>68</v>
      </c>
      <c r="W161" s="4">
        <f t="shared" si="2"/>
        <v>11</v>
      </c>
    </row>
    <row r="162" spans="1:23">
      <c r="A162" s="3" t="s">
        <v>863</v>
      </c>
      <c r="B162" s="4" t="s">
        <v>172</v>
      </c>
      <c r="C162" s="4" t="s">
        <v>76</v>
      </c>
      <c r="D162" s="31" t="s">
        <v>552</v>
      </c>
      <c r="E162" s="4" t="s">
        <v>864</v>
      </c>
      <c r="F162" s="4" t="str">
        <f>PROPER(TRIM(Sales_data!F162))</f>
        <v>Amit Sharma</v>
      </c>
      <c r="G162" s="4" t="s">
        <v>32</v>
      </c>
      <c r="H162" s="69" t="s">
        <v>865</v>
      </c>
      <c r="I162" s="4" t="s">
        <v>118</v>
      </c>
      <c r="J162" s="4" t="str">
        <f>PROPER(Sales_data!J162)</f>
        <v>North</v>
      </c>
      <c r="K162" s="4" t="str">
        <f>PROPER(Sales_data!K162)</f>
        <v>Electronics</v>
      </c>
      <c r="L162" s="4" t="s">
        <v>82</v>
      </c>
      <c r="M162" s="66">
        <v>1</v>
      </c>
      <c r="N162" s="4">
        <v>1200</v>
      </c>
      <c r="O162" s="4">
        <v>5</v>
      </c>
      <c r="P162" s="4">
        <v>1140</v>
      </c>
      <c r="Q162" s="4">
        <v>4</v>
      </c>
      <c r="R162" s="67" t="s">
        <v>83</v>
      </c>
      <c r="S162" s="4" t="s">
        <v>39</v>
      </c>
      <c r="T162" s="4" t="s">
        <v>179</v>
      </c>
      <c r="U162" s="6" t="s">
        <v>866</v>
      </c>
      <c r="V162" s="4" t="s">
        <v>42</v>
      </c>
      <c r="W162" s="4">
        <f t="shared" si="2"/>
        <v>9</v>
      </c>
    </row>
    <row r="163" spans="1:23">
      <c r="A163" s="7" t="s">
        <v>867</v>
      </c>
      <c r="B163" s="8" t="s">
        <v>331</v>
      </c>
      <c r="C163" s="8" t="s">
        <v>122</v>
      </c>
      <c r="D163" s="32" t="s">
        <v>868</v>
      </c>
      <c r="E163" s="8" t="s">
        <v>869</v>
      </c>
      <c r="F163" s="4" t="str">
        <f>PROPER(TRIM(Sales_data!F163))</f>
        <v>Anita Gupta</v>
      </c>
      <c r="G163" s="8" t="s">
        <v>80</v>
      </c>
      <c r="H163" s="70" t="s">
        <v>870</v>
      </c>
      <c r="I163" s="8" t="s">
        <v>216</v>
      </c>
      <c r="J163" s="4" t="str">
        <f>PROPER(Sales_data!J163)</f>
        <v>East</v>
      </c>
      <c r="K163" s="4" t="str">
        <f>PROPER(Sales_data!K163)</f>
        <v>Electronics</v>
      </c>
      <c r="L163" s="8" t="s">
        <v>127</v>
      </c>
      <c r="M163" s="66">
        <v>7</v>
      </c>
      <c r="N163" s="8">
        <v>60</v>
      </c>
      <c r="O163" s="8">
        <v>0</v>
      </c>
      <c r="P163" s="8">
        <v>420</v>
      </c>
      <c r="Q163" s="8">
        <v>2</v>
      </c>
      <c r="R163" s="67" t="s">
        <v>92</v>
      </c>
      <c r="S163" s="8" t="s">
        <v>155</v>
      </c>
      <c r="T163" s="8" t="s">
        <v>336</v>
      </c>
      <c r="U163" s="9" t="s">
        <v>871</v>
      </c>
      <c r="V163" s="8" t="s">
        <v>42</v>
      </c>
      <c r="W163" s="4">
        <f t="shared" si="2"/>
        <v>11</v>
      </c>
    </row>
    <row r="164" spans="1:23">
      <c r="A164" s="3" t="s">
        <v>872</v>
      </c>
      <c r="B164" s="4" t="s">
        <v>172</v>
      </c>
      <c r="C164" s="4" t="s">
        <v>28</v>
      </c>
      <c r="D164" s="31" t="s">
        <v>209</v>
      </c>
      <c r="E164" s="4" t="s">
        <v>517</v>
      </c>
      <c r="F164" s="4" t="str">
        <f>PROPER(TRIM(Sales_data!F164))</f>
        <v>Anita Gupta</v>
      </c>
      <c r="G164" s="4" t="s">
        <v>32</v>
      </c>
      <c r="H164" s="69" t="s">
        <v>873</v>
      </c>
      <c r="I164" s="4" t="s">
        <v>118</v>
      </c>
      <c r="J164" s="4" t="str">
        <f>PROPER(Sales_data!J164)</f>
        <v>West</v>
      </c>
      <c r="K164" s="4" t="str">
        <f>PROPER(Sales_data!K164)</f>
        <v>Electronics</v>
      </c>
      <c r="L164" s="4" t="s">
        <v>37</v>
      </c>
      <c r="M164" s="66">
        <v>14</v>
      </c>
      <c r="N164" s="4">
        <v>2200</v>
      </c>
      <c r="O164" s="4">
        <v>0</v>
      </c>
      <c r="P164" s="4">
        <v>30800</v>
      </c>
      <c r="Q164" s="4">
        <v>2</v>
      </c>
      <c r="R164" s="67" t="s">
        <v>92</v>
      </c>
      <c r="S164" s="4" t="s">
        <v>39</v>
      </c>
      <c r="T164" s="4" t="s">
        <v>179</v>
      </c>
      <c r="U164" s="6" t="s">
        <v>874</v>
      </c>
      <c r="V164" s="4" t="s">
        <v>73</v>
      </c>
      <c r="W164" s="4">
        <f t="shared" si="2"/>
        <v>1</v>
      </c>
    </row>
    <row r="165" spans="1:23">
      <c r="A165" s="7" t="s">
        <v>875</v>
      </c>
      <c r="B165" s="8" t="s">
        <v>172</v>
      </c>
      <c r="C165" s="8" t="s">
        <v>96</v>
      </c>
      <c r="D165" s="32" t="s">
        <v>876</v>
      </c>
      <c r="E165" s="8" t="s">
        <v>492</v>
      </c>
      <c r="F165" s="4" t="str">
        <f>PROPER(TRIM(Sales_data!F165))</f>
        <v>Amit Sharma</v>
      </c>
      <c r="G165" s="8" t="s">
        <v>32</v>
      </c>
      <c r="H165" s="70" t="s">
        <v>877</v>
      </c>
      <c r="I165" s="8" t="s">
        <v>142</v>
      </c>
      <c r="J165" s="4" t="str">
        <f>PROPER(Sales_data!J165)</f>
        <v>North</v>
      </c>
      <c r="K165" s="4" t="str">
        <f>PROPER(Sales_data!K165)</f>
        <v>Stationery</v>
      </c>
      <c r="L165" s="8" t="s">
        <v>101</v>
      </c>
      <c r="M165" s="66">
        <v>15</v>
      </c>
      <c r="N165" s="8">
        <v>3500</v>
      </c>
      <c r="O165" s="8">
        <v>15</v>
      </c>
      <c r="P165" s="8">
        <v>44625</v>
      </c>
      <c r="Q165" s="8">
        <v>2</v>
      </c>
      <c r="R165" s="67" t="s">
        <v>92</v>
      </c>
      <c r="S165" s="8" t="s">
        <v>65</v>
      </c>
      <c r="T165" s="8" t="s">
        <v>179</v>
      </c>
      <c r="U165" s="9" t="s">
        <v>878</v>
      </c>
      <c r="V165" s="8" t="s">
        <v>68</v>
      </c>
      <c r="W165" s="4">
        <f t="shared" si="2"/>
        <v>6</v>
      </c>
    </row>
    <row r="166" spans="1:23">
      <c r="A166" s="3" t="s">
        <v>879</v>
      </c>
      <c r="B166" s="4" t="s">
        <v>131</v>
      </c>
      <c r="C166" s="4" t="s">
        <v>96</v>
      </c>
      <c r="D166" s="31" t="s">
        <v>880</v>
      </c>
      <c r="E166" s="4" t="s">
        <v>881</v>
      </c>
      <c r="F166" s="4" t="str">
        <f>PROPER(TRIM(Sales_data!F166))</f>
        <v>Anita Gupta</v>
      </c>
      <c r="G166" s="4" t="s">
        <v>80</v>
      </c>
      <c r="H166" s="69" t="s">
        <v>882</v>
      </c>
      <c r="I166" s="4" t="s">
        <v>298</v>
      </c>
      <c r="J166" s="4" t="str">
        <f>PROPER(Sales_data!J166)</f>
        <v>West</v>
      </c>
      <c r="K166" s="4" t="str">
        <f>PROPER(Sales_data!K166)</f>
        <v>Home Appliances</v>
      </c>
      <c r="L166" s="4" t="s">
        <v>101</v>
      </c>
      <c r="M166" s="66">
        <v>19</v>
      </c>
      <c r="N166" s="4">
        <v>3500</v>
      </c>
      <c r="O166" s="4">
        <v>5</v>
      </c>
      <c r="P166" s="4">
        <v>63175</v>
      </c>
      <c r="Q166" s="4">
        <v>2</v>
      </c>
      <c r="R166" s="67" t="s">
        <v>38</v>
      </c>
      <c r="S166" s="4" t="s">
        <v>119</v>
      </c>
      <c r="T166" s="4" t="s">
        <v>136</v>
      </c>
      <c r="U166" s="6" t="s">
        <v>883</v>
      </c>
      <c r="V166" s="4" t="s">
        <v>73</v>
      </c>
      <c r="W166" s="4">
        <f t="shared" si="2"/>
        <v>3</v>
      </c>
    </row>
    <row r="167" spans="1:23">
      <c r="A167" s="7" t="s">
        <v>884</v>
      </c>
      <c r="B167" s="8" t="s">
        <v>331</v>
      </c>
      <c r="C167" s="8" t="s">
        <v>58</v>
      </c>
      <c r="D167" s="32" t="s">
        <v>885</v>
      </c>
      <c r="E167" s="8" t="s">
        <v>644</v>
      </c>
      <c r="F167" s="4" t="str">
        <f>PROPER(TRIM(Sales_data!F167))</f>
        <v>Anita Gupta</v>
      </c>
      <c r="G167" s="8" t="s">
        <v>80</v>
      </c>
      <c r="H167" s="70" t="s">
        <v>886</v>
      </c>
      <c r="I167" s="8" t="s">
        <v>63</v>
      </c>
      <c r="J167" s="4" t="str">
        <f>PROPER(Sales_data!J167)</f>
        <v>West</v>
      </c>
      <c r="K167" s="4" t="str">
        <f>PROPER(Sales_data!K167)</f>
        <v>Home Appliances</v>
      </c>
      <c r="L167" s="8" t="s">
        <v>64</v>
      </c>
      <c r="M167" s="66">
        <v>12</v>
      </c>
      <c r="N167" s="8">
        <v>55000</v>
      </c>
      <c r="O167" s="8">
        <v>5</v>
      </c>
      <c r="P167" s="8">
        <v>627000</v>
      </c>
      <c r="Q167" s="8">
        <v>4</v>
      </c>
      <c r="R167" s="67" t="s">
        <v>83</v>
      </c>
      <c r="S167" s="8" t="s">
        <v>65</v>
      </c>
      <c r="T167" s="8" t="s">
        <v>336</v>
      </c>
      <c r="U167" s="9" t="s">
        <v>887</v>
      </c>
      <c r="V167" s="8" t="s">
        <v>73</v>
      </c>
      <c r="W167" s="4">
        <f t="shared" si="2"/>
        <v>7</v>
      </c>
    </row>
    <row r="168" spans="1:23">
      <c r="A168" s="3" t="s">
        <v>888</v>
      </c>
      <c r="B168" s="4" t="s">
        <v>57</v>
      </c>
      <c r="C168" s="4" t="s">
        <v>76</v>
      </c>
      <c r="D168" s="31" t="s">
        <v>591</v>
      </c>
      <c r="E168" s="4" t="s">
        <v>487</v>
      </c>
      <c r="F168" s="4" t="str">
        <f>PROPER(TRIM(Sales_data!F168))</f>
        <v>Rohit Singh</v>
      </c>
      <c r="G168" s="4" t="s">
        <v>32</v>
      </c>
      <c r="H168" s="69" t="s">
        <v>889</v>
      </c>
      <c r="I168" s="4" t="s">
        <v>109</v>
      </c>
      <c r="J168" s="4" t="str">
        <f>PROPER(Sales_data!J168)</f>
        <v>East</v>
      </c>
      <c r="K168" s="4" t="str">
        <f>PROPER(Sales_data!K168)</f>
        <v>Home Appliances</v>
      </c>
      <c r="L168" s="4" t="s">
        <v>82</v>
      </c>
      <c r="M168" s="66">
        <v>6</v>
      </c>
      <c r="N168" s="4">
        <v>1200</v>
      </c>
      <c r="O168" s="4">
        <v>10</v>
      </c>
      <c r="P168" s="4">
        <v>6480</v>
      </c>
      <c r="Q168" s="4">
        <v>5</v>
      </c>
      <c r="R168" s="67" t="s">
        <v>52</v>
      </c>
      <c r="S168" s="4" t="s">
        <v>119</v>
      </c>
      <c r="T168" s="4" t="s">
        <v>66</v>
      </c>
      <c r="U168" s="6" t="s">
        <v>890</v>
      </c>
      <c r="V168" s="4" t="s">
        <v>73</v>
      </c>
      <c r="W168" s="4">
        <f t="shared" si="2"/>
        <v>1</v>
      </c>
    </row>
    <row r="169" spans="1:23">
      <c r="A169" s="7" t="s">
        <v>891</v>
      </c>
      <c r="B169" s="8" t="s">
        <v>255</v>
      </c>
      <c r="C169" s="8" t="s">
        <v>173</v>
      </c>
      <c r="D169" s="32" t="s">
        <v>132</v>
      </c>
      <c r="E169" s="8" t="s">
        <v>251</v>
      </c>
      <c r="F169" s="4" t="str">
        <f>PROPER(TRIM(Sales_data!F169))</f>
        <v>Amit Sharma</v>
      </c>
      <c r="G169" s="8" t="s">
        <v>32</v>
      </c>
      <c r="H169" s="70" t="s">
        <v>892</v>
      </c>
      <c r="I169" s="8" t="s">
        <v>34</v>
      </c>
      <c r="J169" s="4" t="str">
        <f>PROPER(Sales_data!J169)</f>
        <v>South</v>
      </c>
      <c r="K169" s="4" t="str">
        <f>PROPER(Sales_data!K169)</f>
        <v>Electronics</v>
      </c>
      <c r="L169" s="8" t="s">
        <v>178</v>
      </c>
      <c r="M169" s="66">
        <v>1</v>
      </c>
      <c r="N169" s="8">
        <v>8500</v>
      </c>
      <c r="O169" s="8">
        <v>0</v>
      </c>
      <c r="P169" s="8">
        <v>8500</v>
      </c>
      <c r="Q169" s="8">
        <v>1</v>
      </c>
      <c r="R169" s="67" t="s">
        <v>92</v>
      </c>
      <c r="S169" s="8" t="s">
        <v>155</v>
      </c>
      <c r="T169" s="8" t="s">
        <v>260</v>
      </c>
      <c r="U169" s="9" t="s">
        <v>893</v>
      </c>
      <c r="V169" s="8" t="s">
        <v>73</v>
      </c>
      <c r="W169" s="4">
        <f t="shared" si="2"/>
        <v>9</v>
      </c>
    </row>
    <row r="170" spans="1:23">
      <c r="A170" s="3" t="s">
        <v>894</v>
      </c>
      <c r="B170" s="4" t="s">
        <v>131</v>
      </c>
      <c r="C170" s="4" t="s">
        <v>58</v>
      </c>
      <c r="D170" s="31" t="s">
        <v>895</v>
      </c>
      <c r="E170" s="4" t="s">
        <v>896</v>
      </c>
      <c r="F170" s="4" t="str">
        <f>PROPER(TRIM(Sales_data!F170))</f>
        <v>Pooja Shah</v>
      </c>
      <c r="G170" s="4" t="s">
        <v>80</v>
      </c>
      <c r="H170" s="69" t="s">
        <v>897</v>
      </c>
      <c r="I170" s="4" t="s">
        <v>142</v>
      </c>
      <c r="J170" s="4" t="str">
        <f>PROPER(Sales_data!J170)</f>
        <v>West</v>
      </c>
      <c r="K170" s="4" t="str">
        <f>PROPER(Sales_data!K170)</f>
        <v>Electronics</v>
      </c>
      <c r="L170" s="4" t="s">
        <v>64</v>
      </c>
      <c r="M170" s="66">
        <v>20</v>
      </c>
      <c r="N170" s="4">
        <v>55000</v>
      </c>
      <c r="O170" s="4">
        <v>10</v>
      </c>
      <c r="P170" s="4">
        <v>990000</v>
      </c>
      <c r="Q170" s="4">
        <v>5</v>
      </c>
      <c r="R170" s="67" t="s">
        <v>52</v>
      </c>
      <c r="S170" s="4" t="s">
        <v>155</v>
      </c>
      <c r="T170" s="4" t="s">
        <v>136</v>
      </c>
      <c r="U170" s="6" t="s">
        <v>898</v>
      </c>
      <c r="V170" s="4" t="s">
        <v>42</v>
      </c>
      <c r="W170" s="4">
        <f t="shared" si="2"/>
        <v>4</v>
      </c>
    </row>
    <row r="171" spans="1:23">
      <c r="A171" s="7" t="s">
        <v>899</v>
      </c>
      <c r="B171" s="8" t="s">
        <v>225</v>
      </c>
      <c r="C171" s="8" t="s">
        <v>76</v>
      </c>
      <c r="D171" s="32" t="s">
        <v>665</v>
      </c>
      <c r="E171" s="8" t="s">
        <v>900</v>
      </c>
      <c r="F171" s="4" t="str">
        <f>PROPER(TRIM(Sales_data!F171))</f>
        <v>Sneha Joshi</v>
      </c>
      <c r="G171" s="8" t="s">
        <v>80</v>
      </c>
      <c r="H171" s="70" t="s">
        <v>901</v>
      </c>
      <c r="I171" s="8" t="s">
        <v>142</v>
      </c>
      <c r="J171" s="4" t="str">
        <f>PROPER(Sales_data!J171)</f>
        <v>South</v>
      </c>
      <c r="K171" s="4" t="str">
        <f>PROPER(Sales_data!K171)</f>
        <v>Home Appliances</v>
      </c>
      <c r="L171" s="8" t="s">
        <v>82</v>
      </c>
      <c r="M171" s="66">
        <v>8</v>
      </c>
      <c r="N171" s="8">
        <v>1200</v>
      </c>
      <c r="O171" s="8">
        <v>15</v>
      </c>
      <c r="P171" s="8">
        <v>8160</v>
      </c>
      <c r="Q171" s="8">
        <v>2</v>
      </c>
      <c r="R171" s="67" t="s">
        <v>92</v>
      </c>
      <c r="S171" s="8" t="s">
        <v>119</v>
      </c>
      <c r="T171" s="8" t="s">
        <v>232</v>
      </c>
      <c r="U171" s="9" t="s">
        <v>902</v>
      </c>
      <c r="V171" s="8" t="s">
        <v>73</v>
      </c>
      <c r="W171" s="4">
        <f t="shared" si="2"/>
        <v>10</v>
      </c>
    </row>
    <row r="172" spans="1:23">
      <c r="A172" s="3" t="s">
        <v>903</v>
      </c>
      <c r="B172" s="4" t="s">
        <v>27</v>
      </c>
      <c r="C172" s="4" t="s">
        <v>96</v>
      </c>
      <c r="D172" s="31" t="s">
        <v>904</v>
      </c>
      <c r="E172" s="4" t="s">
        <v>905</v>
      </c>
      <c r="F172" s="4" t="str">
        <f>PROPER(TRIM(Sales_data!F172))</f>
        <v>Rohit Singh</v>
      </c>
      <c r="G172" s="4" t="s">
        <v>32</v>
      </c>
      <c r="H172" s="69" t="s">
        <v>906</v>
      </c>
      <c r="I172" s="4" t="s">
        <v>216</v>
      </c>
      <c r="J172" s="4" t="str">
        <f>PROPER(Sales_data!J172)</f>
        <v>West</v>
      </c>
      <c r="K172" s="4" t="str">
        <f>PROPER(Sales_data!K172)</f>
        <v>Electronics</v>
      </c>
      <c r="L172" s="4" t="s">
        <v>101</v>
      </c>
      <c r="M172" s="66">
        <v>19</v>
      </c>
      <c r="N172" s="4">
        <v>3500</v>
      </c>
      <c r="O172" s="4">
        <v>5</v>
      </c>
      <c r="P172" s="4">
        <v>63175</v>
      </c>
      <c r="Q172" s="4">
        <v>4</v>
      </c>
      <c r="R172" s="67" t="s">
        <v>92</v>
      </c>
      <c r="S172" s="4" t="s">
        <v>53</v>
      </c>
      <c r="T172" s="4" t="s">
        <v>54</v>
      </c>
      <c r="U172" s="6" t="s">
        <v>907</v>
      </c>
      <c r="V172" s="4" t="s">
        <v>68</v>
      </c>
      <c r="W172" s="4">
        <f t="shared" si="2"/>
        <v>2</v>
      </c>
    </row>
    <row r="173" spans="1:23">
      <c r="A173" s="7" t="s">
        <v>908</v>
      </c>
      <c r="B173" s="8" t="s">
        <v>225</v>
      </c>
      <c r="C173" s="8" t="s">
        <v>263</v>
      </c>
      <c r="D173" s="32" t="s">
        <v>45</v>
      </c>
      <c r="E173" s="8" t="s">
        <v>610</v>
      </c>
      <c r="F173" s="4" t="str">
        <f>PROPER(TRIM(Sales_data!F173))</f>
        <v>Vikas Mehta</v>
      </c>
      <c r="G173" s="8" t="s">
        <v>80</v>
      </c>
      <c r="H173" s="70" t="s">
        <v>910</v>
      </c>
      <c r="I173" s="8" t="s">
        <v>216</v>
      </c>
      <c r="J173" s="4" t="str">
        <f>PROPER(Sales_data!J173)</f>
        <v>West</v>
      </c>
      <c r="K173" s="4" t="str">
        <f>PROPER(Sales_data!K173)</f>
        <v>Electronics</v>
      </c>
      <c r="L173" s="8" t="s">
        <v>267</v>
      </c>
      <c r="M173" s="66">
        <v>6</v>
      </c>
      <c r="N173" s="8">
        <v>45</v>
      </c>
      <c r="O173" s="8">
        <v>20</v>
      </c>
      <c r="P173" s="8">
        <v>216</v>
      </c>
      <c r="Q173" s="8">
        <v>1</v>
      </c>
      <c r="R173" s="67" t="s">
        <v>83</v>
      </c>
      <c r="S173" s="8" t="s">
        <v>53</v>
      </c>
      <c r="T173" s="8" t="s">
        <v>911</v>
      </c>
      <c r="U173" s="9" t="s">
        <v>912</v>
      </c>
      <c r="V173" s="8" t="s">
        <v>68</v>
      </c>
      <c r="W173" s="4">
        <f t="shared" si="2"/>
        <v>4</v>
      </c>
    </row>
    <row r="174" spans="1:23">
      <c r="A174" s="3" t="s">
        <v>913</v>
      </c>
      <c r="B174" s="4" t="s">
        <v>255</v>
      </c>
      <c r="C174" s="4" t="s">
        <v>263</v>
      </c>
      <c r="D174" s="31" t="s">
        <v>914</v>
      </c>
      <c r="E174" s="4" t="s">
        <v>123</v>
      </c>
      <c r="F174" s="4" t="str">
        <f>PROPER(TRIM(Sales_data!F174))</f>
        <v>Kavya Nair</v>
      </c>
      <c r="G174" s="4" t="s">
        <v>32</v>
      </c>
      <c r="H174" s="69" t="s">
        <v>915</v>
      </c>
      <c r="I174" s="4" t="s">
        <v>118</v>
      </c>
      <c r="J174" s="4" t="str">
        <f>PROPER(Sales_data!J174)</f>
        <v>North</v>
      </c>
      <c r="K174" s="4" t="str">
        <f>PROPER(Sales_data!K174)</f>
        <v>Home Appliances</v>
      </c>
      <c r="L174" s="4" t="s">
        <v>267</v>
      </c>
      <c r="M174" s="66">
        <v>17</v>
      </c>
      <c r="N174" s="4">
        <v>45</v>
      </c>
      <c r="O174" s="4">
        <v>15</v>
      </c>
      <c r="P174" s="4">
        <v>650.25</v>
      </c>
      <c r="Q174" s="4">
        <v>5</v>
      </c>
      <c r="R174" s="67" t="s">
        <v>38</v>
      </c>
      <c r="S174" s="4" t="s">
        <v>119</v>
      </c>
      <c r="T174" s="4" t="s">
        <v>260</v>
      </c>
      <c r="U174" s="6" t="s">
        <v>916</v>
      </c>
      <c r="V174" s="4" t="s">
        <v>68</v>
      </c>
      <c r="W174" s="4">
        <f t="shared" si="2"/>
        <v>3</v>
      </c>
    </row>
    <row r="175" spans="1:23">
      <c r="A175" s="7" t="s">
        <v>917</v>
      </c>
      <c r="B175" s="8" t="s">
        <v>27</v>
      </c>
      <c r="C175" s="8" t="s">
        <v>226</v>
      </c>
      <c r="D175" s="32" t="s">
        <v>280</v>
      </c>
      <c r="E175" s="8" t="s">
        <v>918</v>
      </c>
      <c r="F175" s="4" t="str">
        <f>PROPER(TRIM(Sales_data!F175))</f>
        <v>Vikas Mehta</v>
      </c>
      <c r="G175" s="8" t="s">
        <v>32</v>
      </c>
      <c r="H175" s="70" t="s">
        <v>919</v>
      </c>
      <c r="I175" s="8" t="s">
        <v>118</v>
      </c>
      <c r="J175" s="4" t="str">
        <f>PROPER(Sales_data!J175)</f>
        <v>North</v>
      </c>
      <c r="K175" s="4" t="str">
        <f>PROPER(Sales_data!K175)</f>
        <v>Stationery</v>
      </c>
      <c r="L175" s="8" t="s">
        <v>231</v>
      </c>
      <c r="M175" s="66">
        <v>19</v>
      </c>
      <c r="N175" s="8">
        <v>20</v>
      </c>
      <c r="O175" s="8">
        <v>5</v>
      </c>
      <c r="P175" s="8">
        <v>361</v>
      </c>
      <c r="Q175" s="8">
        <v>4</v>
      </c>
      <c r="R175" s="67" t="s">
        <v>38</v>
      </c>
      <c r="S175" s="8" t="s">
        <v>39</v>
      </c>
      <c r="T175" s="8" t="s">
        <v>54</v>
      </c>
      <c r="U175" s="9" t="s">
        <v>920</v>
      </c>
      <c r="V175" s="8" t="s">
        <v>68</v>
      </c>
      <c r="W175" s="4">
        <f t="shared" si="2"/>
        <v>7</v>
      </c>
    </row>
    <row r="176" spans="1:23">
      <c r="A176" s="3" t="s">
        <v>921</v>
      </c>
      <c r="B176" s="4" t="s">
        <v>255</v>
      </c>
      <c r="C176" s="4" t="s">
        <v>226</v>
      </c>
      <c r="D176" s="31" t="s">
        <v>922</v>
      </c>
      <c r="E176" s="4" t="s">
        <v>356</v>
      </c>
      <c r="F176" s="4" t="str">
        <f>PROPER(TRIM(Sales_data!F176))</f>
        <v>Sneha Joshi</v>
      </c>
      <c r="G176" s="4" t="s">
        <v>32</v>
      </c>
      <c r="H176" s="69" t="s">
        <v>924</v>
      </c>
      <c r="I176" s="4" t="s">
        <v>142</v>
      </c>
      <c r="J176" s="4" t="str">
        <f>PROPER(Sales_data!J176)</f>
        <v>West</v>
      </c>
      <c r="K176" s="4" t="str">
        <f>PROPER(Sales_data!K176)</f>
        <v>Stationery</v>
      </c>
      <c r="L176" s="4" t="s">
        <v>231</v>
      </c>
      <c r="M176" s="66">
        <v>11</v>
      </c>
      <c r="N176" s="4">
        <v>20</v>
      </c>
      <c r="O176" s="4">
        <v>0</v>
      </c>
      <c r="P176" s="4">
        <v>220</v>
      </c>
      <c r="Q176" s="4">
        <v>3</v>
      </c>
      <c r="R176" s="67" t="s">
        <v>52</v>
      </c>
      <c r="S176" s="4" t="s">
        <v>53</v>
      </c>
      <c r="T176" s="4" t="s">
        <v>260</v>
      </c>
      <c r="U176" s="6" t="s">
        <v>925</v>
      </c>
      <c r="V176" s="4" t="s">
        <v>42</v>
      </c>
      <c r="W176" s="4">
        <f t="shared" si="2"/>
        <v>12</v>
      </c>
    </row>
    <row r="177" spans="1:23">
      <c r="A177" s="7" t="s">
        <v>926</v>
      </c>
      <c r="B177" s="8" t="s">
        <v>172</v>
      </c>
      <c r="C177" s="8" t="s">
        <v>122</v>
      </c>
      <c r="D177" s="32" t="s">
        <v>327</v>
      </c>
      <c r="E177" s="8" t="s">
        <v>927</v>
      </c>
      <c r="F177" s="4" t="str">
        <f>PROPER(TRIM(Sales_data!F177))</f>
        <v>Kavya Nair</v>
      </c>
      <c r="G177" s="8" t="s">
        <v>32</v>
      </c>
      <c r="H177" s="70" t="s">
        <v>928</v>
      </c>
      <c r="I177" s="8" t="s">
        <v>48</v>
      </c>
      <c r="J177" s="4" t="str">
        <f>PROPER(Sales_data!J177)</f>
        <v>West</v>
      </c>
      <c r="K177" s="4" t="str">
        <f>PROPER(Sales_data!K177)</f>
        <v>Stationery</v>
      </c>
      <c r="L177" s="8" t="s">
        <v>127</v>
      </c>
      <c r="M177" s="66">
        <v>12</v>
      </c>
      <c r="N177" s="8">
        <v>60</v>
      </c>
      <c r="O177" s="8">
        <v>0</v>
      </c>
      <c r="P177" s="8">
        <v>720</v>
      </c>
      <c r="Q177" s="8">
        <v>2</v>
      </c>
      <c r="R177" s="67" t="s">
        <v>52</v>
      </c>
      <c r="S177" s="8" t="s">
        <v>53</v>
      </c>
      <c r="T177" s="8" t="s">
        <v>179</v>
      </c>
      <c r="U177" s="9" t="s">
        <v>929</v>
      </c>
      <c r="V177" s="8" t="s">
        <v>42</v>
      </c>
      <c r="W177" s="4">
        <f t="shared" si="2"/>
        <v>2</v>
      </c>
    </row>
    <row r="178" spans="1:23">
      <c r="A178" s="3" t="s">
        <v>930</v>
      </c>
      <c r="B178" s="4" t="s">
        <v>225</v>
      </c>
      <c r="C178" s="4" t="s">
        <v>263</v>
      </c>
      <c r="D178" s="31" t="s">
        <v>931</v>
      </c>
      <c r="E178" s="4" t="s">
        <v>869</v>
      </c>
      <c r="F178" s="4" t="str">
        <f>PROPER(TRIM(Sales_data!F178))</f>
        <v>Sneha Joshi</v>
      </c>
      <c r="G178" s="4" t="s">
        <v>80</v>
      </c>
      <c r="H178" s="69" t="s">
        <v>933</v>
      </c>
      <c r="I178" s="4" t="s">
        <v>298</v>
      </c>
      <c r="J178" s="4" t="str">
        <f>PROPER(Sales_data!J178)</f>
        <v>West</v>
      </c>
      <c r="K178" s="4" t="str">
        <f>PROPER(Sales_data!K178)</f>
        <v>Stationery</v>
      </c>
      <c r="L178" s="4" t="s">
        <v>267</v>
      </c>
      <c r="M178" s="66">
        <v>14</v>
      </c>
      <c r="N178" s="4">
        <v>45</v>
      </c>
      <c r="O178" s="4">
        <v>15</v>
      </c>
      <c r="P178" s="4">
        <v>535.5</v>
      </c>
      <c r="Q178" s="4">
        <v>5</v>
      </c>
      <c r="R178" s="67" t="s">
        <v>92</v>
      </c>
      <c r="S178" s="4" t="s">
        <v>119</v>
      </c>
      <c r="T178" s="4" t="s">
        <v>232</v>
      </c>
      <c r="U178" s="6" t="s">
        <v>934</v>
      </c>
      <c r="V178" s="4" t="s">
        <v>68</v>
      </c>
      <c r="W178" s="4">
        <f t="shared" si="2"/>
        <v>11</v>
      </c>
    </row>
    <row r="179" spans="1:23">
      <c r="A179" s="7" t="s">
        <v>935</v>
      </c>
      <c r="B179" s="8" t="s">
        <v>27</v>
      </c>
      <c r="C179" s="8" t="s">
        <v>188</v>
      </c>
      <c r="D179" s="32" t="s">
        <v>936</v>
      </c>
      <c r="E179" s="8" t="s">
        <v>307</v>
      </c>
      <c r="F179" s="4" t="str">
        <f>PROPER(TRIM(Sales_data!F179))</f>
        <v>Anita Gupta</v>
      </c>
      <c r="G179" s="8" t="s">
        <v>32</v>
      </c>
      <c r="H179" s="70" t="s">
        <v>937</v>
      </c>
      <c r="I179" s="8" t="s">
        <v>34</v>
      </c>
      <c r="J179" s="4" t="str">
        <f>PROPER(Sales_data!J179)</f>
        <v>North</v>
      </c>
      <c r="K179" s="4" t="str">
        <f>PROPER(Sales_data!K179)</f>
        <v>Stationery</v>
      </c>
      <c r="L179" s="8" t="s">
        <v>193</v>
      </c>
      <c r="M179" s="66">
        <v>15</v>
      </c>
      <c r="N179" s="8">
        <v>700</v>
      </c>
      <c r="O179" s="8">
        <v>10</v>
      </c>
      <c r="P179" s="8">
        <v>9450</v>
      </c>
      <c r="Q179" s="8">
        <v>3</v>
      </c>
      <c r="R179" s="67" t="s">
        <v>52</v>
      </c>
      <c r="S179" s="8" t="s">
        <v>53</v>
      </c>
      <c r="T179" s="8" t="s">
        <v>54</v>
      </c>
      <c r="U179" s="9" t="s">
        <v>938</v>
      </c>
      <c r="V179" s="8" t="s">
        <v>68</v>
      </c>
      <c r="W179" s="4">
        <f t="shared" si="2"/>
        <v>2</v>
      </c>
    </row>
    <row r="180" spans="1:23">
      <c r="A180" s="3" t="s">
        <v>939</v>
      </c>
      <c r="B180" s="4" t="s">
        <v>104</v>
      </c>
      <c r="C180" s="4" t="s">
        <v>173</v>
      </c>
      <c r="D180" s="31" t="s">
        <v>940</v>
      </c>
      <c r="E180" s="4" t="s">
        <v>687</v>
      </c>
      <c r="F180" s="4" t="str">
        <f>PROPER(TRIM(Sales_data!F180))</f>
        <v>Priya Patel</v>
      </c>
      <c r="G180" s="4" t="s">
        <v>32</v>
      </c>
      <c r="H180" s="69" t="s">
        <v>941</v>
      </c>
      <c r="I180" s="4" t="s">
        <v>142</v>
      </c>
      <c r="J180" s="4" t="str">
        <f>PROPER(Sales_data!J180)</f>
        <v>East</v>
      </c>
      <c r="K180" s="4" t="str">
        <f>PROPER(Sales_data!K180)</f>
        <v>Stationery</v>
      </c>
      <c r="L180" s="4" t="s">
        <v>178</v>
      </c>
      <c r="M180" s="66">
        <v>19</v>
      </c>
      <c r="N180" s="4">
        <v>8500</v>
      </c>
      <c r="O180" s="4">
        <v>15</v>
      </c>
      <c r="P180" s="4">
        <v>137275</v>
      </c>
      <c r="Q180" s="4">
        <v>2</v>
      </c>
      <c r="R180" s="67" t="s">
        <v>38</v>
      </c>
      <c r="S180" s="4" t="s">
        <v>39</v>
      </c>
      <c r="T180" s="4" t="s">
        <v>148</v>
      </c>
      <c r="U180" s="6" t="s">
        <v>942</v>
      </c>
      <c r="V180" s="4" t="s">
        <v>73</v>
      </c>
      <c r="W180" s="4">
        <f t="shared" si="2"/>
        <v>5</v>
      </c>
    </row>
    <row r="181" spans="1:23">
      <c r="A181" s="7" t="s">
        <v>943</v>
      </c>
      <c r="B181" s="8" t="s">
        <v>255</v>
      </c>
      <c r="C181" s="8" t="s">
        <v>122</v>
      </c>
      <c r="D181" s="32" t="s">
        <v>944</v>
      </c>
      <c r="E181" s="8" t="s">
        <v>945</v>
      </c>
      <c r="F181" s="4" t="str">
        <f>PROPER(TRIM(Sales_data!F181))</f>
        <v>Kavya Nair</v>
      </c>
      <c r="G181" s="8" t="s">
        <v>32</v>
      </c>
      <c r="H181" s="70" t="s">
        <v>915</v>
      </c>
      <c r="I181" s="8" t="s">
        <v>216</v>
      </c>
      <c r="J181" s="4" t="str">
        <f>PROPER(Sales_data!J181)</f>
        <v>South</v>
      </c>
      <c r="K181" s="4" t="str">
        <f>PROPER(Sales_data!K181)</f>
        <v>Electronics</v>
      </c>
      <c r="L181" s="8" t="s">
        <v>127</v>
      </c>
      <c r="M181" s="66">
        <v>19</v>
      </c>
      <c r="N181" s="8">
        <v>60</v>
      </c>
      <c r="O181" s="8">
        <v>20</v>
      </c>
      <c r="P181" s="8">
        <v>912</v>
      </c>
      <c r="Q181" s="8">
        <v>4</v>
      </c>
      <c r="R181" s="67" t="s">
        <v>83</v>
      </c>
      <c r="S181" s="8" t="s">
        <v>53</v>
      </c>
      <c r="T181" s="8" t="s">
        <v>260</v>
      </c>
      <c r="U181" s="9" t="s">
        <v>946</v>
      </c>
      <c r="V181" s="8" t="s">
        <v>68</v>
      </c>
      <c r="W181" s="4">
        <f t="shared" si="2"/>
        <v>10</v>
      </c>
    </row>
    <row r="182" spans="1:23">
      <c r="A182" s="3" t="s">
        <v>947</v>
      </c>
      <c r="B182" s="4" t="s">
        <v>104</v>
      </c>
      <c r="C182" s="4" t="s">
        <v>263</v>
      </c>
      <c r="D182" s="31" t="s">
        <v>948</v>
      </c>
      <c r="E182" s="4" t="s">
        <v>940</v>
      </c>
      <c r="F182" s="4" t="str">
        <f>PROPER(TRIM(Sales_data!F182))</f>
        <v>Priya Patel</v>
      </c>
      <c r="G182" s="4" t="s">
        <v>32</v>
      </c>
      <c r="H182" s="69" t="s">
        <v>949</v>
      </c>
      <c r="I182" s="4" t="s">
        <v>63</v>
      </c>
      <c r="J182" s="4" t="str">
        <f>PROPER(Sales_data!J182)</f>
        <v>West</v>
      </c>
      <c r="K182" s="4" t="str">
        <f>PROPER(Sales_data!K182)</f>
        <v>Home Appliances</v>
      </c>
      <c r="L182" s="4" t="s">
        <v>267</v>
      </c>
      <c r="M182" s="66">
        <v>10</v>
      </c>
      <c r="N182" s="4">
        <v>45</v>
      </c>
      <c r="O182" s="4">
        <v>15</v>
      </c>
      <c r="P182" s="4">
        <v>382.5</v>
      </c>
      <c r="Q182" s="4">
        <v>4</v>
      </c>
      <c r="R182" s="67" t="s">
        <v>38</v>
      </c>
      <c r="S182" s="4" t="s">
        <v>155</v>
      </c>
      <c r="T182" s="4" t="s">
        <v>148</v>
      </c>
      <c r="U182" s="6" t="s">
        <v>950</v>
      </c>
      <c r="V182" s="4" t="s">
        <v>42</v>
      </c>
      <c r="W182" s="4">
        <f t="shared" si="2"/>
        <v>5</v>
      </c>
    </row>
    <row r="183" spans="1:23">
      <c r="A183" s="7" t="s">
        <v>951</v>
      </c>
      <c r="B183" s="8" t="s">
        <v>75</v>
      </c>
      <c r="C183" s="8" t="s">
        <v>28</v>
      </c>
      <c r="D183" s="32" t="s">
        <v>952</v>
      </c>
      <c r="E183" s="8" t="s">
        <v>953</v>
      </c>
      <c r="F183" s="4" t="str">
        <f>PROPER(TRIM(Sales_data!F183))</f>
        <v>Sneha Joshi</v>
      </c>
      <c r="G183" s="8" t="s">
        <v>80</v>
      </c>
      <c r="H183" s="70" t="s">
        <v>954</v>
      </c>
      <c r="I183" s="8" t="s">
        <v>48</v>
      </c>
      <c r="J183" s="4" t="str">
        <f>PROPER(Sales_data!J183)</f>
        <v>North</v>
      </c>
      <c r="K183" s="4" t="str">
        <f>PROPER(Sales_data!K183)</f>
        <v>Stationery</v>
      </c>
      <c r="L183" s="8" t="s">
        <v>37</v>
      </c>
      <c r="M183" s="66">
        <v>7</v>
      </c>
      <c r="N183" s="8">
        <v>2200</v>
      </c>
      <c r="O183" s="8">
        <v>20</v>
      </c>
      <c r="P183" s="8">
        <v>12320</v>
      </c>
      <c r="Q183" s="8">
        <v>5</v>
      </c>
      <c r="R183" s="67" t="s">
        <v>92</v>
      </c>
      <c r="S183" s="8" t="s">
        <v>53</v>
      </c>
      <c r="T183" s="8" t="s">
        <v>84</v>
      </c>
      <c r="U183" s="9" t="s">
        <v>955</v>
      </c>
      <c r="V183" s="8" t="s">
        <v>68</v>
      </c>
      <c r="W183" s="4">
        <f t="shared" si="2"/>
        <v>6</v>
      </c>
    </row>
    <row r="184" spans="1:23">
      <c r="A184" s="3" t="s">
        <v>956</v>
      </c>
      <c r="B184" s="4" t="s">
        <v>104</v>
      </c>
      <c r="C184" s="4" t="s">
        <v>173</v>
      </c>
      <c r="D184" s="31" t="s">
        <v>957</v>
      </c>
      <c r="E184" s="4" t="s">
        <v>46</v>
      </c>
      <c r="F184" s="4" t="str">
        <f>PROPER(TRIM(Sales_data!F184))</f>
        <v>Priya Patel</v>
      </c>
      <c r="G184" s="4" t="s">
        <v>32</v>
      </c>
      <c r="H184" s="69" t="s">
        <v>958</v>
      </c>
      <c r="I184" s="4" t="s">
        <v>298</v>
      </c>
      <c r="J184" s="4" t="str">
        <f>PROPER(Sales_data!J184)</f>
        <v>South</v>
      </c>
      <c r="K184" s="4" t="str">
        <f>PROPER(Sales_data!K184)</f>
        <v>Stationery</v>
      </c>
      <c r="L184" s="4" t="s">
        <v>178</v>
      </c>
      <c r="M184" s="66">
        <v>20</v>
      </c>
      <c r="N184" s="4">
        <v>8500</v>
      </c>
      <c r="O184" s="4">
        <v>20</v>
      </c>
      <c r="P184" s="4">
        <v>136000</v>
      </c>
      <c r="Q184" s="4">
        <v>4</v>
      </c>
      <c r="R184" s="67" t="s">
        <v>52</v>
      </c>
      <c r="S184" s="4" t="s">
        <v>39</v>
      </c>
      <c r="T184" s="4" t="s">
        <v>148</v>
      </c>
      <c r="U184" s="6" t="s">
        <v>959</v>
      </c>
      <c r="V184" s="4" t="s">
        <v>42</v>
      </c>
      <c r="W184" s="4">
        <f t="shared" si="2"/>
        <v>4</v>
      </c>
    </row>
    <row r="185" spans="1:23">
      <c r="A185" s="7" t="s">
        <v>960</v>
      </c>
      <c r="B185" s="8" t="s">
        <v>255</v>
      </c>
      <c r="C185" s="8" t="s">
        <v>28</v>
      </c>
      <c r="D185" s="32" t="s">
        <v>774</v>
      </c>
      <c r="E185" s="8" t="s">
        <v>961</v>
      </c>
      <c r="F185" s="4" t="str">
        <f>PROPER(TRIM(Sales_data!F185))</f>
        <v>Mohit Verma</v>
      </c>
      <c r="G185" s="8" t="s">
        <v>32</v>
      </c>
      <c r="H185" s="70" t="s">
        <v>962</v>
      </c>
      <c r="I185" s="8" t="s">
        <v>34</v>
      </c>
      <c r="J185" s="4" t="str">
        <f>PROPER(Sales_data!J185)</f>
        <v>North</v>
      </c>
      <c r="K185" s="4" t="str">
        <f>PROPER(Sales_data!K185)</f>
        <v>Home Appliances</v>
      </c>
      <c r="L185" s="8" t="s">
        <v>37</v>
      </c>
      <c r="M185" s="66">
        <v>10</v>
      </c>
      <c r="N185" s="8">
        <v>2200</v>
      </c>
      <c r="O185" s="8">
        <v>5</v>
      </c>
      <c r="P185" s="8">
        <v>20900</v>
      </c>
      <c r="Q185" s="8">
        <v>2</v>
      </c>
      <c r="R185" s="67" t="s">
        <v>52</v>
      </c>
      <c r="S185" s="8" t="s">
        <v>53</v>
      </c>
      <c r="T185" s="8" t="s">
        <v>260</v>
      </c>
      <c r="U185" s="9" t="s">
        <v>963</v>
      </c>
      <c r="V185" s="8" t="s">
        <v>42</v>
      </c>
      <c r="W185" s="4">
        <f t="shared" si="2"/>
        <v>1</v>
      </c>
    </row>
    <row r="186" spans="1:23">
      <c r="A186" s="3" t="s">
        <v>964</v>
      </c>
      <c r="B186" s="4" t="s">
        <v>131</v>
      </c>
      <c r="C186" s="4" t="s">
        <v>122</v>
      </c>
      <c r="D186" s="31" t="s">
        <v>696</v>
      </c>
      <c r="E186" s="4" t="s">
        <v>965</v>
      </c>
      <c r="F186" s="4" t="str">
        <f>PROPER(TRIM(Sales_data!F186))</f>
        <v>Priya Patel</v>
      </c>
      <c r="G186" s="4" t="s">
        <v>80</v>
      </c>
      <c r="H186" s="69" t="s">
        <v>966</v>
      </c>
      <c r="I186" s="4" t="s">
        <v>118</v>
      </c>
      <c r="J186" s="4" t="str">
        <f>PROPER(Sales_data!J186)</f>
        <v>East</v>
      </c>
      <c r="K186" s="4" t="str">
        <f>PROPER(Sales_data!K186)</f>
        <v>Home Appliances</v>
      </c>
      <c r="L186" s="4" t="s">
        <v>127</v>
      </c>
      <c r="M186" s="66">
        <v>15</v>
      </c>
      <c r="N186" s="4">
        <v>60</v>
      </c>
      <c r="O186" s="4">
        <v>20</v>
      </c>
      <c r="P186" s="4">
        <v>720</v>
      </c>
      <c r="Q186" s="4">
        <v>1</v>
      </c>
      <c r="R186" s="67" t="s">
        <v>83</v>
      </c>
      <c r="S186" s="4" t="s">
        <v>39</v>
      </c>
      <c r="T186" s="4" t="s">
        <v>136</v>
      </c>
      <c r="U186" s="6" t="s">
        <v>967</v>
      </c>
      <c r="V186" s="4" t="s">
        <v>42</v>
      </c>
      <c r="W186" s="4">
        <f t="shared" si="2"/>
        <v>12</v>
      </c>
    </row>
    <row r="187" spans="1:23">
      <c r="A187" s="7" t="s">
        <v>968</v>
      </c>
      <c r="B187" s="8" t="s">
        <v>225</v>
      </c>
      <c r="C187" s="8" t="s">
        <v>96</v>
      </c>
      <c r="D187" s="32" t="s">
        <v>235</v>
      </c>
      <c r="E187" s="8" t="s">
        <v>969</v>
      </c>
      <c r="F187" s="4" t="str">
        <f>PROPER(TRIM(Sales_data!F187))</f>
        <v>Sneha Joshi</v>
      </c>
      <c r="G187" s="8" t="s">
        <v>80</v>
      </c>
      <c r="H187" s="70" t="s">
        <v>970</v>
      </c>
      <c r="I187" s="8" t="s">
        <v>34</v>
      </c>
      <c r="J187" s="4" t="str">
        <f>PROPER(Sales_data!J187)</f>
        <v>South</v>
      </c>
      <c r="K187" s="4" t="str">
        <f>PROPER(Sales_data!K187)</f>
        <v>Home Appliances</v>
      </c>
      <c r="L187" s="8" t="s">
        <v>101</v>
      </c>
      <c r="M187" s="66">
        <v>18</v>
      </c>
      <c r="N187" s="8">
        <v>3500</v>
      </c>
      <c r="O187" s="8">
        <v>5</v>
      </c>
      <c r="P187" s="8">
        <v>59850</v>
      </c>
      <c r="Q187" s="8">
        <v>1</v>
      </c>
      <c r="R187" s="67" t="s">
        <v>83</v>
      </c>
      <c r="S187" s="8" t="s">
        <v>53</v>
      </c>
      <c r="T187" s="8" t="s">
        <v>232</v>
      </c>
      <c r="U187" s="9" t="s">
        <v>971</v>
      </c>
      <c r="V187" s="8" t="s">
        <v>73</v>
      </c>
      <c r="W187" s="4">
        <f t="shared" si="2"/>
        <v>6</v>
      </c>
    </row>
    <row r="188" spans="1:23">
      <c r="A188" s="3" t="s">
        <v>972</v>
      </c>
      <c r="B188" s="4" t="s">
        <v>331</v>
      </c>
      <c r="C188" s="4" t="s">
        <v>44</v>
      </c>
      <c r="D188" s="31" t="s">
        <v>973</v>
      </c>
      <c r="E188" s="4" t="s">
        <v>974</v>
      </c>
      <c r="F188" s="4" t="str">
        <f>PROPER(TRIM(Sales_data!F188))</f>
        <v>Rohit Singh</v>
      </c>
      <c r="G188" s="4" t="s">
        <v>80</v>
      </c>
      <c r="H188" s="69" t="s">
        <v>975</v>
      </c>
      <c r="I188" s="4" t="s">
        <v>118</v>
      </c>
      <c r="J188" s="4" t="str">
        <f>PROPER(Sales_data!J188)</f>
        <v>West</v>
      </c>
      <c r="K188" s="4" t="str">
        <f>PROPER(Sales_data!K188)</f>
        <v>Stationery</v>
      </c>
      <c r="L188" s="4" t="s">
        <v>51</v>
      </c>
      <c r="M188" s="66">
        <v>6</v>
      </c>
      <c r="N188" s="4">
        <v>12000</v>
      </c>
      <c r="O188" s="4">
        <v>5</v>
      </c>
      <c r="P188" s="4">
        <v>68400</v>
      </c>
      <c r="Q188" s="4">
        <v>1</v>
      </c>
      <c r="R188" s="67" t="s">
        <v>52</v>
      </c>
      <c r="S188" s="4" t="s">
        <v>53</v>
      </c>
      <c r="T188" s="4" t="s">
        <v>336</v>
      </c>
      <c r="U188" s="6" t="s">
        <v>976</v>
      </c>
      <c r="V188" s="4" t="s">
        <v>73</v>
      </c>
      <c r="W188" s="4">
        <f t="shared" si="2"/>
        <v>5</v>
      </c>
    </row>
    <row r="189" spans="1:23">
      <c r="A189" s="7" t="s">
        <v>977</v>
      </c>
      <c r="B189" s="8" t="s">
        <v>331</v>
      </c>
      <c r="C189" s="8" t="s">
        <v>226</v>
      </c>
      <c r="D189" s="32" t="s">
        <v>327</v>
      </c>
      <c r="E189" s="8" t="s">
        <v>483</v>
      </c>
      <c r="F189" s="4" t="str">
        <f>PROPER(TRIM(Sales_data!F189))</f>
        <v>Vikas Mehta</v>
      </c>
      <c r="G189" s="8" t="s">
        <v>80</v>
      </c>
      <c r="H189" s="70" t="s">
        <v>978</v>
      </c>
      <c r="I189" s="8" t="s">
        <v>63</v>
      </c>
      <c r="J189" s="4" t="str">
        <f>PROPER(Sales_data!J189)</f>
        <v>South</v>
      </c>
      <c r="K189" s="4" t="str">
        <f>PROPER(Sales_data!K189)</f>
        <v>Home Appliances</v>
      </c>
      <c r="L189" s="8" t="s">
        <v>231</v>
      </c>
      <c r="M189" s="66">
        <v>19</v>
      </c>
      <c r="N189" s="8">
        <v>20</v>
      </c>
      <c r="O189" s="8">
        <v>10</v>
      </c>
      <c r="P189" s="8">
        <v>342</v>
      </c>
      <c r="Q189" s="8">
        <v>2</v>
      </c>
      <c r="R189" s="67" t="s">
        <v>52</v>
      </c>
      <c r="S189" s="8" t="s">
        <v>39</v>
      </c>
      <c r="T189" s="8" t="s">
        <v>336</v>
      </c>
      <c r="U189" s="9" t="s">
        <v>979</v>
      </c>
      <c r="V189" s="8" t="s">
        <v>68</v>
      </c>
      <c r="W189" s="4">
        <f t="shared" si="2"/>
        <v>2</v>
      </c>
    </row>
    <row r="190" spans="1:23">
      <c r="A190" s="3" t="s">
        <v>980</v>
      </c>
      <c r="B190" s="4" t="s">
        <v>225</v>
      </c>
      <c r="C190" s="4" t="s">
        <v>28</v>
      </c>
      <c r="D190" s="31" t="s">
        <v>430</v>
      </c>
      <c r="E190" s="4" t="s">
        <v>431</v>
      </c>
      <c r="F190" s="4" t="str">
        <f>PROPER(TRIM(Sales_data!F190))</f>
        <v>Amit Sharma</v>
      </c>
      <c r="G190" s="4" t="s">
        <v>80</v>
      </c>
      <c r="H190" s="69" t="s">
        <v>981</v>
      </c>
      <c r="I190" s="4" t="s">
        <v>118</v>
      </c>
      <c r="J190" s="4" t="str">
        <f>PROPER(Sales_data!J190)</f>
        <v>West</v>
      </c>
      <c r="K190" s="4" t="str">
        <f>PROPER(Sales_data!K190)</f>
        <v>Electronics</v>
      </c>
      <c r="L190" s="4" t="s">
        <v>37</v>
      </c>
      <c r="M190" s="66">
        <v>7</v>
      </c>
      <c r="N190" s="4">
        <v>2200</v>
      </c>
      <c r="O190" s="4">
        <v>0</v>
      </c>
      <c r="P190" s="4">
        <v>15400</v>
      </c>
      <c r="Q190" s="4">
        <v>1</v>
      </c>
      <c r="R190" s="67" t="s">
        <v>83</v>
      </c>
      <c r="S190" s="4" t="s">
        <v>119</v>
      </c>
      <c r="T190" s="4" t="s">
        <v>232</v>
      </c>
      <c r="U190" s="6" t="s">
        <v>982</v>
      </c>
      <c r="V190" s="4" t="s">
        <v>73</v>
      </c>
      <c r="W190" s="4">
        <f t="shared" si="2"/>
        <v>5</v>
      </c>
    </row>
    <row r="191" spans="1:23">
      <c r="A191" s="7" t="s">
        <v>983</v>
      </c>
      <c r="B191" s="8" t="s">
        <v>331</v>
      </c>
      <c r="C191" s="8" t="s">
        <v>44</v>
      </c>
      <c r="D191" s="32" t="s">
        <v>507</v>
      </c>
      <c r="E191" s="8" t="s">
        <v>984</v>
      </c>
      <c r="F191" s="4" t="str">
        <f>PROPER(TRIM(Sales_data!F191))</f>
        <v>Amit Sharma</v>
      </c>
      <c r="G191" s="8" t="s">
        <v>80</v>
      </c>
      <c r="H191" s="70" t="s">
        <v>985</v>
      </c>
      <c r="I191" s="8" t="s">
        <v>216</v>
      </c>
      <c r="J191" s="4" t="str">
        <f>PROPER(Sales_data!J191)</f>
        <v>South</v>
      </c>
      <c r="K191" s="4" t="str">
        <f>PROPER(Sales_data!K191)</f>
        <v>Stationery</v>
      </c>
      <c r="L191" s="8" t="s">
        <v>51</v>
      </c>
      <c r="M191" s="66">
        <v>3</v>
      </c>
      <c r="N191" s="8">
        <v>12000</v>
      </c>
      <c r="O191" s="8">
        <v>5</v>
      </c>
      <c r="P191" s="8">
        <v>34200</v>
      </c>
      <c r="Q191" s="8">
        <v>3</v>
      </c>
      <c r="R191" s="67" t="s">
        <v>83</v>
      </c>
      <c r="S191" s="8" t="s">
        <v>65</v>
      </c>
      <c r="T191" s="8" t="s">
        <v>336</v>
      </c>
      <c r="U191" s="9" t="s">
        <v>986</v>
      </c>
      <c r="V191" s="8" t="s">
        <v>73</v>
      </c>
      <c r="W191" s="4">
        <f t="shared" si="2"/>
        <v>11</v>
      </c>
    </row>
    <row r="192" spans="1:23">
      <c r="A192" s="3" t="s">
        <v>987</v>
      </c>
      <c r="B192" s="4" t="s">
        <v>172</v>
      </c>
      <c r="C192" s="4" t="s">
        <v>28</v>
      </c>
      <c r="D192" s="31" t="s">
        <v>345</v>
      </c>
      <c r="E192" s="4" t="s">
        <v>868</v>
      </c>
      <c r="F192" s="4" t="str">
        <f>PROPER(TRIM(Sales_data!F192))</f>
        <v>Vikas Mehta</v>
      </c>
      <c r="G192" s="4" t="s">
        <v>32</v>
      </c>
      <c r="H192" s="69" t="s">
        <v>988</v>
      </c>
      <c r="I192" s="4" t="s">
        <v>216</v>
      </c>
      <c r="J192" s="4" t="str">
        <f>PROPER(Sales_data!J192)</f>
        <v>West</v>
      </c>
      <c r="K192" s="4" t="str">
        <f>PROPER(Sales_data!K192)</f>
        <v>Home Appliances</v>
      </c>
      <c r="L192" s="4" t="s">
        <v>37</v>
      </c>
      <c r="M192" s="66">
        <v>16</v>
      </c>
      <c r="N192" s="4">
        <v>2200</v>
      </c>
      <c r="O192" s="4">
        <v>0</v>
      </c>
      <c r="P192" s="4">
        <v>35200</v>
      </c>
      <c r="Q192" s="4">
        <v>5</v>
      </c>
      <c r="R192" s="67" t="s">
        <v>83</v>
      </c>
      <c r="S192" s="4" t="s">
        <v>39</v>
      </c>
      <c r="T192" s="4" t="s">
        <v>179</v>
      </c>
      <c r="U192" s="6" t="s">
        <v>989</v>
      </c>
      <c r="V192" s="4" t="s">
        <v>68</v>
      </c>
      <c r="W192" s="4">
        <f t="shared" si="2"/>
        <v>10</v>
      </c>
    </row>
    <row r="193" spans="1:23">
      <c r="A193" s="7" t="s">
        <v>990</v>
      </c>
      <c r="B193" s="8" t="s">
        <v>255</v>
      </c>
      <c r="C193" s="8" t="s">
        <v>28</v>
      </c>
      <c r="D193" s="32" t="s">
        <v>991</v>
      </c>
      <c r="E193" s="8" t="s">
        <v>992</v>
      </c>
      <c r="F193" s="4" t="str">
        <f>PROPER(TRIM(Sales_data!F193))</f>
        <v>Amit Sharma</v>
      </c>
      <c r="G193" s="8" t="s">
        <v>32</v>
      </c>
      <c r="H193" s="70" t="s">
        <v>993</v>
      </c>
      <c r="I193" s="8" t="s">
        <v>48</v>
      </c>
      <c r="J193" s="4" t="str">
        <f>PROPER(Sales_data!J193)</f>
        <v>North</v>
      </c>
      <c r="K193" s="4" t="str">
        <f>PROPER(Sales_data!K193)</f>
        <v>Electronics</v>
      </c>
      <c r="L193" s="8" t="s">
        <v>37</v>
      </c>
      <c r="M193" s="66">
        <v>8</v>
      </c>
      <c r="N193" s="8">
        <v>2200</v>
      </c>
      <c r="O193" s="8">
        <v>5</v>
      </c>
      <c r="P193" s="8">
        <v>16720</v>
      </c>
      <c r="Q193" s="8">
        <v>2</v>
      </c>
      <c r="R193" s="67" t="s">
        <v>92</v>
      </c>
      <c r="S193" s="8" t="s">
        <v>155</v>
      </c>
      <c r="T193" s="8" t="s">
        <v>260</v>
      </c>
      <c r="U193" s="9" t="s">
        <v>994</v>
      </c>
      <c r="V193" s="8" t="s">
        <v>42</v>
      </c>
      <c r="W193" s="4">
        <f t="shared" si="2"/>
        <v>2</v>
      </c>
    </row>
    <row r="194" spans="1:23">
      <c r="A194" s="3" t="s">
        <v>995</v>
      </c>
      <c r="B194" s="4" t="s">
        <v>255</v>
      </c>
      <c r="C194" s="4" t="s">
        <v>28</v>
      </c>
      <c r="D194" s="31" t="s">
        <v>614</v>
      </c>
      <c r="E194" s="4" t="s">
        <v>458</v>
      </c>
      <c r="F194" s="4" t="str">
        <f>PROPER(TRIM(Sales_data!F194))</f>
        <v>Anita Gupta</v>
      </c>
      <c r="G194" s="4" t="s">
        <v>32</v>
      </c>
      <c r="H194" s="69" t="s">
        <v>996</v>
      </c>
      <c r="I194" s="4" t="s">
        <v>142</v>
      </c>
      <c r="J194" s="4" t="str">
        <f>PROPER(Sales_data!J194)</f>
        <v>North</v>
      </c>
      <c r="K194" s="4" t="str">
        <f>PROPER(Sales_data!K194)</f>
        <v>Home Appliances</v>
      </c>
      <c r="L194" s="4" t="s">
        <v>37</v>
      </c>
      <c r="M194" s="66">
        <v>10</v>
      </c>
      <c r="N194" s="4">
        <v>2200</v>
      </c>
      <c r="O194" s="4">
        <v>10</v>
      </c>
      <c r="P194" s="4">
        <v>19800</v>
      </c>
      <c r="Q194" s="4">
        <v>5</v>
      </c>
      <c r="R194" s="67" t="s">
        <v>52</v>
      </c>
      <c r="S194" s="4" t="s">
        <v>119</v>
      </c>
      <c r="T194" s="4" t="s">
        <v>260</v>
      </c>
      <c r="U194" s="6" t="s">
        <v>997</v>
      </c>
      <c r="V194" s="4" t="s">
        <v>68</v>
      </c>
      <c r="W194" s="4">
        <f t="shared" si="2"/>
        <v>12</v>
      </c>
    </row>
    <row r="195" spans="1:23">
      <c r="A195" s="7" t="s">
        <v>998</v>
      </c>
      <c r="B195" s="8" t="s">
        <v>87</v>
      </c>
      <c r="C195" s="8" t="s">
        <v>226</v>
      </c>
      <c r="D195" s="32" t="s">
        <v>340</v>
      </c>
      <c r="E195" s="8" t="s">
        <v>600</v>
      </c>
      <c r="F195" s="4" t="str">
        <f>PROPER(TRIM(Sales_data!F195))</f>
        <v>Sneha Joshi</v>
      </c>
      <c r="G195" s="8" t="s">
        <v>80</v>
      </c>
      <c r="H195" s="70" t="s">
        <v>999</v>
      </c>
      <c r="I195" s="8" t="s">
        <v>48</v>
      </c>
      <c r="J195" s="4" t="str">
        <f>PROPER(Sales_data!J195)</f>
        <v>North</v>
      </c>
      <c r="K195" s="4" t="str">
        <f>PROPER(Sales_data!K195)</f>
        <v>Home Appliances</v>
      </c>
      <c r="L195" s="8" t="s">
        <v>231</v>
      </c>
      <c r="M195" s="66">
        <v>7</v>
      </c>
      <c r="N195" s="8">
        <v>20</v>
      </c>
      <c r="O195" s="8">
        <v>10</v>
      </c>
      <c r="P195" s="8">
        <v>126</v>
      </c>
      <c r="Q195" s="8">
        <v>4</v>
      </c>
      <c r="R195" s="67" t="s">
        <v>83</v>
      </c>
      <c r="S195" s="8" t="s">
        <v>65</v>
      </c>
      <c r="T195" s="8" t="s">
        <v>93</v>
      </c>
      <c r="U195" s="9" t="s">
        <v>1000</v>
      </c>
      <c r="V195" s="8" t="s">
        <v>42</v>
      </c>
      <c r="W195" s="4">
        <f t="shared" ref="W195:W258" si="3">IF(D195="Pending", "0", MONTH(D195))</f>
        <v>4</v>
      </c>
    </row>
    <row r="196" spans="1:23">
      <c r="A196" s="3" t="s">
        <v>1001</v>
      </c>
      <c r="B196" s="4" t="s">
        <v>225</v>
      </c>
      <c r="C196" s="4" t="s">
        <v>173</v>
      </c>
      <c r="D196" s="31" t="s">
        <v>256</v>
      </c>
      <c r="E196" s="4" t="s">
        <v>1002</v>
      </c>
      <c r="F196" s="4" t="str">
        <f>PROPER(TRIM(Sales_data!F196))</f>
        <v>Sneha Joshi</v>
      </c>
      <c r="G196" s="4" t="s">
        <v>80</v>
      </c>
      <c r="H196" s="69" t="s">
        <v>1003</v>
      </c>
      <c r="I196" s="4" t="s">
        <v>34</v>
      </c>
      <c r="J196" s="4" t="str">
        <f>PROPER(Sales_data!J196)</f>
        <v>West</v>
      </c>
      <c r="K196" s="4" t="str">
        <f>PROPER(Sales_data!K196)</f>
        <v>Home Appliances</v>
      </c>
      <c r="L196" s="4" t="s">
        <v>178</v>
      </c>
      <c r="M196" s="66">
        <v>19</v>
      </c>
      <c r="N196" s="4">
        <v>8500</v>
      </c>
      <c r="O196" s="4">
        <v>20</v>
      </c>
      <c r="P196" s="4">
        <v>129200</v>
      </c>
      <c r="Q196" s="4">
        <v>3</v>
      </c>
      <c r="R196" s="67" t="s">
        <v>52</v>
      </c>
      <c r="S196" s="4" t="s">
        <v>65</v>
      </c>
      <c r="T196" s="4" t="s">
        <v>232</v>
      </c>
      <c r="U196" s="6" t="s">
        <v>1004</v>
      </c>
      <c r="V196" s="4" t="s">
        <v>68</v>
      </c>
      <c r="W196" s="4">
        <f t="shared" si="3"/>
        <v>1</v>
      </c>
    </row>
    <row r="197" spans="1:23">
      <c r="A197" s="7" t="s">
        <v>1005</v>
      </c>
      <c r="B197" s="8" t="s">
        <v>104</v>
      </c>
      <c r="C197" s="8" t="s">
        <v>122</v>
      </c>
      <c r="D197" s="32" t="s">
        <v>435</v>
      </c>
      <c r="E197" s="8" t="s">
        <v>418</v>
      </c>
      <c r="F197" s="4" t="str">
        <f>PROPER(TRIM(Sales_data!F197))</f>
        <v>Arjun Rao</v>
      </c>
      <c r="G197" s="8" t="s">
        <v>32</v>
      </c>
      <c r="H197" s="70" t="s">
        <v>1006</v>
      </c>
      <c r="I197" s="8" t="s">
        <v>118</v>
      </c>
      <c r="J197" s="4" t="str">
        <f>PROPER(Sales_data!J197)</f>
        <v>North</v>
      </c>
      <c r="K197" s="4" t="str">
        <f>PROPER(Sales_data!K197)</f>
        <v>Stationery</v>
      </c>
      <c r="L197" s="8" t="s">
        <v>127</v>
      </c>
      <c r="M197" s="66">
        <v>16</v>
      </c>
      <c r="N197" s="8">
        <v>60</v>
      </c>
      <c r="O197" s="8">
        <v>0</v>
      </c>
      <c r="P197" s="8">
        <v>960</v>
      </c>
      <c r="Q197" s="8">
        <v>2</v>
      </c>
      <c r="R197" s="67" t="s">
        <v>52</v>
      </c>
      <c r="S197" s="8" t="s">
        <v>119</v>
      </c>
      <c r="T197" s="8" t="s">
        <v>148</v>
      </c>
      <c r="U197" s="9" t="s">
        <v>1007</v>
      </c>
      <c r="V197" s="8" t="s">
        <v>42</v>
      </c>
      <c r="W197" s="4">
        <f t="shared" si="3"/>
        <v>3</v>
      </c>
    </row>
    <row r="198" spans="1:23">
      <c r="A198" s="3" t="s">
        <v>1008</v>
      </c>
      <c r="B198" s="4" t="s">
        <v>225</v>
      </c>
      <c r="C198" s="4" t="s">
        <v>96</v>
      </c>
      <c r="D198" s="31" t="s">
        <v>1009</v>
      </c>
      <c r="E198" s="4" t="s">
        <v>735</v>
      </c>
      <c r="F198" s="4" t="str">
        <f>PROPER(TRIM(Sales_data!F198))</f>
        <v>Vikas Mehta</v>
      </c>
      <c r="G198" s="4" t="s">
        <v>80</v>
      </c>
      <c r="H198" s="69" t="s">
        <v>1010</v>
      </c>
      <c r="I198" s="4" t="s">
        <v>63</v>
      </c>
      <c r="J198" s="4" t="str">
        <f>PROPER(Sales_data!J198)</f>
        <v>South</v>
      </c>
      <c r="K198" s="4" t="str">
        <f>PROPER(Sales_data!K198)</f>
        <v>Home Appliances</v>
      </c>
      <c r="L198" s="4" t="s">
        <v>101</v>
      </c>
      <c r="M198" s="66">
        <v>18</v>
      </c>
      <c r="N198" s="4">
        <v>3500</v>
      </c>
      <c r="O198" s="4">
        <v>5</v>
      </c>
      <c r="P198" s="4">
        <v>59850</v>
      </c>
      <c r="Q198" s="4">
        <v>1</v>
      </c>
      <c r="R198" s="67" t="s">
        <v>92</v>
      </c>
      <c r="S198" s="4" t="s">
        <v>119</v>
      </c>
      <c r="T198" s="4" t="s">
        <v>232</v>
      </c>
      <c r="U198" s="6" t="s">
        <v>1012</v>
      </c>
      <c r="V198" s="4" t="s">
        <v>68</v>
      </c>
      <c r="W198" s="4">
        <f t="shared" si="3"/>
        <v>4</v>
      </c>
    </row>
    <row r="199" spans="1:23">
      <c r="A199" s="7" t="s">
        <v>1013</v>
      </c>
      <c r="B199" s="8" t="s">
        <v>104</v>
      </c>
      <c r="C199" s="8" t="s">
        <v>58</v>
      </c>
      <c r="D199" s="32" t="s">
        <v>1014</v>
      </c>
      <c r="E199" s="8" t="s">
        <v>435</v>
      </c>
      <c r="F199" s="4" t="str">
        <f>PROPER(TRIM(Sales_data!F199))</f>
        <v>Priya Patel</v>
      </c>
      <c r="G199" s="8" t="s">
        <v>32</v>
      </c>
      <c r="H199" s="70" t="s">
        <v>1015</v>
      </c>
      <c r="I199" s="8" t="s">
        <v>216</v>
      </c>
      <c r="J199" s="4" t="str">
        <f>PROPER(Sales_data!J199)</f>
        <v>West</v>
      </c>
      <c r="K199" s="4" t="str">
        <f>PROPER(Sales_data!K199)</f>
        <v>Stationery</v>
      </c>
      <c r="L199" s="8" t="s">
        <v>64</v>
      </c>
      <c r="M199" s="66">
        <v>16</v>
      </c>
      <c r="N199" s="8">
        <v>55000</v>
      </c>
      <c r="O199" s="8">
        <v>0</v>
      </c>
      <c r="P199" s="8">
        <v>880000</v>
      </c>
      <c r="Q199" s="8">
        <v>1</v>
      </c>
      <c r="R199" s="67" t="s">
        <v>83</v>
      </c>
      <c r="S199" s="8" t="s">
        <v>65</v>
      </c>
      <c r="T199" s="8" t="s">
        <v>148</v>
      </c>
      <c r="U199" s="9" t="s">
        <v>1016</v>
      </c>
      <c r="V199" s="8" t="s">
        <v>73</v>
      </c>
      <c r="W199" s="4">
        <f t="shared" si="3"/>
        <v>2</v>
      </c>
    </row>
    <row r="200" spans="1:23">
      <c r="A200" s="3" t="s">
        <v>1017</v>
      </c>
      <c r="B200" s="4" t="s">
        <v>225</v>
      </c>
      <c r="C200" s="4" t="s">
        <v>76</v>
      </c>
      <c r="D200" s="31" t="s">
        <v>904</v>
      </c>
      <c r="E200" s="4" t="s">
        <v>439</v>
      </c>
      <c r="F200" s="4" t="str">
        <f>PROPER(TRIM(Sales_data!F200))</f>
        <v>Vikas Mehta</v>
      </c>
      <c r="G200" s="4" t="s">
        <v>80</v>
      </c>
      <c r="H200" s="69" t="s">
        <v>1018</v>
      </c>
      <c r="I200" s="4" t="s">
        <v>142</v>
      </c>
      <c r="J200" s="4" t="str">
        <f>PROPER(Sales_data!J200)</f>
        <v>South</v>
      </c>
      <c r="K200" s="4" t="str">
        <f>PROPER(Sales_data!K200)</f>
        <v>Stationary</v>
      </c>
      <c r="L200" s="4" t="s">
        <v>82</v>
      </c>
      <c r="M200" s="66">
        <v>18</v>
      </c>
      <c r="N200" s="4">
        <v>1200</v>
      </c>
      <c r="O200" s="4">
        <v>15</v>
      </c>
      <c r="P200" s="4">
        <v>18360</v>
      </c>
      <c r="Q200" s="4">
        <v>2</v>
      </c>
      <c r="R200" s="67" t="s">
        <v>52</v>
      </c>
      <c r="S200" s="4" t="s">
        <v>39</v>
      </c>
      <c r="T200" s="4" t="s">
        <v>232</v>
      </c>
      <c r="U200" s="6" t="s">
        <v>1019</v>
      </c>
      <c r="V200" s="4" t="s">
        <v>73</v>
      </c>
      <c r="W200" s="4">
        <f t="shared" si="3"/>
        <v>2</v>
      </c>
    </row>
    <row r="201" spans="1:23">
      <c r="A201" s="7" t="s">
        <v>1020</v>
      </c>
      <c r="B201" s="8" t="s">
        <v>75</v>
      </c>
      <c r="C201" s="8" t="s">
        <v>263</v>
      </c>
      <c r="D201" s="32" t="s">
        <v>1021</v>
      </c>
      <c r="E201" s="8" t="s">
        <v>1022</v>
      </c>
      <c r="F201" s="4" t="str">
        <f>PROPER(TRIM(Sales_data!F201))</f>
        <v>Priya Patel</v>
      </c>
      <c r="G201" s="8" t="s">
        <v>80</v>
      </c>
      <c r="H201" s="70" t="s">
        <v>1023</v>
      </c>
      <c r="I201" s="8" t="s">
        <v>34</v>
      </c>
      <c r="J201" s="4" t="str">
        <f>PROPER(Sales_data!J201)</f>
        <v>North</v>
      </c>
      <c r="K201" s="4" t="str">
        <f>PROPER(Sales_data!K201)</f>
        <v>Electronics</v>
      </c>
      <c r="L201" s="8" t="s">
        <v>267</v>
      </c>
      <c r="M201" s="66">
        <v>2</v>
      </c>
      <c r="N201" s="8">
        <v>45</v>
      </c>
      <c r="O201" s="8">
        <v>15</v>
      </c>
      <c r="P201" s="8">
        <v>76.5</v>
      </c>
      <c r="Q201" s="8">
        <v>5</v>
      </c>
      <c r="R201" s="67" t="s">
        <v>38</v>
      </c>
      <c r="S201" s="8" t="s">
        <v>65</v>
      </c>
      <c r="T201" s="8" t="s">
        <v>84</v>
      </c>
      <c r="U201" s="9" t="s">
        <v>1024</v>
      </c>
      <c r="V201" s="8" t="s">
        <v>73</v>
      </c>
      <c r="W201" s="4">
        <f t="shared" si="3"/>
        <v>5</v>
      </c>
    </row>
    <row r="202" spans="1:23">
      <c r="A202" s="3" t="s">
        <v>1025</v>
      </c>
      <c r="B202" s="4" t="s">
        <v>57</v>
      </c>
      <c r="C202" s="4" t="s">
        <v>173</v>
      </c>
      <c r="D202" s="31" t="s">
        <v>716</v>
      </c>
      <c r="E202" s="4" t="s">
        <v>89</v>
      </c>
      <c r="F202" s="4" t="str">
        <f>PROPER(TRIM(Sales_data!F202))</f>
        <v>Vikas Mehta</v>
      </c>
      <c r="G202" s="4" t="s">
        <v>32</v>
      </c>
      <c r="H202" s="69" t="s">
        <v>1026</v>
      </c>
      <c r="I202" s="4" t="s">
        <v>63</v>
      </c>
      <c r="J202" s="4" t="str">
        <f>PROPER(Sales_data!J202)</f>
        <v>West</v>
      </c>
      <c r="K202" s="4" t="str">
        <f>PROPER(Sales_data!K202)</f>
        <v>Electronics</v>
      </c>
      <c r="L202" s="4" t="s">
        <v>178</v>
      </c>
      <c r="M202" s="66">
        <v>20</v>
      </c>
      <c r="N202" s="4">
        <v>8500</v>
      </c>
      <c r="O202" s="4">
        <v>0</v>
      </c>
      <c r="P202" s="4">
        <v>170000</v>
      </c>
      <c r="Q202" s="4">
        <v>4</v>
      </c>
      <c r="R202" s="67" t="s">
        <v>52</v>
      </c>
      <c r="S202" s="4" t="s">
        <v>65</v>
      </c>
      <c r="T202" s="4" t="s">
        <v>66</v>
      </c>
      <c r="U202" s="6" t="s">
        <v>1027</v>
      </c>
      <c r="V202" s="4" t="s">
        <v>73</v>
      </c>
      <c r="W202" s="4">
        <f t="shared" si="3"/>
        <v>1</v>
      </c>
    </row>
    <row r="203" spans="1:23">
      <c r="A203" s="7" t="s">
        <v>1028</v>
      </c>
      <c r="B203" s="8" t="s">
        <v>131</v>
      </c>
      <c r="C203" s="8" t="s">
        <v>96</v>
      </c>
      <c r="D203" s="32" t="s">
        <v>302</v>
      </c>
      <c r="E203" s="8" t="s">
        <v>1029</v>
      </c>
      <c r="F203" s="4" t="str">
        <f>PROPER(TRIM(Sales_data!F203))</f>
        <v>Mohit Verma</v>
      </c>
      <c r="G203" s="8" t="s">
        <v>80</v>
      </c>
      <c r="H203" s="70" t="s">
        <v>498</v>
      </c>
      <c r="I203" s="8" t="s">
        <v>216</v>
      </c>
      <c r="J203" s="4" t="str">
        <f>PROPER(Sales_data!J203)</f>
        <v>South</v>
      </c>
      <c r="K203" s="4" t="str">
        <f>PROPER(Sales_data!K203)</f>
        <v>Stationery</v>
      </c>
      <c r="L203" s="8" t="s">
        <v>101</v>
      </c>
      <c r="M203" s="66">
        <v>6</v>
      </c>
      <c r="N203" s="8">
        <v>3500</v>
      </c>
      <c r="O203" s="8">
        <v>5</v>
      </c>
      <c r="P203" s="8">
        <v>19950</v>
      </c>
      <c r="Q203" s="8">
        <v>1</v>
      </c>
      <c r="R203" s="67" t="s">
        <v>38</v>
      </c>
      <c r="S203" s="8" t="s">
        <v>155</v>
      </c>
      <c r="T203" s="8" t="s">
        <v>136</v>
      </c>
      <c r="U203" s="9" t="s">
        <v>1030</v>
      </c>
      <c r="V203" s="8" t="s">
        <v>42</v>
      </c>
      <c r="W203" s="4">
        <f t="shared" si="3"/>
        <v>3</v>
      </c>
    </row>
    <row r="204" spans="1:23">
      <c r="A204" s="3" t="s">
        <v>1031</v>
      </c>
      <c r="B204" s="4" t="s">
        <v>172</v>
      </c>
      <c r="C204" s="4" t="s">
        <v>263</v>
      </c>
      <c r="D204" s="31" t="s">
        <v>312</v>
      </c>
      <c r="E204" s="4" t="s">
        <v>285</v>
      </c>
      <c r="F204" s="4" t="str">
        <f>PROPER(TRIM(Sales_data!F204))</f>
        <v>Pooja Shah</v>
      </c>
      <c r="G204" s="4" t="s">
        <v>32</v>
      </c>
      <c r="H204" s="69" t="s">
        <v>1032</v>
      </c>
      <c r="I204" s="4" t="s">
        <v>118</v>
      </c>
      <c r="J204" s="4" t="str">
        <f>PROPER(Sales_data!J204)</f>
        <v>South</v>
      </c>
      <c r="K204" s="4" t="str">
        <f>PROPER(Sales_data!K204)</f>
        <v>Home Appliances</v>
      </c>
      <c r="L204" s="4" t="s">
        <v>267</v>
      </c>
      <c r="M204" s="66">
        <v>8</v>
      </c>
      <c r="N204" s="4">
        <v>45</v>
      </c>
      <c r="O204" s="4">
        <v>5</v>
      </c>
      <c r="P204" s="4">
        <v>342</v>
      </c>
      <c r="Q204" s="4">
        <v>2</v>
      </c>
      <c r="R204" s="67" t="s">
        <v>38</v>
      </c>
      <c r="S204" s="4" t="s">
        <v>53</v>
      </c>
      <c r="T204" s="4" t="s">
        <v>179</v>
      </c>
      <c r="U204" s="6" t="s">
        <v>1033</v>
      </c>
      <c r="V204" s="4" t="s">
        <v>68</v>
      </c>
      <c r="W204" s="4">
        <f t="shared" si="3"/>
        <v>10</v>
      </c>
    </row>
    <row r="205" spans="1:23">
      <c r="A205" s="7" t="s">
        <v>1034</v>
      </c>
      <c r="B205" s="8" t="s">
        <v>331</v>
      </c>
      <c r="C205" s="8" t="s">
        <v>28</v>
      </c>
      <c r="D205" s="32" t="s">
        <v>418</v>
      </c>
      <c r="E205" s="8" t="s">
        <v>1035</v>
      </c>
      <c r="F205" s="4" t="str">
        <f>PROPER(TRIM(Sales_data!F205))</f>
        <v>Rohit Singh</v>
      </c>
      <c r="G205" s="8" t="s">
        <v>80</v>
      </c>
      <c r="H205" s="70" t="s">
        <v>1036</v>
      </c>
      <c r="I205" s="8" t="s">
        <v>109</v>
      </c>
      <c r="J205" s="4" t="str">
        <f>PROPER(Sales_data!J205)</f>
        <v>North</v>
      </c>
      <c r="K205" s="4" t="str">
        <f>PROPER(Sales_data!K205)</f>
        <v>Home Appliances</v>
      </c>
      <c r="L205" s="8" t="s">
        <v>37</v>
      </c>
      <c r="M205" s="66">
        <v>18</v>
      </c>
      <c r="N205" s="8">
        <v>2200</v>
      </c>
      <c r="O205" s="8">
        <v>15</v>
      </c>
      <c r="P205" s="8">
        <v>33660</v>
      </c>
      <c r="Q205" s="8">
        <v>4</v>
      </c>
      <c r="R205" s="67" t="s">
        <v>83</v>
      </c>
      <c r="S205" s="8" t="s">
        <v>65</v>
      </c>
      <c r="T205" s="8" t="s">
        <v>336</v>
      </c>
      <c r="U205" s="9" t="s">
        <v>1037</v>
      </c>
      <c r="V205" s="8" t="s">
        <v>68</v>
      </c>
      <c r="W205" s="4">
        <f t="shared" si="3"/>
        <v>3</v>
      </c>
    </row>
    <row r="206" spans="1:23">
      <c r="A206" s="3" t="s">
        <v>1038</v>
      </c>
      <c r="B206" s="4" t="s">
        <v>225</v>
      </c>
      <c r="C206" s="4" t="s">
        <v>188</v>
      </c>
      <c r="D206" s="31" t="s">
        <v>1039</v>
      </c>
      <c r="E206" s="4" t="s">
        <v>1009</v>
      </c>
      <c r="F206" s="4" t="str">
        <f>PROPER(TRIM(Sales_data!F206))</f>
        <v>Anita Gupta</v>
      </c>
      <c r="G206" s="4" t="s">
        <v>80</v>
      </c>
      <c r="H206" s="69" t="s">
        <v>1040</v>
      </c>
      <c r="I206" s="4" t="s">
        <v>34</v>
      </c>
      <c r="J206" s="4" t="str">
        <f>PROPER(Sales_data!J206)</f>
        <v>West</v>
      </c>
      <c r="K206" s="4" t="str">
        <f>PROPER(Sales_data!K206)</f>
        <v>Stationery</v>
      </c>
      <c r="L206" s="4" t="s">
        <v>193</v>
      </c>
      <c r="M206" s="66">
        <v>18</v>
      </c>
      <c r="N206" s="4">
        <v>700</v>
      </c>
      <c r="O206" s="4">
        <v>15</v>
      </c>
      <c r="P206" s="4">
        <v>10710</v>
      </c>
      <c r="Q206" s="4">
        <v>3</v>
      </c>
      <c r="R206" s="67" t="s">
        <v>83</v>
      </c>
      <c r="S206" s="4" t="s">
        <v>155</v>
      </c>
      <c r="T206" s="4" t="s">
        <v>232</v>
      </c>
      <c r="U206" s="6" t="s">
        <v>1041</v>
      </c>
      <c r="V206" s="4" t="s">
        <v>73</v>
      </c>
      <c r="W206" s="4">
        <f t="shared" si="3"/>
        <v>4</v>
      </c>
    </row>
    <row r="207" spans="1:23">
      <c r="A207" s="7" t="s">
        <v>1042</v>
      </c>
      <c r="B207" s="8" t="s">
        <v>331</v>
      </c>
      <c r="C207" s="8" t="s">
        <v>58</v>
      </c>
      <c r="D207" s="32" t="s">
        <v>1043</v>
      </c>
      <c r="E207" s="8" t="s">
        <v>1044</v>
      </c>
      <c r="F207" s="4" t="str">
        <f>PROPER(TRIM(Sales_data!F207))</f>
        <v>Amit Sharma</v>
      </c>
      <c r="G207" s="8" t="s">
        <v>80</v>
      </c>
      <c r="H207" s="70" t="s">
        <v>1045</v>
      </c>
      <c r="I207" s="8" t="s">
        <v>118</v>
      </c>
      <c r="J207" s="4" t="str">
        <f>PROPER(Sales_data!J207)</f>
        <v>West</v>
      </c>
      <c r="K207" s="4" t="str">
        <f>PROPER(Sales_data!K207)</f>
        <v>Home Appliances</v>
      </c>
      <c r="L207" s="8" t="s">
        <v>64</v>
      </c>
      <c r="M207" s="66">
        <v>12</v>
      </c>
      <c r="N207" s="8">
        <v>55000</v>
      </c>
      <c r="O207" s="8">
        <v>0</v>
      </c>
      <c r="P207" s="8">
        <v>660000</v>
      </c>
      <c r="Q207" s="8">
        <v>2</v>
      </c>
      <c r="R207" s="67" t="s">
        <v>92</v>
      </c>
      <c r="S207" s="8" t="s">
        <v>53</v>
      </c>
      <c r="T207" s="8" t="s">
        <v>336</v>
      </c>
      <c r="U207" s="9" t="s">
        <v>1046</v>
      </c>
      <c r="V207" s="8" t="s">
        <v>73</v>
      </c>
      <c r="W207" s="4">
        <f t="shared" si="3"/>
        <v>1</v>
      </c>
    </row>
    <row r="208" spans="1:23">
      <c r="A208" s="3" t="s">
        <v>1047</v>
      </c>
      <c r="B208" s="4" t="s">
        <v>27</v>
      </c>
      <c r="C208" s="4" t="s">
        <v>44</v>
      </c>
      <c r="D208" s="31" t="s">
        <v>506</v>
      </c>
      <c r="E208" s="4" t="s">
        <v>1048</v>
      </c>
      <c r="F208" s="4" t="str">
        <f>PROPER(TRIM(Sales_data!F208))</f>
        <v>Vikas Mehta</v>
      </c>
      <c r="G208" s="4" t="s">
        <v>32</v>
      </c>
      <c r="H208" s="69" t="s">
        <v>1049</v>
      </c>
      <c r="I208" s="4" t="s">
        <v>109</v>
      </c>
      <c r="J208" s="4" t="str">
        <f>PROPER(Sales_data!J208)</f>
        <v>South</v>
      </c>
      <c r="K208" s="4" t="str">
        <f>PROPER(Sales_data!K208)</f>
        <v>Electronics</v>
      </c>
      <c r="L208" s="4" t="s">
        <v>51</v>
      </c>
      <c r="M208" s="66">
        <v>7</v>
      </c>
      <c r="N208" s="4">
        <v>12000</v>
      </c>
      <c r="O208" s="4">
        <v>5</v>
      </c>
      <c r="P208" s="4">
        <v>79800</v>
      </c>
      <c r="Q208" s="4">
        <v>3</v>
      </c>
      <c r="R208" s="67" t="s">
        <v>83</v>
      </c>
      <c r="S208" s="4" t="s">
        <v>155</v>
      </c>
      <c r="T208" s="4" t="s">
        <v>54</v>
      </c>
      <c r="U208" s="6" t="s">
        <v>1050</v>
      </c>
      <c r="V208" s="4" t="s">
        <v>68</v>
      </c>
      <c r="W208" s="4">
        <f t="shared" si="3"/>
        <v>11</v>
      </c>
    </row>
    <row r="209" spans="1:23">
      <c r="A209" s="7" t="s">
        <v>1051</v>
      </c>
      <c r="B209" s="8" t="s">
        <v>255</v>
      </c>
      <c r="C209" s="8" t="s">
        <v>44</v>
      </c>
      <c r="D209" s="32" t="s">
        <v>1052</v>
      </c>
      <c r="E209" s="8" t="s">
        <v>133</v>
      </c>
      <c r="F209" s="4" t="str">
        <f>PROPER(TRIM(Sales_data!F209))</f>
        <v>Amit Sharma</v>
      </c>
      <c r="G209" s="8" t="s">
        <v>32</v>
      </c>
      <c r="H209" s="70" t="s">
        <v>1053</v>
      </c>
      <c r="I209" s="8" t="s">
        <v>109</v>
      </c>
      <c r="J209" s="4" t="str">
        <f>PROPER(Sales_data!J209)</f>
        <v>West</v>
      </c>
      <c r="K209" s="4" t="str">
        <f>PROPER(Sales_data!K209)</f>
        <v>Electronics</v>
      </c>
      <c r="L209" s="8" t="s">
        <v>51</v>
      </c>
      <c r="M209" s="66">
        <v>8</v>
      </c>
      <c r="N209" s="8">
        <v>12000</v>
      </c>
      <c r="O209" s="8">
        <v>15</v>
      </c>
      <c r="P209" s="8">
        <v>81600</v>
      </c>
      <c r="Q209" s="8">
        <v>4</v>
      </c>
      <c r="R209" s="67" t="s">
        <v>83</v>
      </c>
      <c r="S209" s="8" t="s">
        <v>53</v>
      </c>
      <c r="T209" s="8" t="s">
        <v>260</v>
      </c>
      <c r="U209" s="9" t="s">
        <v>1054</v>
      </c>
      <c r="V209" s="8" t="s">
        <v>42</v>
      </c>
      <c r="W209" s="4">
        <f t="shared" si="3"/>
        <v>9</v>
      </c>
    </row>
    <row r="210" spans="1:23">
      <c r="A210" s="3" t="s">
        <v>1055</v>
      </c>
      <c r="B210" s="4" t="s">
        <v>331</v>
      </c>
      <c r="C210" s="4" t="s">
        <v>96</v>
      </c>
      <c r="D210" s="31" t="s">
        <v>792</v>
      </c>
      <c r="E210" s="4" t="s">
        <v>1056</v>
      </c>
      <c r="F210" s="4" t="str">
        <f>PROPER(TRIM(Sales_data!F210))</f>
        <v>Kavya Nair</v>
      </c>
      <c r="G210" s="4" t="s">
        <v>80</v>
      </c>
      <c r="H210" s="69" t="s">
        <v>1057</v>
      </c>
      <c r="I210" s="4" t="s">
        <v>109</v>
      </c>
      <c r="J210" s="4" t="str">
        <f>PROPER(Sales_data!J210)</f>
        <v>West</v>
      </c>
      <c r="K210" s="4" t="str">
        <f>PROPER(Sales_data!K210)</f>
        <v>Electronics</v>
      </c>
      <c r="L210" s="4" t="s">
        <v>101</v>
      </c>
      <c r="M210" s="66">
        <v>19</v>
      </c>
      <c r="N210" s="4">
        <v>3500</v>
      </c>
      <c r="O210" s="4">
        <v>5</v>
      </c>
      <c r="P210" s="4">
        <v>63175</v>
      </c>
      <c r="Q210" s="4">
        <v>3</v>
      </c>
      <c r="R210" s="67" t="s">
        <v>83</v>
      </c>
      <c r="S210" s="4" t="s">
        <v>65</v>
      </c>
      <c r="T210" s="4" t="s">
        <v>336</v>
      </c>
      <c r="U210" s="6" t="s">
        <v>1058</v>
      </c>
      <c r="V210" s="4" t="s">
        <v>68</v>
      </c>
      <c r="W210" s="4">
        <f t="shared" si="3"/>
        <v>12</v>
      </c>
    </row>
    <row r="211" spans="1:23">
      <c r="A211" s="7" t="s">
        <v>1059</v>
      </c>
      <c r="B211" s="8" t="s">
        <v>255</v>
      </c>
      <c r="C211" s="8" t="s">
        <v>263</v>
      </c>
      <c r="D211" s="32" t="s">
        <v>904</v>
      </c>
      <c r="E211" s="8" t="s">
        <v>991</v>
      </c>
      <c r="F211" s="4" t="str">
        <f>PROPER(TRIM(Sales_data!F211))</f>
        <v>Sneha Joshi</v>
      </c>
      <c r="G211" s="8" t="s">
        <v>32</v>
      </c>
      <c r="H211" s="70" t="s">
        <v>1060</v>
      </c>
      <c r="I211" s="8" t="s">
        <v>142</v>
      </c>
      <c r="J211" s="4" t="str">
        <f>PROPER(Sales_data!J211)</f>
        <v>West</v>
      </c>
      <c r="K211" s="4" t="str">
        <f>PROPER(Sales_data!K211)</f>
        <v>Electronics</v>
      </c>
      <c r="L211" s="8" t="s">
        <v>267</v>
      </c>
      <c r="M211" s="66">
        <v>7</v>
      </c>
      <c r="N211" s="8">
        <v>45</v>
      </c>
      <c r="O211" s="8">
        <v>5</v>
      </c>
      <c r="P211" s="8">
        <v>299.25</v>
      </c>
      <c r="Q211" s="8">
        <v>3</v>
      </c>
      <c r="R211" s="67" t="s">
        <v>83</v>
      </c>
      <c r="S211" s="8" t="s">
        <v>39</v>
      </c>
      <c r="T211" s="8" t="s">
        <v>260</v>
      </c>
      <c r="U211" s="9" t="s">
        <v>1061</v>
      </c>
      <c r="V211" s="8" t="s">
        <v>73</v>
      </c>
      <c r="W211" s="4">
        <f t="shared" si="3"/>
        <v>2</v>
      </c>
    </row>
    <row r="212" spans="1:23">
      <c r="A212" s="3" t="s">
        <v>1062</v>
      </c>
      <c r="B212" s="4" t="s">
        <v>27</v>
      </c>
      <c r="C212" s="4" t="s">
        <v>122</v>
      </c>
      <c r="D212" s="31" t="s">
        <v>688</v>
      </c>
      <c r="E212" s="4" t="s">
        <v>754</v>
      </c>
      <c r="F212" s="4" t="str">
        <f>PROPER(TRIM(Sales_data!F212))</f>
        <v>Amit Sharma</v>
      </c>
      <c r="G212" s="4" t="s">
        <v>32</v>
      </c>
      <c r="H212" s="69" t="s">
        <v>335</v>
      </c>
      <c r="I212" s="4" t="s">
        <v>34</v>
      </c>
      <c r="J212" s="4" t="str">
        <f>PROPER(Sales_data!J212)</f>
        <v>West</v>
      </c>
      <c r="K212" s="4" t="str">
        <f>PROPER(Sales_data!K212)</f>
        <v>Home Appliances</v>
      </c>
      <c r="L212" s="4" t="s">
        <v>127</v>
      </c>
      <c r="M212" s="66">
        <v>3</v>
      </c>
      <c r="N212" s="4">
        <v>60</v>
      </c>
      <c r="O212" s="4">
        <v>15</v>
      </c>
      <c r="P212" s="4">
        <v>153</v>
      </c>
      <c r="Q212" s="4">
        <v>3</v>
      </c>
      <c r="R212" s="67" t="s">
        <v>52</v>
      </c>
      <c r="S212" s="4" t="s">
        <v>53</v>
      </c>
      <c r="T212" s="4" t="s">
        <v>54</v>
      </c>
      <c r="U212" s="6" t="s">
        <v>1063</v>
      </c>
      <c r="V212" s="4" t="s">
        <v>73</v>
      </c>
      <c r="W212" s="4">
        <f t="shared" si="3"/>
        <v>6</v>
      </c>
    </row>
    <row r="213" spans="1:23">
      <c r="A213" s="7" t="s">
        <v>1064</v>
      </c>
      <c r="B213" s="8" t="s">
        <v>57</v>
      </c>
      <c r="C213" s="8" t="s">
        <v>263</v>
      </c>
      <c r="D213" s="32" t="s">
        <v>1065</v>
      </c>
      <c r="E213" s="8" t="s">
        <v>586</v>
      </c>
      <c r="F213" s="4" t="str">
        <f>PROPER(TRIM(Sales_data!F213))</f>
        <v>Sneha Joshi</v>
      </c>
      <c r="G213" s="8" t="s">
        <v>32</v>
      </c>
      <c r="H213" s="70" t="s">
        <v>1066</v>
      </c>
      <c r="I213" s="8" t="s">
        <v>118</v>
      </c>
      <c r="J213" s="4" t="str">
        <f>PROPER(Sales_data!J213)</f>
        <v>West</v>
      </c>
      <c r="K213" s="4" t="str">
        <f>PROPER(Sales_data!K213)</f>
        <v>Stationery</v>
      </c>
      <c r="L213" s="8" t="s">
        <v>267</v>
      </c>
      <c r="M213" s="66">
        <v>19</v>
      </c>
      <c r="N213" s="8">
        <v>45</v>
      </c>
      <c r="O213" s="8">
        <v>0</v>
      </c>
      <c r="P213" s="8">
        <v>855</v>
      </c>
      <c r="Q213" s="8">
        <v>2</v>
      </c>
      <c r="R213" s="67" t="s">
        <v>38</v>
      </c>
      <c r="S213" s="8" t="s">
        <v>65</v>
      </c>
      <c r="T213" s="8" t="s">
        <v>66</v>
      </c>
      <c r="U213" s="9" t="s">
        <v>1067</v>
      </c>
      <c r="V213" s="8" t="s">
        <v>42</v>
      </c>
      <c r="W213" s="4">
        <f t="shared" si="3"/>
        <v>4</v>
      </c>
    </row>
    <row r="214" spans="1:23">
      <c r="A214" s="3" t="s">
        <v>1068</v>
      </c>
      <c r="B214" s="4" t="s">
        <v>104</v>
      </c>
      <c r="C214" s="4" t="s">
        <v>44</v>
      </c>
      <c r="D214" s="31" t="s">
        <v>1069</v>
      </c>
      <c r="E214" s="4" t="s">
        <v>547</v>
      </c>
      <c r="F214" s="4" t="str">
        <f>PROPER(TRIM(Sales_data!F214))</f>
        <v>Kavya Nair</v>
      </c>
      <c r="G214" s="4" t="s">
        <v>32</v>
      </c>
      <c r="H214" s="69" t="s">
        <v>1070</v>
      </c>
      <c r="I214" s="4" t="s">
        <v>63</v>
      </c>
      <c r="J214" s="4" t="str">
        <f>PROPER(Sales_data!J214)</f>
        <v>South</v>
      </c>
      <c r="K214" s="4" t="str">
        <f>PROPER(Sales_data!K214)</f>
        <v>Stationery</v>
      </c>
      <c r="L214" s="4" t="s">
        <v>51</v>
      </c>
      <c r="M214" s="66">
        <v>10</v>
      </c>
      <c r="N214" s="4">
        <v>12000</v>
      </c>
      <c r="O214" s="4">
        <v>5</v>
      </c>
      <c r="P214" s="4">
        <v>114000</v>
      </c>
      <c r="Q214" s="4">
        <v>1</v>
      </c>
      <c r="R214" s="67" t="s">
        <v>83</v>
      </c>
      <c r="S214" s="4" t="s">
        <v>119</v>
      </c>
      <c r="T214" s="4" t="s">
        <v>148</v>
      </c>
      <c r="U214" s="6" t="s">
        <v>1071</v>
      </c>
      <c r="V214" s="4" t="s">
        <v>73</v>
      </c>
      <c r="W214" s="4">
        <f t="shared" si="3"/>
        <v>3</v>
      </c>
    </row>
    <row r="215" spans="1:23">
      <c r="A215" s="7" t="s">
        <v>1072</v>
      </c>
      <c r="B215" s="8" t="s">
        <v>27</v>
      </c>
      <c r="C215" s="8" t="s">
        <v>76</v>
      </c>
      <c r="D215" s="32" t="s">
        <v>1073</v>
      </c>
      <c r="E215" s="8" t="s">
        <v>1035</v>
      </c>
      <c r="F215" s="4" t="str">
        <f>PROPER(TRIM(Sales_data!F215))</f>
        <v>Pooja Shah</v>
      </c>
      <c r="G215" s="8" t="s">
        <v>32</v>
      </c>
      <c r="H215" s="70" t="s">
        <v>1074</v>
      </c>
      <c r="I215" s="8" t="s">
        <v>298</v>
      </c>
      <c r="J215" s="4" t="str">
        <f>PROPER(Sales_data!J215)</f>
        <v>West</v>
      </c>
      <c r="K215" s="4" t="str">
        <f>PROPER(Sales_data!K215)</f>
        <v>Stationery</v>
      </c>
      <c r="L215" s="8" t="s">
        <v>82</v>
      </c>
      <c r="M215" s="66">
        <v>4</v>
      </c>
      <c r="N215" s="8">
        <v>1200</v>
      </c>
      <c r="O215" s="8">
        <v>0</v>
      </c>
      <c r="P215" s="8">
        <v>4800</v>
      </c>
      <c r="Q215" s="8">
        <v>4</v>
      </c>
      <c r="R215" s="67" t="s">
        <v>38</v>
      </c>
      <c r="S215" s="8" t="s">
        <v>65</v>
      </c>
      <c r="T215" s="8" t="s">
        <v>54</v>
      </c>
      <c r="U215" s="9" t="s">
        <v>1075</v>
      </c>
      <c r="V215" s="8" t="s">
        <v>42</v>
      </c>
      <c r="W215" s="4">
        <f t="shared" si="3"/>
        <v>2</v>
      </c>
    </row>
    <row r="216" spans="1:23">
      <c r="A216" s="3" t="s">
        <v>1076</v>
      </c>
      <c r="B216" s="4" t="s">
        <v>225</v>
      </c>
      <c r="C216" s="4" t="s">
        <v>173</v>
      </c>
      <c r="D216" s="31" t="s">
        <v>535</v>
      </c>
      <c r="E216" s="4" t="s">
        <v>1077</v>
      </c>
      <c r="F216" s="4" t="str">
        <f>PROPER(TRIM(Sales_data!F216))</f>
        <v>Priya Patel</v>
      </c>
      <c r="G216" s="4" t="s">
        <v>80</v>
      </c>
      <c r="H216" s="69" t="s">
        <v>1078</v>
      </c>
      <c r="I216" s="4" t="s">
        <v>63</v>
      </c>
      <c r="J216" s="4" t="str">
        <f>PROPER(Sales_data!J216)</f>
        <v>South</v>
      </c>
      <c r="K216" s="4" t="str">
        <f>PROPER(Sales_data!K216)</f>
        <v>Electronics</v>
      </c>
      <c r="L216" s="4" t="s">
        <v>178</v>
      </c>
      <c r="M216" s="66">
        <v>2</v>
      </c>
      <c r="N216" s="4">
        <v>8500</v>
      </c>
      <c r="O216" s="4">
        <v>20</v>
      </c>
      <c r="P216" s="4">
        <v>13600</v>
      </c>
      <c r="Q216" s="4">
        <v>3</v>
      </c>
      <c r="R216" s="67" t="s">
        <v>83</v>
      </c>
      <c r="S216" s="4" t="s">
        <v>155</v>
      </c>
      <c r="T216" s="4" t="s">
        <v>232</v>
      </c>
      <c r="U216" s="6" t="s">
        <v>1079</v>
      </c>
      <c r="V216" s="4" t="s">
        <v>42</v>
      </c>
      <c r="W216" s="4">
        <f t="shared" si="3"/>
        <v>10</v>
      </c>
    </row>
    <row r="217" spans="1:23">
      <c r="A217" s="7" t="s">
        <v>1080</v>
      </c>
      <c r="B217" s="8" t="s">
        <v>87</v>
      </c>
      <c r="C217" s="8" t="s">
        <v>188</v>
      </c>
      <c r="D217" s="32" t="s">
        <v>1081</v>
      </c>
      <c r="E217" s="8" t="s">
        <v>326</v>
      </c>
      <c r="F217" s="4" t="str">
        <f>PROPER(TRIM(Sales_data!F217))</f>
        <v>Kavya Nair</v>
      </c>
      <c r="G217" s="8" t="s">
        <v>80</v>
      </c>
      <c r="H217" s="70" t="s">
        <v>1082</v>
      </c>
      <c r="I217" s="8" t="s">
        <v>298</v>
      </c>
      <c r="J217" s="4" t="str">
        <f>PROPER(Sales_data!J217)</f>
        <v>East</v>
      </c>
      <c r="K217" s="4" t="str">
        <f>PROPER(Sales_data!K217)</f>
        <v>Electronics</v>
      </c>
      <c r="L217" s="8" t="s">
        <v>193</v>
      </c>
      <c r="M217" s="66">
        <v>7</v>
      </c>
      <c r="N217" s="8">
        <v>700</v>
      </c>
      <c r="O217" s="8">
        <v>20</v>
      </c>
      <c r="P217" s="8">
        <v>3920</v>
      </c>
      <c r="Q217" s="8">
        <v>2</v>
      </c>
      <c r="R217" s="67" t="s">
        <v>83</v>
      </c>
      <c r="S217" s="8" t="s">
        <v>155</v>
      </c>
      <c r="T217" s="8" t="s">
        <v>93</v>
      </c>
      <c r="U217" s="9" t="s">
        <v>1083</v>
      </c>
      <c r="V217" s="8" t="s">
        <v>68</v>
      </c>
      <c r="W217" s="4">
        <f t="shared" si="3"/>
        <v>1</v>
      </c>
    </row>
    <row r="218" spans="1:23">
      <c r="A218" s="3" t="s">
        <v>1084</v>
      </c>
      <c r="B218" s="4" t="s">
        <v>57</v>
      </c>
      <c r="C218" s="4" t="s">
        <v>226</v>
      </c>
      <c r="D218" s="31" t="s">
        <v>1085</v>
      </c>
      <c r="E218" s="4" t="s">
        <v>522</v>
      </c>
      <c r="F218" s="4" t="str">
        <f>PROPER(TRIM(Sales_data!F218))</f>
        <v>Vikas Mehta</v>
      </c>
      <c r="G218" s="4" t="s">
        <v>32</v>
      </c>
      <c r="H218" s="69" t="s">
        <v>1086</v>
      </c>
      <c r="I218" s="4" t="s">
        <v>118</v>
      </c>
      <c r="J218" s="4" t="str">
        <f>PROPER(Sales_data!J218)</f>
        <v>South</v>
      </c>
      <c r="K218" s="4" t="str">
        <f>PROPER(Sales_data!K218)</f>
        <v>Home Appliances</v>
      </c>
      <c r="L218" s="4" t="s">
        <v>231</v>
      </c>
      <c r="M218" s="66">
        <v>9</v>
      </c>
      <c r="N218" s="4">
        <v>20</v>
      </c>
      <c r="O218" s="4">
        <v>15</v>
      </c>
      <c r="P218" s="4">
        <v>153</v>
      </c>
      <c r="Q218" s="4">
        <v>3</v>
      </c>
      <c r="R218" s="67" t="s">
        <v>52</v>
      </c>
      <c r="S218" s="4" t="s">
        <v>119</v>
      </c>
      <c r="T218" s="4" t="s">
        <v>66</v>
      </c>
      <c r="U218" s="6" t="s">
        <v>1087</v>
      </c>
      <c r="V218" s="4" t="s">
        <v>42</v>
      </c>
      <c r="W218" s="4">
        <f t="shared" si="3"/>
        <v>4</v>
      </c>
    </row>
    <row r="219" spans="1:23">
      <c r="A219" s="7" t="s">
        <v>1088</v>
      </c>
      <c r="B219" s="8" t="s">
        <v>104</v>
      </c>
      <c r="C219" s="8" t="s">
        <v>173</v>
      </c>
      <c r="D219" s="32" t="s">
        <v>1089</v>
      </c>
      <c r="E219" s="8" t="s">
        <v>1090</v>
      </c>
      <c r="F219" s="4" t="str">
        <f>PROPER(TRIM(Sales_data!F219))</f>
        <v>Arjun Rao</v>
      </c>
      <c r="G219" s="8" t="s">
        <v>32</v>
      </c>
      <c r="H219" s="70" t="s">
        <v>1091</v>
      </c>
      <c r="I219" s="8" t="s">
        <v>298</v>
      </c>
      <c r="J219" s="4" t="str">
        <f>PROPER(Sales_data!J219)</f>
        <v>East</v>
      </c>
      <c r="K219" s="4" t="str">
        <f>PROPER(Sales_data!K219)</f>
        <v>Electronics</v>
      </c>
      <c r="L219" s="8" t="s">
        <v>178</v>
      </c>
      <c r="M219" s="66">
        <v>16</v>
      </c>
      <c r="N219" s="8">
        <v>8500</v>
      </c>
      <c r="O219" s="8">
        <v>0</v>
      </c>
      <c r="P219" s="8">
        <v>136000</v>
      </c>
      <c r="Q219" s="8">
        <v>4</v>
      </c>
      <c r="R219" s="67" t="s">
        <v>52</v>
      </c>
      <c r="S219" s="8" t="s">
        <v>39</v>
      </c>
      <c r="T219" s="8" t="s">
        <v>148</v>
      </c>
      <c r="U219" s="9" t="s">
        <v>1092</v>
      </c>
      <c r="V219" s="8" t="s">
        <v>42</v>
      </c>
      <c r="W219" s="4">
        <f t="shared" si="3"/>
        <v>5</v>
      </c>
    </row>
    <row r="220" spans="1:23">
      <c r="A220" s="3" t="s">
        <v>1093</v>
      </c>
      <c r="B220" s="4" t="s">
        <v>255</v>
      </c>
      <c r="C220" s="4" t="s">
        <v>96</v>
      </c>
      <c r="D220" s="31" t="s">
        <v>548</v>
      </c>
      <c r="E220" s="4" t="s">
        <v>1094</v>
      </c>
      <c r="F220" s="4" t="str">
        <f>PROPER(TRIM(Sales_data!F220))</f>
        <v>Pooja Shah</v>
      </c>
      <c r="G220" s="4" t="s">
        <v>32</v>
      </c>
      <c r="H220" s="69" t="s">
        <v>1095</v>
      </c>
      <c r="I220" s="4" t="s">
        <v>48</v>
      </c>
      <c r="J220" s="4" t="str">
        <f>PROPER(Sales_data!J220)</f>
        <v>West</v>
      </c>
      <c r="K220" s="4" t="str">
        <f>PROPER(Sales_data!K220)</f>
        <v>Stationery</v>
      </c>
      <c r="L220" s="4" t="s">
        <v>101</v>
      </c>
      <c r="M220" s="66">
        <v>10</v>
      </c>
      <c r="N220" s="4">
        <v>3500</v>
      </c>
      <c r="O220" s="4">
        <v>5</v>
      </c>
      <c r="P220" s="4">
        <v>33250</v>
      </c>
      <c r="Q220" s="4">
        <v>3</v>
      </c>
      <c r="R220" s="67" t="s">
        <v>52</v>
      </c>
      <c r="S220" s="4" t="s">
        <v>119</v>
      </c>
      <c r="T220" s="4" t="s">
        <v>260</v>
      </c>
      <c r="U220" s="6" t="s">
        <v>1096</v>
      </c>
      <c r="V220" s="4" t="s">
        <v>42</v>
      </c>
      <c r="W220" s="4">
        <f t="shared" si="3"/>
        <v>3</v>
      </c>
    </row>
    <row r="221" spans="1:23">
      <c r="A221" s="7" t="s">
        <v>1097</v>
      </c>
      <c r="B221" s="8" t="s">
        <v>57</v>
      </c>
      <c r="C221" s="8" t="s">
        <v>44</v>
      </c>
      <c r="D221" s="32" t="s">
        <v>1098</v>
      </c>
      <c r="E221" s="8" t="s">
        <v>592</v>
      </c>
      <c r="F221" s="4" t="str">
        <f>PROPER(TRIM(Sales_data!F221))</f>
        <v>Priya Patel</v>
      </c>
      <c r="G221" s="8" t="s">
        <v>32</v>
      </c>
      <c r="H221" s="70" t="s">
        <v>1099</v>
      </c>
      <c r="I221" s="8" t="s">
        <v>298</v>
      </c>
      <c r="J221" s="4" t="str">
        <f>PROPER(Sales_data!J221)</f>
        <v>East</v>
      </c>
      <c r="K221" s="4" t="str">
        <f>PROPER(Sales_data!K221)</f>
        <v>Home Appliances</v>
      </c>
      <c r="L221" s="8" t="s">
        <v>51</v>
      </c>
      <c r="M221" s="66">
        <v>1</v>
      </c>
      <c r="N221" s="8">
        <v>12000</v>
      </c>
      <c r="O221" s="8">
        <v>0</v>
      </c>
      <c r="P221" s="8">
        <v>12000</v>
      </c>
      <c r="Q221" s="8">
        <v>5</v>
      </c>
      <c r="R221" s="67" t="s">
        <v>92</v>
      </c>
      <c r="S221" s="8" t="s">
        <v>119</v>
      </c>
      <c r="T221" s="8" t="s">
        <v>66</v>
      </c>
      <c r="U221" s="9" t="s">
        <v>1100</v>
      </c>
      <c r="V221" s="8" t="s">
        <v>68</v>
      </c>
      <c r="W221" s="4">
        <f t="shared" si="3"/>
        <v>1</v>
      </c>
    </row>
    <row r="222" spans="1:23">
      <c r="A222" s="3" t="s">
        <v>1101</v>
      </c>
      <c r="B222" s="4" t="s">
        <v>331</v>
      </c>
      <c r="C222" s="4" t="s">
        <v>263</v>
      </c>
      <c r="D222" s="31" t="s">
        <v>1102</v>
      </c>
      <c r="E222" s="4" t="s">
        <v>605</v>
      </c>
      <c r="F222" s="4" t="str">
        <f>PROPER(TRIM(Sales_data!F222))</f>
        <v>Sneha Joshi</v>
      </c>
      <c r="G222" s="4" t="s">
        <v>80</v>
      </c>
      <c r="H222" s="69" t="s">
        <v>1103</v>
      </c>
      <c r="I222" s="4" t="s">
        <v>298</v>
      </c>
      <c r="J222" s="4" t="str">
        <f>PROPER(Sales_data!J222)</f>
        <v>North</v>
      </c>
      <c r="K222" s="4" t="str">
        <f>PROPER(Sales_data!K222)</f>
        <v>Home Appliances</v>
      </c>
      <c r="L222" s="4" t="s">
        <v>267</v>
      </c>
      <c r="M222" s="66">
        <v>19</v>
      </c>
      <c r="N222" s="4">
        <v>45</v>
      </c>
      <c r="O222" s="4">
        <v>15</v>
      </c>
      <c r="P222" s="4">
        <v>726.75</v>
      </c>
      <c r="Q222" s="4">
        <v>2</v>
      </c>
      <c r="R222" s="67" t="s">
        <v>92</v>
      </c>
      <c r="S222" s="4" t="s">
        <v>155</v>
      </c>
      <c r="T222" s="4" t="s">
        <v>336</v>
      </c>
      <c r="U222" s="6" t="s">
        <v>1104</v>
      </c>
      <c r="V222" s="4" t="s">
        <v>68</v>
      </c>
      <c r="W222" s="4">
        <f t="shared" si="3"/>
        <v>5</v>
      </c>
    </row>
    <row r="223" spans="1:23">
      <c r="A223" s="7" t="s">
        <v>1105</v>
      </c>
      <c r="B223" s="8" t="s">
        <v>27</v>
      </c>
      <c r="C223" s="8" t="s">
        <v>58</v>
      </c>
      <c r="D223" s="32" t="s">
        <v>535</v>
      </c>
      <c r="E223" s="8" t="s">
        <v>1106</v>
      </c>
      <c r="F223" s="4" t="str">
        <f>PROPER(TRIM(Sales_data!F223))</f>
        <v>Pooja Shah</v>
      </c>
      <c r="G223" s="8" t="s">
        <v>32</v>
      </c>
      <c r="H223" s="70" t="s">
        <v>1107</v>
      </c>
      <c r="I223" s="8" t="s">
        <v>48</v>
      </c>
      <c r="J223" s="4" t="str">
        <f>PROPER(Sales_data!J223)</f>
        <v>East</v>
      </c>
      <c r="K223" s="4" t="str">
        <f>PROPER(Sales_data!K223)</f>
        <v>Electronics</v>
      </c>
      <c r="L223" s="8" t="s">
        <v>64</v>
      </c>
      <c r="M223" s="66">
        <v>13</v>
      </c>
      <c r="N223" s="8">
        <v>55000</v>
      </c>
      <c r="O223" s="8">
        <v>5</v>
      </c>
      <c r="P223" s="8">
        <v>679250</v>
      </c>
      <c r="Q223" s="8">
        <v>4</v>
      </c>
      <c r="R223" s="67" t="s">
        <v>83</v>
      </c>
      <c r="S223" s="8" t="s">
        <v>53</v>
      </c>
      <c r="T223" s="8" t="s">
        <v>54</v>
      </c>
      <c r="U223" s="9" t="s">
        <v>1108</v>
      </c>
      <c r="V223" s="8" t="s">
        <v>73</v>
      </c>
      <c r="W223" s="4">
        <f t="shared" si="3"/>
        <v>10</v>
      </c>
    </row>
    <row r="224" spans="1:23">
      <c r="A224" s="3" t="s">
        <v>1109</v>
      </c>
      <c r="B224" s="4" t="s">
        <v>87</v>
      </c>
      <c r="C224" s="4" t="s">
        <v>263</v>
      </c>
      <c r="D224" s="31" t="s">
        <v>1110</v>
      </c>
      <c r="E224" s="4" t="s">
        <v>159</v>
      </c>
      <c r="F224" s="4" t="str">
        <f>PROPER(TRIM(Sales_data!F224))</f>
        <v>Amit Sharma</v>
      </c>
      <c r="G224" s="4" t="s">
        <v>80</v>
      </c>
      <c r="H224" s="69" t="s">
        <v>1111</v>
      </c>
      <c r="I224" s="4" t="s">
        <v>109</v>
      </c>
      <c r="J224" s="4" t="str">
        <f>PROPER(Sales_data!J224)</f>
        <v>East</v>
      </c>
      <c r="K224" s="4" t="str">
        <f>PROPER(Sales_data!K224)</f>
        <v>Stationery</v>
      </c>
      <c r="L224" s="4" t="s">
        <v>267</v>
      </c>
      <c r="M224" s="66">
        <v>2</v>
      </c>
      <c r="N224" s="4">
        <v>45</v>
      </c>
      <c r="O224" s="4">
        <v>15</v>
      </c>
      <c r="P224" s="4">
        <v>76.5</v>
      </c>
      <c r="Q224" s="4">
        <v>1</v>
      </c>
      <c r="R224" s="67" t="s">
        <v>52</v>
      </c>
      <c r="S224" s="4" t="s">
        <v>119</v>
      </c>
      <c r="T224" s="4" t="s">
        <v>93</v>
      </c>
      <c r="U224" s="6" t="s">
        <v>1112</v>
      </c>
      <c r="V224" s="4" t="s">
        <v>42</v>
      </c>
      <c r="W224" s="4">
        <f t="shared" si="3"/>
        <v>7</v>
      </c>
    </row>
    <row r="225" spans="1:23">
      <c r="A225" s="7" t="s">
        <v>1113</v>
      </c>
      <c r="B225" s="8" t="s">
        <v>104</v>
      </c>
      <c r="C225" s="8" t="s">
        <v>226</v>
      </c>
      <c r="D225" s="32" t="s">
        <v>307</v>
      </c>
      <c r="E225" s="8" t="s">
        <v>1114</v>
      </c>
      <c r="F225" s="4" t="str">
        <f>PROPER(TRIM(Sales_data!F225))</f>
        <v>Kavya Nair</v>
      </c>
      <c r="G225" s="8" t="s">
        <v>32</v>
      </c>
      <c r="H225" s="70" t="s">
        <v>1115</v>
      </c>
      <c r="I225" s="8" t="s">
        <v>34</v>
      </c>
      <c r="J225" s="4" t="str">
        <f>PROPER(Sales_data!J225)</f>
        <v>North</v>
      </c>
      <c r="K225" s="4" t="str">
        <f>PROPER(Sales_data!K225)</f>
        <v>Electronics</v>
      </c>
      <c r="L225" s="8" t="s">
        <v>231</v>
      </c>
      <c r="M225" s="66">
        <v>8</v>
      </c>
      <c r="N225" s="8">
        <v>20</v>
      </c>
      <c r="O225" s="8">
        <v>15</v>
      </c>
      <c r="P225" s="8">
        <v>136</v>
      </c>
      <c r="Q225" s="8">
        <v>1</v>
      </c>
      <c r="R225" s="67" t="s">
        <v>83</v>
      </c>
      <c r="S225" s="8" t="s">
        <v>39</v>
      </c>
      <c r="T225" s="8" t="s">
        <v>148</v>
      </c>
      <c r="U225" s="9" t="s">
        <v>1116</v>
      </c>
      <c r="V225" s="8" t="s">
        <v>68</v>
      </c>
      <c r="W225" s="4">
        <f t="shared" si="3"/>
        <v>2</v>
      </c>
    </row>
    <row r="226" spans="1:23">
      <c r="A226" s="3" t="s">
        <v>1117</v>
      </c>
      <c r="B226" s="4" t="s">
        <v>172</v>
      </c>
      <c r="C226" s="4" t="s">
        <v>44</v>
      </c>
      <c r="D226" s="31" t="s">
        <v>1118</v>
      </c>
      <c r="E226" s="4" t="s">
        <v>1119</v>
      </c>
      <c r="F226" s="4" t="str">
        <f>PROPER(TRIM(Sales_data!F226))</f>
        <v>Arjun Rao</v>
      </c>
      <c r="G226" s="4" t="s">
        <v>32</v>
      </c>
      <c r="H226" s="69" t="s">
        <v>1120</v>
      </c>
      <c r="I226" s="4" t="s">
        <v>34</v>
      </c>
      <c r="J226" s="4" t="str">
        <f>PROPER(Sales_data!J226)</f>
        <v>West</v>
      </c>
      <c r="K226" s="4" t="str">
        <f>PROPER(Sales_data!K226)</f>
        <v>Stationery</v>
      </c>
      <c r="L226" s="4" t="s">
        <v>51</v>
      </c>
      <c r="M226" s="66">
        <v>9</v>
      </c>
      <c r="N226" s="4">
        <v>12000</v>
      </c>
      <c r="O226" s="4">
        <v>5</v>
      </c>
      <c r="P226" s="4">
        <v>102600</v>
      </c>
      <c r="Q226" s="4">
        <v>2</v>
      </c>
      <c r="R226" s="67" t="s">
        <v>83</v>
      </c>
      <c r="S226" s="4" t="s">
        <v>39</v>
      </c>
      <c r="T226" s="4" t="s">
        <v>179</v>
      </c>
      <c r="U226" s="6" t="s">
        <v>1121</v>
      </c>
      <c r="V226" s="4" t="s">
        <v>73</v>
      </c>
      <c r="W226" s="4">
        <f t="shared" si="3"/>
        <v>4</v>
      </c>
    </row>
    <row r="227" spans="1:23">
      <c r="A227" s="7" t="s">
        <v>1122</v>
      </c>
      <c r="B227" s="8" t="s">
        <v>75</v>
      </c>
      <c r="C227" s="8" t="s">
        <v>96</v>
      </c>
      <c r="D227" s="32" t="s">
        <v>1123</v>
      </c>
      <c r="E227" s="8" t="s">
        <v>1124</v>
      </c>
      <c r="F227" s="4" t="str">
        <f>PROPER(TRIM(Sales_data!F227))</f>
        <v>Priya Patel</v>
      </c>
      <c r="G227" s="8" t="s">
        <v>80</v>
      </c>
      <c r="H227" s="70" t="s">
        <v>1125</v>
      </c>
      <c r="I227" s="8" t="s">
        <v>298</v>
      </c>
      <c r="J227" s="4" t="str">
        <f>PROPER(Sales_data!J227)</f>
        <v>South</v>
      </c>
      <c r="K227" s="4" t="str">
        <f>PROPER(Sales_data!K227)</f>
        <v>Stationery</v>
      </c>
      <c r="L227" s="8" t="s">
        <v>101</v>
      </c>
      <c r="M227" s="66">
        <v>3</v>
      </c>
      <c r="N227" s="8">
        <v>3500</v>
      </c>
      <c r="O227" s="8">
        <v>15</v>
      </c>
      <c r="P227" s="8">
        <v>8925</v>
      </c>
      <c r="Q227" s="8">
        <v>1</v>
      </c>
      <c r="R227" s="67" t="s">
        <v>38</v>
      </c>
      <c r="S227" s="8" t="s">
        <v>53</v>
      </c>
      <c r="T227" s="8" t="s">
        <v>84</v>
      </c>
      <c r="U227" s="9" t="s">
        <v>1126</v>
      </c>
      <c r="V227" s="8" t="s">
        <v>73</v>
      </c>
      <c r="W227" s="4">
        <f t="shared" si="3"/>
        <v>6</v>
      </c>
    </row>
    <row r="228" spans="1:23">
      <c r="A228" s="3" t="s">
        <v>1127</v>
      </c>
      <c r="B228" s="4" t="s">
        <v>104</v>
      </c>
      <c r="C228" s="4" t="s">
        <v>188</v>
      </c>
      <c r="D228" s="31" t="s">
        <v>1090</v>
      </c>
      <c r="E228" s="4" t="s">
        <v>1128</v>
      </c>
      <c r="F228" s="4" t="str">
        <f>PROPER(TRIM(Sales_data!F228))</f>
        <v>Anita Gupta</v>
      </c>
      <c r="G228" s="4" t="s">
        <v>32</v>
      </c>
      <c r="H228" s="69" t="s">
        <v>1129</v>
      </c>
      <c r="I228" s="4" t="s">
        <v>34</v>
      </c>
      <c r="J228" s="4" t="str">
        <f>PROPER(Sales_data!J228)</f>
        <v>South</v>
      </c>
      <c r="K228" s="4" t="str">
        <f>PROPER(Sales_data!K228)</f>
        <v>Electronics</v>
      </c>
      <c r="L228" s="4" t="s">
        <v>193</v>
      </c>
      <c r="M228" s="66">
        <v>18</v>
      </c>
      <c r="N228" s="4">
        <v>700</v>
      </c>
      <c r="O228" s="4">
        <v>20</v>
      </c>
      <c r="P228" s="4">
        <v>10080</v>
      </c>
      <c r="Q228" s="4">
        <v>1</v>
      </c>
      <c r="R228" s="67" t="s">
        <v>83</v>
      </c>
      <c r="S228" s="4" t="s">
        <v>155</v>
      </c>
      <c r="T228" s="4" t="s">
        <v>148</v>
      </c>
      <c r="U228" s="6" t="s">
        <v>1130</v>
      </c>
      <c r="V228" s="4" t="s">
        <v>42</v>
      </c>
      <c r="W228" s="4">
        <f t="shared" si="3"/>
        <v>5</v>
      </c>
    </row>
    <row r="229" spans="1:23">
      <c r="A229" s="7" t="s">
        <v>1131</v>
      </c>
      <c r="B229" s="8" t="s">
        <v>75</v>
      </c>
      <c r="C229" s="8" t="s">
        <v>96</v>
      </c>
      <c r="D229" s="32" t="s">
        <v>1132</v>
      </c>
      <c r="E229" s="8" t="s">
        <v>114</v>
      </c>
      <c r="F229" s="4" t="str">
        <f>PROPER(TRIM(Sales_data!F229))</f>
        <v>Mohit Verma</v>
      </c>
      <c r="G229" s="8" t="s">
        <v>80</v>
      </c>
      <c r="H229" s="70" t="s">
        <v>1133</v>
      </c>
      <c r="I229" s="8" t="s">
        <v>118</v>
      </c>
      <c r="J229" s="4" t="str">
        <f>PROPER(Sales_data!J229)</f>
        <v>East</v>
      </c>
      <c r="K229" s="4" t="str">
        <f>PROPER(Sales_data!K229)</f>
        <v>Home Appliances</v>
      </c>
      <c r="L229" s="8" t="s">
        <v>101</v>
      </c>
      <c r="M229" s="66">
        <v>14</v>
      </c>
      <c r="N229" s="8">
        <v>3500</v>
      </c>
      <c r="O229" s="8">
        <v>5</v>
      </c>
      <c r="P229" s="8">
        <v>46550</v>
      </c>
      <c r="Q229" s="8">
        <v>1</v>
      </c>
      <c r="R229" s="67" t="s">
        <v>38</v>
      </c>
      <c r="S229" s="8" t="s">
        <v>65</v>
      </c>
      <c r="T229" s="8" t="s">
        <v>84</v>
      </c>
      <c r="U229" s="9" t="s">
        <v>1134</v>
      </c>
      <c r="V229" s="8" t="s">
        <v>42</v>
      </c>
      <c r="W229" s="4">
        <f t="shared" si="3"/>
        <v>1</v>
      </c>
    </row>
    <row r="230" spans="1:23">
      <c r="A230" s="3" t="s">
        <v>1135</v>
      </c>
      <c r="B230" s="4" t="s">
        <v>104</v>
      </c>
      <c r="C230" s="4" t="s">
        <v>188</v>
      </c>
      <c r="D230" s="31" t="s">
        <v>688</v>
      </c>
      <c r="E230" s="4" t="s">
        <v>322</v>
      </c>
      <c r="F230" s="4" t="str">
        <f>PROPER(TRIM(Sales_data!F230))</f>
        <v>Priya Patel</v>
      </c>
      <c r="G230" s="4" t="s">
        <v>32</v>
      </c>
      <c r="H230" s="69" t="s">
        <v>1136</v>
      </c>
      <c r="I230" s="4" t="s">
        <v>298</v>
      </c>
      <c r="J230" s="4" t="str">
        <f>PROPER(Sales_data!J230)</f>
        <v>South</v>
      </c>
      <c r="K230" s="4" t="str">
        <f>PROPER(Sales_data!K230)</f>
        <v>Electronics</v>
      </c>
      <c r="L230" s="4" t="s">
        <v>193</v>
      </c>
      <c r="M230" s="66">
        <v>6</v>
      </c>
      <c r="N230" s="4">
        <v>700</v>
      </c>
      <c r="O230" s="4">
        <v>5</v>
      </c>
      <c r="P230" s="4">
        <v>3990</v>
      </c>
      <c r="Q230" s="4">
        <v>5</v>
      </c>
      <c r="R230" s="67" t="s">
        <v>38</v>
      </c>
      <c r="S230" s="4" t="s">
        <v>39</v>
      </c>
      <c r="T230" s="4" t="s">
        <v>148</v>
      </c>
      <c r="U230" s="6" t="s">
        <v>1137</v>
      </c>
      <c r="V230" s="4" t="s">
        <v>42</v>
      </c>
      <c r="W230" s="4">
        <f t="shared" si="3"/>
        <v>6</v>
      </c>
    </row>
    <row r="231" spans="1:23">
      <c r="A231" s="7" t="s">
        <v>1138</v>
      </c>
      <c r="B231" s="8" t="s">
        <v>104</v>
      </c>
      <c r="C231" s="8" t="s">
        <v>96</v>
      </c>
      <c r="D231" s="32" t="s">
        <v>683</v>
      </c>
      <c r="E231" s="8" t="s">
        <v>876</v>
      </c>
      <c r="F231" s="4" t="str">
        <f>PROPER(TRIM(Sales_data!F231))</f>
        <v>Mohit Verma</v>
      </c>
      <c r="G231" s="8" t="s">
        <v>32</v>
      </c>
      <c r="H231" s="70" t="s">
        <v>1139</v>
      </c>
      <c r="I231" s="8" t="s">
        <v>109</v>
      </c>
      <c r="J231" s="4" t="str">
        <f>PROPER(Sales_data!J231)</f>
        <v>West</v>
      </c>
      <c r="K231" s="4" t="str">
        <f>PROPER(Sales_data!K231)</f>
        <v>Home Appliances</v>
      </c>
      <c r="L231" s="8" t="s">
        <v>101</v>
      </c>
      <c r="M231" s="66">
        <v>17</v>
      </c>
      <c r="N231" s="8">
        <v>3500</v>
      </c>
      <c r="O231" s="8">
        <v>15</v>
      </c>
      <c r="P231" s="8">
        <v>50575</v>
      </c>
      <c r="Q231" s="8">
        <v>3</v>
      </c>
      <c r="R231" s="67" t="s">
        <v>52</v>
      </c>
      <c r="S231" s="8" t="s">
        <v>53</v>
      </c>
      <c r="T231" s="8" t="s">
        <v>148</v>
      </c>
      <c r="U231" s="9" t="s">
        <v>1140</v>
      </c>
      <c r="V231" s="8" t="s">
        <v>68</v>
      </c>
      <c r="W231" s="4">
        <f t="shared" si="3"/>
        <v>6</v>
      </c>
    </row>
    <row r="232" spans="1:23">
      <c r="A232" s="3" t="s">
        <v>1141</v>
      </c>
      <c r="B232" s="4" t="s">
        <v>255</v>
      </c>
      <c r="C232" s="4" t="s">
        <v>226</v>
      </c>
      <c r="D232" s="31" t="s">
        <v>257</v>
      </c>
      <c r="E232" s="4" t="s">
        <v>1132</v>
      </c>
      <c r="F232" s="4" t="str">
        <f>PROPER(TRIM(Sales_data!F232))</f>
        <v>Priya Patel</v>
      </c>
      <c r="G232" s="4" t="s">
        <v>32</v>
      </c>
      <c r="H232" s="69" t="s">
        <v>1142</v>
      </c>
      <c r="I232" s="4" t="s">
        <v>298</v>
      </c>
      <c r="J232" s="4" t="str">
        <f>PROPER(Sales_data!J232)</f>
        <v>East</v>
      </c>
      <c r="K232" s="4" t="str">
        <f>PROPER(Sales_data!K232)</f>
        <v>Electronics</v>
      </c>
      <c r="L232" s="4" t="s">
        <v>231</v>
      </c>
      <c r="M232" s="66">
        <v>7</v>
      </c>
      <c r="N232" s="4">
        <v>20</v>
      </c>
      <c r="O232" s="4">
        <v>5</v>
      </c>
      <c r="P232" s="4">
        <v>133</v>
      </c>
      <c r="Q232" s="4">
        <v>2</v>
      </c>
      <c r="R232" s="67" t="s">
        <v>92</v>
      </c>
      <c r="S232" s="4" t="s">
        <v>155</v>
      </c>
      <c r="T232" s="4" t="s">
        <v>260</v>
      </c>
      <c r="U232" s="6" t="s">
        <v>1143</v>
      </c>
      <c r="V232" s="4" t="s">
        <v>42</v>
      </c>
      <c r="W232" s="4">
        <f t="shared" si="3"/>
        <v>1</v>
      </c>
    </row>
    <row r="233" spans="1:23">
      <c r="A233" s="7" t="s">
        <v>1144</v>
      </c>
      <c r="B233" s="8" t="s">
        <v>27</v>
      </c>
      <c r="C233" s="8" t="s">
        <v>28</v>
      </c>
      <c r="D233" s="32" t="s">
        <v>1145</v>
      </c>
      <c r="E233" s="8" t="s">
        <v>1146</v>
      </c>
      <c r="F233" s="4" t="str">
        <f>PROPER(TRIM(Sales_data!F233))</f>
        <v>Priya Patel</v>
      </c>
      <c r="G233" s="8" t="s">
        <v>32</v>
      </c>
      <c r="H233" s="70" t="s">
        <v>1147</v>
      </c>
      <c r="I233" s="8" t="s">
        <v>63</v>
      </c>
      <c r="J233" s="4" t="str">
        <f>PROPER(Sales_data!J233)</f>
        <v>West</v>
      </c>
      <c r="K233" s="4" t="str">
        <f>PROPER(Sales_data!K233)</f>
        <v>Home Appliances</v>
      </c>
      <c r="L233" s="8" t="s">
        <v>37</v>
      </c>
      <c r="M233" s="66">
        <v>15</v>
      </c>
      <c r="N233" s="8">
        <v>2200</v>
      </c>
      <c r="O233" s="8">
        <v>20</v>
      </c>
      <c r="P233" s="8">
        <v>26400</v>
      </c>
      <c r="Q233" s="8">
        <v>2</v>
      </c>
      <c r="R233" s="67" t="s">
        <v>38</v>
      </c>
      <c r="S233" s="8" t="s">
        <v>65</v>
      </c>
      <c r="T233" s="8" t="s">
        <v>54</v>
      </c>
      <c r="U233" s="9" t="s">
        <v>1148</v>
      </c>
      <c r="V233" s="8" t="s">
        <v>42</v>
      </c>
      <c r="W233" s="4">
        <f t="shared" si="3"/>
        <v>2</v>
      </c>
    </row>
    <row r="234" spans="1:23">
      <c r="A234" s="3" t="s">
        <v>1149</v>
      </c>
      <c r="B234" s="4" t="s">
        <v>75</v>
      </c>
      <c r="C234" s="4" t="s">
        <v>226</v>
      </c>
      <c r="D234" s="31" t="s">
        <v>740</v>
      </c>
      <c r="E234" s="4" t="s">
        <v>98</v>
      </c>
      <c r="F234" s="4" t="str">
        <f>PROPER(TRIM(Sales_data!F234))</f>
        <v>Sneha Joshi</v>
      </c>
      <c r="G234" s="4" t="s">
        <v>80</v>
      </c>
      <c r="H234" s="69" t="s">
        <v>1150</v>
      </c>
      <c r="I234" s="4" t="s">
        <v>109</v>
      </c>
      <c r="J234" s="4" t="str">
        <f>PROPER(Sales_data!J234)</f>
        <v>East</v>
      </c>
      <c r="K234" s="4" t="str">
        <f>PROPER(Sales_data!K234)</f>
        <v>Stationery</v>
      </c>
      <c r="L234" s="4" t="s">
        <v>231</v>
      </c>
      <c r="M234" s="66">
        <v>5</v>
      </c>
      <c r="N234" s="4">
        <v>20</v>
      </c>
      <c r="O234" s="4">
        <v>0</v>
      </c>
      <c r="P234" s="4">
        <v>100</v>
      </c>
      <c r="Q234" s="4">
        <v>3</v>
      </c>
      <c r="R234" s="67" t="s">
        <v>38</v>
      </c>
      <c r="S234" s="4" t="s">
        <v>155</v>
      </c>
      <c r="T234" s="4" t="s">
        <v>84</v>
      </c>
      <c r="U234" s="6" t="s">
        <v>1151</v>
      </c>
      <c r="V234" s="4" t="s">
        <v>42</v>
      </c>
      <c r="W234" s="4">
        <f t="shared" si="3"/>
        <v>2</v>
      </c>
    </row>
    <row r="235" spans="1:23">
      <c r="A235" s="7" t="s">
        <v>1152</v>
      </c>
      <c r="B235" s="8" t="s">
        <v>131</v>
      </c>
      <c r="C235" s="8" t="s">
        <v>44</v>
      </c>
      <c r="D235" s="32" t="s">
        <v>1153</v>
      </c>
      <c r="E235" s="8" t="s">
        <v>783</v>
      </c>
      <c r="F235" s="4" t="str">
        <f>PROPER(TRIM(Sales_data!F235))</f>
        <v>Kavya Nair</v>
      </c>
      <c r="G235" s="8" t="s">
        <v>80</v>
      </c>
      <c r="H235" s="70" t="s">
        <v>1154</v>
      </c>
      <c r="I235" s="8" t="s">
        <v>48</v>
      </c>
      <c r="J235" s="4" t="str">
        <f>PROPER(Sales_data!J235)</f>
        <v>South</v>
      </c>
      <c r="K235" s="4" t="str">
        <f>PROPER(Sales_data!K235)</f>
        <v>Home Appliances</v>
      </c>
      <c r="L235" s="8" t="s">
        <v>51</v>
      </c>
      <c r="M235" s="66">
        <v>8</v>
      </c>
      <c r="N235" s="8">
        <v>12000</v>
      </c>
      <c r="O235" s="8">
        <v>20</v>
      </c>
      <c r="P235" s="8">
        <v>76800</v>
      </c>
      <c r="Q235" s="8">
        <v>3</v>
      </c>
      <c r="R235" s="67" t="s">
        <v>83</v>
      </c>
      <c r="S235" s="8" t="s">
        <v>65</v>
      </c>
      <c r="T235" s="8" t="s">
        <v>136</v>
      </c>
      <c r="U235" s="9" t="s">
        <v>1155</v>
      </c>
      <c r="V235" s="8" t="s">
        <v>68</v>
      </c>
      <c r="W235" s="4">
        <f t="shared" si="3"/>
        <v>7</v>
      </c>
    </row>
    <row r="236" spans="1:23">
      <c r="A236" s="3" t="s">
        <v>1156</v>
      </c>
      <c r="B236" s="4" t="s">
        <v>131</v>
      </c>
      <c r="C236" s="4" t="s">
        <v>96</v>
      </c>
      <c r="D236" s="31" t="s">
        <v>1157</v>
      </c>
      <c r="E236" s="4" t="s">
        <v>991</v>
      </c>
      <c r="F236" s="4" t="str">
        <f>PROPER(TRIM(Sales_data!F236))</f>
        <v>Mohit Verma</v>
      </c>
      <c r="G236" s="4" t="s">
        <v>80</v>
      </c>
      <c r="H236" s="69" t="s">
        <v>1158</v>
      </c>
      <c r="I236" s="4" t="s">
        <v>109</v>
      </c>
      <c r="J236" s="4" t="str">
        <f>PROPER(Sales_data!J236)</f>
        <v>West</v>
      </c>
      <c r="K236" s="4" t="str">
        <f>PROPER(Sales_data!K236)</f>
        <v>Stationery</v>
      </c>
      <c r="L236" s="4" t="s">
        <v>101</v>
      </c>
      <c r="M236" s="66">
        <v>4</v>
      </c>
      <c r="N236" s="4">
        <v>3500</v>
      </c>
      <c r="O236" s="4">
        <v>20</v>
      </c>
      <c r="P236" s="4">
        <v>11200</v>
      </c>
      <c r="Q236" s="4">
        <v>1</v>
      </c>
      <c r="R236" s="67" t="s">
        <v>83</v>
      </c>
      <c r="S236" s="4" t="s">
        <v>119</v>
      </c>
      <c r="T236" s="4" t="s">
        <v>136</v>
      </c>
      <c r="U236" s="6" t="s">
        <v>1159</v>
      </c>
      <c r="V236" s="4" t="s">
        <v>42</v>
      </c>
      <c r="W236" s="4">
        <f t="shared" si="3"/>
        <v>2</v>
      </c>
    </row>
    <row r="237" spans="1:23">
      <c r="A237" s="7" t="s">
        <v>1160</v>
      </c>
      <c r="B237" s="8" t="s">
        <v>225</v>
      </c>
      <c r="C237" s="8" t="s">
        <v>263</v>
      </c>
      <c r="D237" s="32" t="s">
        <v>632</v>
      </c>
      <c r="E237" s="8" t="s">
        <v>1161</v>
      </c>
      <c r="F237" s="4" t="str">
        <f>PROPER(TRIM(Sales_data!F237))</f>
        <v>Rohit Singh</v>
      </c>
      <c r="G237" s="8" t="s">
        <v>80</v>
      </c>
      <c r="H237" s="70" t="s">
        <v>1162</v>
      </c>
      <c r="I237" s="8" t="s">
        <v>34</v>
      </c>
      <c r="J237" s="4" t="str">
        <f>PROPER(Sales_data!J237)</f>
        <v>North</v>
      </c>
      <c r="K237" s="4" t="str">
        <f>PROPER(Sales_data!K237)</f>
        <v>Electronics</v>
      </c>
      <c r="L237" s="8" t="s">
        <v>267</v>
      </c>
      <c r="M237" s="66">
        <v>19</v>
      </c>
      <c r="N237" s="8">
        <v>45</v>
      </c>
      <c r="O237" s="8">
        <v>10</v>
      </c>
      <c r="P237" s="8">
        <v>769.5</v>
      </c>
      <c r="Q237" s="8">
        <v>1</v>
      </c>
      <c r="R237" s="67" t="s">
        <v>38</v>
      </c>
      <c r="S237" s="8" t="s">
        <v>119</v>
      </c>
      <c r="T237" s="8" t="s">
        <v>232</v>
      </c>
      <c r="U237" s="9" t="s">
        <v>1163</v>
      </c>
      <c r="V237" s="8" t="s">
        <v>42</v>
      </c>
      <c r="W237" s="4">
        <f t="shared" si="3"/>
        <v>2</v>
      </c>
    </row>
    <row r="238" spans="1:23">
      <c r="A238" s="3" t="s">
        <v>1164</v>
      </c>
      <c r="B238" s="4" t="s">
        <v>57</v>
      </c>
      <c r="C238" s="4" t="s">
        <v>263</v>
      </c>
      <c r="D238" s="31" t="s">
        <v>592</v>
      </c>
      <c r="E238" s="4" t="s">
        <v>1165</v>
      </c>
      <c r="F238" s="4" t="str">
        <f>PROPER(TRIM(Sales_data!F238))</f>
        <v>Rohit Singh</v>
      </c>
      <c r="G238" s="4" t="s">
        <v>32</v>
      </c>
      <c r="H238" s="69" t="s">
        <v>1166</v>
      </c>
      <c r="I238" s="4" t="s">
        <v>118</v>
      </c>
      <c r="J238" s="4" t="str">
        <f>PROPER(Sales_data!J238)</f>
        <v>West</v>
      </c>
      <c r="K238" s="4" t="str">
        <f>PROPER(Sales_data!K238)</f>
        <v>Home Appliances</v>
      </c>
      <c r="L238" s="4" t="s">
        <v>267</v>
      </c>
      <c r="M238" s="66">
        <v>10</v>
      </c>
      <c r="N238" s="4">
        <v>45</v>
      </c>
      <c r="O238" s="4">
        <v>0</v>
      </c>
      <c r="P238" s="4">
        <v>450</v>
      </c>
      <c r="Q238" s="4">
        <v>4</v>
      </c>
      <c r="R238" s="67" t="s">
        <v>92</v>
      </c>
      <c r="S238" s="4" t="s">
        <v>65</v>
      </c>
      <c r="T238" s="4" t="s">
        <v>66</v>
      </c>
      <c r="U238" s="6" t="s">
        <v>1167</v>
      </c>
      <c r="V238" s="4" t="s">
        <v>42</v>
      </c>
      <c r="W238" s="4">
        <f t="shared" si="3"/>
        <v>1</v>
      </c>
    </row>
    <row r="239" spans="1:23">
      <c r="A239" s="7" t="s">
        <v>1168</v>
      </c>
      <c r="B239" s="8" t="s">
        <v>57</v>
      </c>
      <c r="C239" s="8" t="s">
        <v>263</v>
      </c>
      <c r="D239" s="32" t="s">
        <v>1169</v>
      </c>
      <c r="E239" s="8" t="s">
        <v>1043</v>
      </c>
      <c r="F239" s="4" t="str">
        <f>PROPER(TRIM(Sales_data!F239))</f>
        <v>Vikas Mehta</v>
      </c>
      <c r="G239" s="8" t="s">
        <v>32</v>
      </c>
      <c r="H239" s="70" t="s">
        <v>1170</v>
      </c>
      <c r="I239" s="8" t="s">
        <v>34</v>
      </c>
      <c r="J239" s="4" t="str">
        <f>PROPER(Sales_data!J239)</f>
        <v>South</v>
      </c>
      <c r="K239" s="4" t="str">
        <f>PROPER(Sales_data!K239)</f>
        <v>Stationery</v>
      </c>
      <c r="L239" s="8" t="s">
        <v>267</v>
      </c>
      <c r="M239" s="66">
        <v>16</v>
      </c>
      <c r="N239" s="8">
        <v>45</v>
      </c>
      <c r="O239" s="8">
        <v>15</v>
      </c>
      <c r="P239" s="8">
        <v>612</v>
      </c>
      <c r="Q239" s="8">
        <v>3</v>
      </c>
      <c r="R239" s="67" t="s">
        <v>38</v>
      </c>
      <c r="S239" s="8" t="s">
        <v>119</v>
      </c>
      <c r="T239" s="8" t="s">
        <v>66</v>
      </c>
      <c r="U239" s="9" t="s">
        <v>1171</v>
      </c>
      <c r="V239" s="8" t="s">
        <v>73</v>
      </c>
      <c r="W239" s="4">
        <f t="shared" si="3"/>
        <v>1</v>
      </c>
    </row>
    <row r="240" spans="1:23">
      <c r="A240" s="3" t="s">
        <v>1172</v>
      </c>
      <c r="B240" s="4" t="s">
        <v>172</v>
      </c>
      <c r="C240" s="4" t="s">
        <v>173</v>
      </c>
      <c r="D240" s="31" t="s">
        <v>123</v>
      </c>
      <c r="E240" s="4" t="s">
        <v>124</v>
      </c>
      <c r="F240" s="4" t="str">
        <f>PROPER(TRIM(Sales_data!F240))</f>
        <v>Pooja Shah</v>
      </c>
      <c r="G240" s="4" t="s">
        <v>32</v>
      </c>
      <c r="H240" s="69" t="s">
        <v>1173</v>
      </c>
      <c r="I240" s="4" t="s">
        <v>118</v>
      </c>
      <c r="J240" s="4" t="str">
        <f>PROPER(Sales_data!J240)</f>
        <v>West</v>
      </c>
      <c r="K240" s="4" t="str">
        <f>PROPER(Sales_data!K240)</f>
        <v>Stationery</v>
      </c>
      <c r="L240" s="4" t="s">
        <v>178</v>
      </c>
      <c r="M240" s="66">
        <v>16</v>
      </c>
      <c r="N240" s="4">
        <v>8500</v>
      </c>
      <c r="O240" s="4">
        <v>15</v>
      </c>
      <c r="P240" s="4">
        <v>115600</v>
      </c>
      <c r="Q240" s="4">
        <v>4</v>
      </c>
      <c r="R240" s="67" t="s">
        <v>52</v>
      </c>
      <c r="S240" s="4" t="s">
        <v>39</v>
      </c>
      <c r="T240" s="4" t="s">
        <v>179</v>
      </c>
      <c r="U240" s="6" t="s">
        <v>1174</v>
      </c>
      <c r="V240" s="4" t="s">
        <v>73</v>
      </c>
      <c r="W240" s="4">
        <f t="shared" si="3"/>
        <v>3</v>
      </c>
    </row>
    <row r="241" spans="1:23">
      <c r="A241" s="7" t="s">
        <v>1175</v>
      </c>
      <c r="B241" s="8" t="s">
        <v>172</v>
      </c>
      <c r="C241" s="8" t="s">
        <v>226</v>
      </c>
      <c r="D241" s="32" t="s">
        <v>449</v>
      </c>
      <c r="E241" s="8" t="s">
        <v>1176</v>
      </c>
      <c r="F241" s="4" t="str">
        <f>PROPER(TRIM(Sales_data!F241))</f>
        <v>Pooja Shah</v>
      </c>
      <c r="G241" s="8" t="s">
        <v>32</v>
      </c>
      <c r="H241" s="70" t="s">
        <v>1177</v>
      </c>
      <c r="I241" s="8" t="s">
        <v>298</v>
      </c>
      <c r="J241" s="4" t="str">
        <f>PROPER(Sales_data!J241)</f>
        <v>South</v>
      </c>
      <c r="K241" s="4" t="str">
        <f>PROPER(Sales_data!K241)</f>
        <v>Stationery</v>
      </c>
      <c r="L241" s="8" t="s">
        <v>231</v>
      </c>
      <c r="M241" s="66">
        <v>15</v>
      </c>
      <c r="N241" s="8">
        <v>20</v>
      </c>
      <c r="O241" s="8">
        <v>20</v>
      </c>
      <c r="P241" s="8">
        <v>240</v>
      </c>
      <c r="Q241" s="8">
        <v>3</v>
      </c>
      <c r="R241" s="67" t="s">
        <v>52</v>
      </c>
      <c r="S241" s="8" t="s">
        <v>53</v>
      </c>
      <c r="T241" s="8" t="s">
        <v>179</v>
      </c>
      <c r="U241" s="9" t="s">
        <v>1178</v>
      </c>
      <c r="V241" s="8" t="s">
        <v>73</v>
      </c>
      <c r="W241" s="4">
        <f t="shared" si="3"/>
        <v>9</v>
      </c>
    </row>
    <row r="242" spans="1:23">
      <c r="A242" s="3" t="s">
        <v>1179</v>
      </c>
      <c r="B242" s="4" t="s">
        <v>87</v>
      </c>
      <c r="C242" s="4" t="s">
        <v>122</v>
      </c>
      <c r="D242" s="31" t="s">
        <v>444</v>
      </c>
      <c r="E242" s="4" t="s">
        <v>1180</v>
      </c>
      <c r="F242" s="4" t="str">
        <f>PROPER(TRIM(Sales_data!F242))</f>
        <v>Anita Gupta</v>
      </c>
      <c r="G242" s="4" t="s">
        <v>80</v>
      </c>
      <c r="H242" s="69" t="s">
        <v>1181</v>
      </c>
      <c r="I242" s="4" t="s">
        <v>63</v>
      </c>
      <c r="J242" s="4" t="str">
        <f>PROPER(Sales_data!J242)</f>
        <v>West</v>
      </c>
      <c r="K242" s="4" t="str">
        <f>PROPER(Sales_data!K242)</f>
        <v>Home Appliances</v>
      </c>
      <c r="L242" s="4" t="s">
        <v>127</v>
      </c>
      <c r="M242" s="66">
        <v>14</v>
      </c>
      <c r="N242" s="4">
        <v>60</v>
      </c>
      <c r="O242" s="4">
        <v>5</v>
      </c>
      <c r="P242" s="4">
        <v>798</v>
      </c>
      <c r="Q242" s="4">
        <v>4</v>
      </c>
      <c r="R242" s="67" t="s">
        <v>38</v>
      </c>
      <c r="S242" s="4" t="s">
        <v>53</v>
      </c>
      <c r="T242" s="4" t="s">
        <v>93</v>
      </c>
      <c r="U242" s="6" t="s">
        <v>1182</v>
      </c>
      <c r="V242" s="4" t="s">
        <v>42</v>
      </c>
      <c r="W242" s="4">
        <f t="shared" si="3"/>
        <v>1</v>
      </c>
    </row>
    <row r="243" spans="1:23">
      <c r="A243" s="7" t="s">
        <v>1183</v>
      </c>
      <c r="B243" s="8" t="s">
        <v>57</v>
      </c>
      <c r="C243" s="8" t="s">
        <v>76</v>
      </c>
      <c r="D243" s="32" t="s">
        <v>1184</v>
      </c>
      <c r="E243" s="8" t="s">
        <v>1185</v>
      </c>
      <c r="F243" s="4" t="str">
        <f>PROPER(TRIM(Sales_data!F243))</f>
        <v>Anita Gupta</v>
      </c>
      <c r="G243" s="8" t="s">
        <v>32</v>
      </c>
      <c r="H243" s="70" t="s">
        <v>1186</v>
      </c>
      <c r="I243" s="8" t="s">
        <v>109</v>
      </c>
      <c r="J243" s="4" t="str">
        <f>PROPER(Sales_data!J243)</f>
        <v>East</v>
      </c>
      <c r="K243" s="4" t="str">
        <f>PROPER(Sales_data!K243)</f>
        <v>Stationery</v>
      </c>
      <c r="L243" s="8" t="s">
        <v>82</v>
      </c>
      <c r="M243" s="66">
        <v>19</v>
      </c>
      <c r="N243" s="8">
        <v>1200</v>
      </c>
      <c r="O243" s="8">
        <v>20</v>
      </c>
      <c r="P243" s="8">
        <v>18240</v>
      </c>
      <c r="Q243" s="8">
        <v>2</v>
      </c>
      <c r="R243" s="67" t="s">
        <v>38</v>
      </c>
      <c r="S243" s="8" t="s">
        <v>119</v>
      </c>
      <c r="T243" s="8" t="s">
        <v>66</v>
      </c>
      <c r="U243" s="9" t="s">
        <v>1187</v>
      </c>
      <c r="V243" s="8" t="s">
        <v>73</v>
      </c>
      <c r="W243" s="4">
        <f t="shared" si="3"/>
        <v>5</v>
      </c>
    </row>
    <row r="244" spans="1:23">
      <c r="A244" s="3" t="s">
        <v>1188</v>
      </c>
      <c r="B244" s="4" t="s">
        <v>27</v>
      </c>
      <c r="C244" s="4" t="s">
        <v>263</v>
      </c>
      <c r="D244" s="31" t="s">
        <v>344</v>
      </c>
      <c r="E244" s="4" t="s">
        <v>350</v>
      </c>
      <c r="F244" s="4" t="str">
        <f>PROPER(TRIM(Sales_data!F244))</f>
        <v>Arjun Rao</v>
      </c>
      <c r="G244" s="4" t="s">
        <v>32</v>
      </c>
      <c r="H244" s="69" t="s">
        <v>1189</v>
      </c>
      <c r="I244" s="4" t="s">
        <v>63</v>
      </c>
      <c r="J244" s="4" t="str">
        <f>PROPER(Sales_data!J244)</f>
        <v>South</v>
      </c>
      <c r="K244" s="4" t="str">
        <f>PROPER(Sales_data!K244)</f>
        <v>Stationery</v>
      </c>
      <c r="L244" s="4" t="s">
        <v>267</v>
      </c>
      <c r="M244" s="66">
        <v>5</v>
      </c>
      <c r="N244" s="4">
        <v>45</v>
      </c>
      <c r="O244" s="4">
        <v>15</v>
      </c>
      <c r="P244" s="4">
        <v>191.25</v>
      </c>
      <c r="Q244" s="4">
        <v>2</v>
      </c>
      <c r="R244" s="67" t="s">
        <v>38</v>
      </c>
      <c r="S244" s="4" t="s">
        <v>65</v>
      </c>
      <c r="T244" s="4" t="s">
        <v>54</v>
      </c>
      <c r="U244" s="6" t="s">
        <v>1190</v>
      </c>
      <c r="V244" s="4" t="s">
        <v>73</v>
      </c>
      <c r="W244" s="4">
        <f t="shared" si="3"/>
        <v>10</v>
      </c>
    </row>
    <row r="245" spans="1:23">
      <c r="A245" s="7" t="s">
        <v>1191</v>
      </c>
      <c r="B245" s="8" t="s">
        <v>331</v>
      </c>
      <c r="C245" s="8" t="s">
        <v>188</v>
      </c>
      <c r="D245" s="32" t="s">
        <v>241</v>
      </c>
      <c r="E245" s="8" t="s">
        <v>1192</v>
      </c>
      <c r="F245" s="4" t="str">
        <f>PROPER(TRIM(Sales_data!F245))</f>
        <v>Pooja Shah</v>
      </c>
      <c r="G245" s="8" t="s">
        <v>80</v>
      </c>
      <c r="H245" s="70" t="s">
        <v>1193</v>
      </c>
      <c r="I245" s="8" t="s">
        <v>34</v>
      </c>
      <c r="J245" s="4" t="str">
        <f>PROPER(Sales_data!J245)</f>
        <v>West</v>
      </c>
      <c r="K245" s="4" t="str">
        <f>PROPER(Sales_data!K245)</f>
        <v>Electronics</v>
      </c>
      <c r="L245" s="8" t="s">
        <v>193</v>
      </c>
      <c r="M245" s="66">
        <v>19</v>
      </c>
      <c r="N245" s="8">
        <v>700</v>
      </c>
      <c r="O245" s="8">
        <v>5</v>
      </c>
      <c r="P245" s="8">
        <v>12635</v>
      </c>
      <c r="Q245" s="8">
        <v>5</v>
      </c>
      <c r="R245" s="67" t="s">
        <v>92</v>
      </c>
      <c r="S245" s="8" t="s">
        <v>155</v>
      </c>
      <c r="T245" s="8" t="s">
        <v>336</v>
      </c>
      <c r="U245" s="9" t="s">
        <v>1194</v>
      </c>
      <c r="V245" s="8" t="s">
        <v>42</v>
      </c>
      <c r="W245" s="4">
        <f t="shared" si="3"/>
        <v>5</v>
      </c>
    </row>
    <row r="246" spans="1:23">
      <c r="A246" s="3" t="s">
        <v>1195</v>
      </c>
      <c r="B246" s="4" t="s">
        <v>131</v>
      </c>
      <c r="C246" s="4" t="s">
        <v>122</v>
      </c>
      <c r="D246" s="31" t="s">
        <v>468</v>
      </c>
      <c r="E246" s="4" t="s">
        <v>88</v>
      </c>
      <c r="F246" s="4" t="str">
        <f>PROPER(TRIM(Sales_data!F246))</f>
        <v>Kavya Nair</v>
      </c>
      <c r="G246" s="4" t="s">
        <v>80</v>
      </c>
      <c r="H246" s="69" t="s">
        <v>1196</v>
      </c>
      <c r="I246" s="4" t="s">
        <v>298</v>
      </c>
      <c r="J246" s="4" t="str">
        <f>PROPER(Sales_data!J246)</f>
        <v>South</v>
      </c>
      <c r="K246" s="4" t="str">
        <f>PROPER(Sales_data!K246)</f>
        <v>Stationery</v>
      </c>
      <c r="L246" s="4" t="s">
        <v>127</v>
      </c>
      <c r="M246" s="66">
        <v>7</v>
      </c>
      <c r="N246" s="4">
        <v>60</v>
      </c>
      <c r="O246" s="4">
        <v>0</v>
      </c>
      <c r="P246" s="4">
        <v>420</v>
      </c>
      <c r="Q246" s="4">
        <v>4</v>
      </c>
      <c r="R246" s="67" t="s">
        <v>38</v>
      </c>
      <c r="S246" s="4" t="s">
        <v>119</v>
      </c>
      <c r="T246" s="4" t="s">
        <v>136</v>
      </c>
      <c r="U246" s="6" t="s">
        <v>1197</v>
      </c>
      <c r="V246" s="4" t="s">
        <v>68</v>
      </c>
      <c r="W246" s="4">
        <f t="shared" si="3"/>
        <v>1</v>
      </c>
    </row>
    <row r="247" spans="1:23">
      <c r="A247" s="7" t="s">
        <v>1198</v>
      </c>
      <c r="B247" s="8" t="s">
        <v>75</v>
      </c>
      <c r="C247" s="8" t="s">
        <v>28</v>
      </c>
      <c r="D247" s="32" t="s">
        <v>219</v>
      </c>
      <c r="E247" s="8" t="s">
        <v>715</v>
      </c>
      <c r="F247" s="4" t="str">
        <f>PROPER(TRIM(Sales_data!F247))</f>
        <v>Amit Sharma</v>
      </c>
      <c r="G247" s="8" t="s">
        <v>80</v>
      </c>
      <c r="H247" s="70" t="s">
        <v>1199</v>
      </c>
      <c r="I247" s="8" t="s">
        <v>109</v>
      </c>
      <c r="J247" s="4" t="str">
        <f>PROPER(Sales_data!J247)</f>
        <v>South</v>
      </c>
      <c r="K247" s="4" t="str">
        <f>PROPER(Sales_data!K247)</f>
        <v>Electronics</v>
      </c>
      <c r="L247" s="8" t="s">
        <v>37</v>
      </c>
      <c r="M247" s="66">
        <v>13</v>
      </c>
      <c r="N247" s="8">
        <v>2200</v>
      </c>
      <c r="O247" s="8">
        <v>10</v>
      </c>
      <c r="P247" s="8">
        <v>25740</v>
      </c>
      <c r="Q247" s="8">
        <v>1</v>
      </c>
      <c r="R247" s="67" t="s">
        <v>83</v>
      </c>
      <c r="S247" s="8" t="s">
        <v>155</v>
      </c>
      <c r="T247" s="8" t="s">
        <v>84</v>
      </c>
      <c r="U247" s="9" t="s">
        <v>1200</v>
      </c>
      <c r="V247" s="8" t="s">
        <v>42</v>
      </c>
      <c r="W247" s="4">
        <f t="shared" si="3"/>
        <v>12</v>
      </c>
    </row>
    <row r="248" spans="1:23">
      <c r="A248" s="3" t="s">
        <v>1201</v>
      </c>
      <c r="B248" s="4" t="s">
        <v>75</v>
      </c>
      <c r="C248" s="4" t="s">
        <v>28</v>
      </c>
      <c r="D248" s="31" t="s">
        <v>1202</v>
      </c>
      <c r="E248" s="4" t="s">
        <v>1203</v>
      </c>
      <c r="F248" s="4" t="str">
        <f>PROPER(TRIM(Sales_data!F248))</f>
        <v>Rohit Singh</v>
      </c>
      <c r="G248" s="4" t="s">
        <v>80</v>
      </c>
      <c r="H248" s="69" t="s">
        <v>1204</v>
      </c>
      <c r="I248" s="4" t="s">
        <v>63</v>
      </c>
      <c r="J248" s="4" t="str">
        <f>PROPER(Sales_data!J248)</f>
        <v>East</v>
      </c>
      <c r="K248" s="4" t="str">
        <f>PROPER(Sales_data!K248)</f>
        <v>Stationery</v>
      </c>
      <c r="L248" s="4" t="s">
        <v>37</v>
      </c>
      <c r="M248" s="66">
        <v>9</v>
      </c>
      <c r="N248" s="4">
        <v>2200</v>
      </c>
      <c r="O248" s="4">
        <v>10</v>
      </c>
      <c r="P248" s="4">
        <v>17820</v>
      </c>
      <c r="Q248" s="4">
        <v>2</v>
      </c>
      <c r="R248" s="67" t="s">
        <v>1205</v>
      </c>
      <c r="S248" s="4" t="s">
        <v>65</v>
      </c>
      <c r="T248" s="4" t="s">
        <v>84</v>
      </c>
      <c r="U248" s="6" t="s">
        <v>1206</v>
      </c>
      <c r="V248" s="4" t="s">
        <v>73</v>
      </c>
      <c r="W248" s="4">
        <f t="shared" si="3"/>
        <v>12</v>
      </c>
    </row>
    <row r="249" spans="1:23">
      <c r="A249" s="7" t="s">
        <v>1207</v>
      </c>
      <c r="B249" s="8" t="s">
        <v>331</v>
      </c>
      <c r="C249" s="8" t="s">
        <v>173</v>
      </c>
      <c r="D249" s="32" t="s">
        <v>948</v>
      </c>
      <c r="E249" s="8" t="s">
        <v>1208</v>
      </c>
      <c r="F249" s="4" t="str">
        <f>PROPER(TRIM(Sales_data!F249))</f>
        <v>Mohit Verma</v>
      </c>
      <c r="G249" s="8" t="s">
        <v>80</v>
      </c>
      <c r="H249" s="70" t="s">
        <v>1209</v>
      </c>
      <c r="I249" s="8" t="s">
        <v>63</v>
      </c>
      <c r="J249" s="4" t="str">
        <f>PROPER(Sales_data!J249)</f>
        <v>West</v>
      </c>
      <c r="K249" s="4" t="str">
        <f>PROPER(Sales_data!K249)</f>
        <v>Home Appliances</v>
      </c>
      <c r="L249" s="8" t="s">
        <v>178</v>
      </c>
      <c r="M249" s="66">
        <v>6</v>
      </c>
      <c r="N249" s="8">
        <v>8500</v>
      </c>
      <c r="O249" s="8">
        <v>15</v>
      </c>
      <c r="P249" s="8">
        <v>43350</v>
      </c>
      <c r="Q249" s="8">
        <v>2</v>
      </c>
      <c r="R249" s="67" t="s">
        <v>38</v>
      </c>
      <c r="S249" s="8" t="s">
        <v>155</v>
      </c>
      <c r="T249" s="8" t="s">
        <v>336</v>
      </c>
      <c r="U249" s="9" t="s">
        <v>1210</v>
      </c>
      <c r="V249" s="8" t="s">
        <v>73</v>
      </c>
      <c r="W249" s="4">
        <f t="shared" si="3"/>
        <v>5</v>
      </c>
    </row>
    <row r="250" spans="1:23">
      <c r="A250" s="3" t="s">
        <v>1211</v>
      </c>
      <c r="B250" s="4" t="s">
        <v>225</v>
      </c>
      <c r="C250" s="4" t="s">
        <v>28</v>
      </c>
      <c r="D250" s="31" t="s">
        <v>740</v>
      </c>
      <c r="E250" s="4" t="s">
        <v>98</v>
      </c>
      <c r="F250" s="4" t="str">
        <f>PROPER(TRIM(Sales_data!F250))</f>
        <v>Mohit Verma</v>
      </c>
      <c r="G250" s="4" t="s">
        <v>80</v>
      </c>
      <c r="H250" s="69" t="s">
        <v>1212</v>
      </c>
      <c r="I250" s="4" t="s">
        <v>48</v>
      </c>
      <c r="J250" s="4" t="str">
        <f>PROPER(Sales_data!J250)</f>
        <v>South</v>
      </c>
      <c r="K250" s="4" t="str">
        <f>PROPER(Sales_data!K250)</f>
        <v>Home Appliances</v>
      </c>
      <c r="L250" s="4" t="s">
        <v>37</v>
      </c>
      <c r="M250" s="66">
        <v>9</v>
      </c>
      <c r="N250" s="4">
        <v>2200</v>
      </c>
      <c r="O250" s="4">
        <v>10</v>
      </c>
      <c r="P250" s="4">
        <v>17820</v>
      </c>
      <c r="Q250" s="4">
        <v>3</v>
      </c>
      <c r="R250" s="67" t="s">
        <v>83</v>
      </c>
      <c r="S250" s="4" t="s">
        <v>39</v>
      </c>
      <c r="T250" s="4" t="s">
        <v>232</v>
      </c>
      <c r="U250" s="6" t="s">
        <v>1213</v>
      </c>
      <c r="V250" s="4" t="s">
        <v>68</v>
      </c>
      <c r="W250" s="4">
        <f t="shared" si="3"/>
        <v>2</v>
      </c>
    </row>
    <row r="251" spans="1:23">
      <c r="A251" s="7" t="s">
        <v>1214</v>
      </c>
      <c r="B251" s="8" t="s">
        <v>27</v>
      </c>
      <c r="C251" s="8" t="s">
        <v>173</v>
      </c>
      <c r="D251" s="32" t="s">
        <v>829</v>
      </c>
      <c r="E251" s="8" t="s">
        <v>880</v>
      </c>
      <c r="F251" s="4" t="str">
        <f>PROPER(TRIM(Sales_data!F251))</f>
        <v>Amit Sharma</v>
      </c>
      <c r="G251" s="8" t="s">
        <v>32</v>
      </c>
      <c r="H251" s="70" t="s">
        <v>1215</v>
      </c>
      <c r="I251" s="8" t="s">
        <v>298</v>
      </c>
      <c r="J251" s="4" t="str">
        <f>PROPER(Sales_data!J251)</f>
        <v>South</v>
      </c>
      <c r="K251" s="4" t="str">
        <f>PROPER(Sales_data!K251)</f>
        <v>Home Appliances</v>
      </c>
      <c r="L251" s="8" t="s">
        <v>178</v>
      </c>
      <c r="M251" s="66">
        <v>16</v>
      </c>
      <c r="N251" s="8">
        <v>8500</v>
      </c>
      <c r="O251" s="8">
        <v>0</v>
      </c>
      <c r="P251" s="8">
        <v>136000</v>
      </c>
      <c r="Q251" s="8">
        <v>5</v>
      </c>
      <c r="R251" s="67" t="s">
        <v>92</v>
      </c>
      <c r="S251" s="8" t="s">
        <v>119</v>
      </c>
      <c r="T251" s="8" t="s">
        <v>54</v>
      </c>
      <c r="U251" s="9" t="s">
        <v>1216</v>
      </c>
      <c r="V251" s="8" t="s">
        <v>73</v>
      </c>
      <c r="W251" s="4">
        <f t="shared" si="3"/>
        <v>3</v>
      </c>
    </row>
    <row r="252" spans="1:23">
      <c r="A252" s="3" t="s">
        <v>1217</v>
      </c>
      <c r="B252" s="4" t="s">
        <v>331</v>
      </c>
      <c r="C252" s="4" t="s">
        <v>76</v>
      </c>
      <c r="D252" s="31" t="s">
        <v>1218</v>
      </c>
      <c r="E252" s="4" t="s">
        <v>696</v>
      </c>
      <c r="F252" s="4" t="str">
        <f>PROPER(TRIM(Sales_data!F252))</f>
        <v>Vikas Mehta</v>
      </c>
      <c r="G252" s="4" t="s">
        <v>80</v>
      </c>
      <c r="H252" s="69" t="s">
        <v>1219</v>
      </c>
      <c r="I252" s="4" t="s">
        <v>48</v>
      </c>
      <c r="J252" s="4" t="str">
        <f>PROPER(Sales_data!J252)</f>
        <v>North</v>
      </c>
      <c r="K252" s="4" t="str">
        <f>PROPER(Sales_data!K252)</f>
        <v>Home Appliances</v>
      </c>
      <c r="L252" s="4" t="s">
        <v>82</v>
      </c>
      <c r="M252" s="66">
        <v>10</v>
      </c>
      <c r="N252" s="4">
        <v>1200</v>
      </c>
      <c r="O252" s="4">
        <v>15</v>
      </c>
      <c r="P252" s="4">
        <v>10200</v>
      </c>
      <c r="Q252" s="4">
        <v>5</v>
      </c>
      <c r="R252" s="67" t="s">
        <v>38</v>
      </c>
      <c r="S252" s="4" t="s">
        <v>53</v>
      </c>
      <c r="T252" s="4" t="s">
        <v>336</v>
      </c>
      <c r="U252" s="6" t="s">
        <v>1220</v>
      </c>
      <c r="V252" s="4" t="s">
        <v>42</v>
      </c>
      <c r="W252" s="4">
        <f t="shared" si="3"/>
        <v>12</v>
      </c>
    </row>
    <row r="253" spans="1:23">
      <c r="A253" s="7" t="s">
        <v>1221</v>
      </c>
      <c r="B253" s="8" t="s">
        <v>131</v>
      </c>
      <c r="C253" s="8" t="s">
        <v>44</v>
      </c>
      <c r="D253" s="32" t="s">
        <v>417</v>
      </c>
      <c r="E253" s="8" t="s">
        <v>140</v>
      </c>
      <c r="F253" s="4" t="str">
        <f>PROPER(TRIM(Sales_data!F253))</f>
        <v>Kavya Nair</v>
      </c>
      <c r="G253" s="8" t="s">
        <v>80</v>
      </c>
      <c r="H253" s="70" t="s">
        <v>1222</v>
      </c>
      <c r="I253" s="8" t="s">
        <v>298</v>
      </c>
      <c r="J253" s="4" t="str">
        <f>PROPER(Sales_data!J253)</f>
        <v>East</v>
      </c>
      <c r="K253" s="4" t="str">
        <f>PROPER(Sales_data!K253)</f>
        <v>Home Appliances</v>
      </c>
      <c r="L253" s="8" t="s">
        <v>51</v>
      </c>
      <c r="M253" s="66">
        <v>7</v>
      </c>
      <c r="N253" s="8">
        <v>12000</v>
      </c>
      <c r="O253" s="8">
        <v>0</v>
      </c>
      <c r="P253" s="8">
        <v>84000</v>
      </c>
      <c r="Q253" s="8">
        <v>1</v>
      </c>
      <c r="R253" s="67" t="s">
        <v>92</v>
      </c>
      <c r="S253" s="8" t="s">
        <v>155</v>
      </c>
      <c r="T253" s="8" t="s">
        <v>136</v>
      </c>
      <c r="U253" s="9" t="s">
        <v>1223</v>
      </c>
      <c r="V253" s="8" t="s">
        <v>68</v>
      </c>
      <c r="W253" s="4">
        <f t="shared" si="3"/>
        <v>3</v>
      </c>
    </row>
    <row r="254" spans="1:23">
      <c r="A254" s="3" t="s">
        <v>1224</v>
      </c>
      <c r="B254" s="4" t="s">
        <v>225</v>
      </c>
      <c r="C254" s="4" t="s">
        <v>44</v>
      </c>
      <c r="D254" s="31" t="s">
        <v>132</v>
      </c>
      <c r="E254" s="4" t="s">
        <v>1225</v>
      </c>
      <c r="F254" s="4" t="str">
        <f>PROPER(TRIM(Sales_data!F254))</f>
        <v>Amit Sharma</v>
      </c>
      <c r="G254" s="4" t="s">
        <v>80</v>
      </c>
      <c r="H254" s="69" t="s">
        <v>1226</v>
      </c>
      <c r="I254" s="4" t="s">
        <v>118</v>
      </c>
      <c r="J254" s="4" t="str">
        <f>PROPER(Sales_data!J254)</f>
        <v>North</v>
      </c>
      <c r="K254" s="4" t="str">
        <f>PROPER(Sales_data!K254)</f>
        <v>Electronics</v>
      </c>
      <c r="L254" s="4" t="s">
        <v>51</v>
      </c>
      <c r="M254" s="66">
        <v>3</v>
      </c>
      <c r="N254" s="4">
        <v>12000</v>
      </c>
      <c r="O254" s="4">
        <v>10</v>
      </c>
      <c r="P254" s="4">
        <v>32400</v>
      </c>
      <c r="Q254" s="4">
        <v>4</v>
      </c>
      <c r="R254" s="67" t="s">
        <v>83</v>
      </c>
      <c r="S254" s="4" t="s">
        <v>155</v>
      </c>
      <c r="T254" s="4" t="s">
        <v>232</v>
      </c>
      <c r="U254" s="6" t="s">
        <v>1227</v>
      </c>
      <c r="V254" s="4" t="s">
        <v>42</v>
      </c>
      <c r="W254" s="4">
        <f t="shared" si="3"/>
        <v>9</v>
      </c>
    </row>
    <row r="255" spans="1:23">
      <c r="A255" s="7" t="s">
        <v>1228</v>
      </c>
      <c r="B255" s="8" t="s">
        <v>225</v>
      </c>
      <c r="C255" s="8" t="s">
        <v>44</v>
      </c>
      <c r="D255" s="32" t="s">
        <v>1229</v>
      </c>
      <c r="E255" s="8" t="s">
        <v>931</v>
      </c>
      <c r="F255" s="4" t="str">
        <f>PROPER(TRIM(Sales_data!F255))</f>
        <v>Rohit Singh</v>
      </c>
      <c r="G255" s="8" t="s">
        <v>80</v>
      </c>
      <c r="H255" s="70" t="s">
        <v>1230</v>
      </c>
      <c r="I255" s="8" t="s">
        <v>34</v>
      </c>
      <c r="J255" s="4" t="str">
        <f>PROPER(Sales_data!J255)</f>
        <v>East</v>
      </c>
      <c r="K255" s="4" t="str">
        <f>PROPER(Sales_data!K255)</f>
        <v>Electronics</v>
      </c>
      <c r="L255" s="8" t="s">
        <v>51</v>
      </c>
      <c r="M255" s="66">
        <v>4</v>
      </c>
      <c r="N255" s="8">
        <v>12000</v>
      </c>
      <c r="O255" s="8">
        <v>15</v>
      </c>
      <c r="P255" s="8">
        <v>40800</v>
      </c>
      <c r="Q255" s="8">
        <v>3</v>
      </c>
      <c r="R255" s="67" t="s">
        <v>83</v>
      </c>
      <c r="S255" s="8" t="s">
        <v>39</v>
      </c>
      <c r="T255" s="8" t="s">
        <v>232</v>
      </c>
      <c r="U255" s="9" t="s">
        <v>1231</v>
      </c>
      <c r="V255" s="8" t="s">
        <v>68</v>
      </c>
      <c r="W255" s="4">
        <f t="shared" si="3"/>
        <v>11</v>
      </c>
    </row>
    <row r="256" spans="1:23">
      <c r="A256" s="3" t="s">
        <v>1232</v>
      </c>
      <c r="B256" s="4" t="s">
        <v>131</v>
      </c>
      <c r="C256" s="4" t="s">
        <v>44</v>
      </c>
      <c r="D256" s="31" t="s">
        <v>264</v>
      </c>
      <c r="E256" s="4" t="s">
        <v>502</v>
      </c>
      <c r="F256" s="4" t="str">
        <f>PROPER(TRIM(Sales_data!F256))</f>
        <v>Vikas Mehta</v>
      </c>
      <c r="G256" s="4" t="s">
        <v>80</v>
      </c>
      <c r="H256" s="69" t="s">
        <v>1233</v>
      </c>
      <c r="I256" s="4" t="s">
        <v>34</v>
      </c>
      <c r="J256" s="4" t="str">
        <f>PROPER(Sales_data!J256)</f>
        <v>West</v>
      </c>
      <c r="K256" s="4" t="str">
        <f>PROPER(Sales_data!K256)</f>
        <v>Electronics</v>
      </c>
      <c r="L256" s="4" t="s">
        <v>51</v>
      </c>
      <c r="M256" s="66">
        <v>13</v>
      </c>
      <c r="N256" s="4">
        <v>12000</v>
      </c>
      <c r="O256" s="4">
        <v>10</v>
      </c>
      <c r="P256" s="4">
        <v>140400</v>
      </c>
      <c r="Q256" s="4">
        <v>2</v>
      </c>
      <c r="R256" s="67" t="s">
        <v>38</v>
      </c>
      <c r="S256" s="4" t="s">
        <v>155</v>
      </c>
      <c r="T256" s="4" t="s">
        <v>136</v>
      </c>
      <c r="U256" s="6" t="s">
        <v>1234</v>
      </c>
      <c r="V256" s="4" t="s">
        <v>73</v>
      </c>
      <c r="W256" s="4">
        <f t="shared" si="3"/>
        <v>6</v>
      </c>
    </row>
    <row r="257" spans="1:23">
      <c r="A257" s="7" t="s">
        <v>1235</v>
      </c>
      <c r="B257" s="8" t="s">
        <v>27</v>
      </c>
      <c r="C257" s="8" t="s">
        <v>96</v>
      </c>
      <c r="D257" s="32" t="s">
        <v>322</v>
      </c>
      <c r="E257" s="8" t="s">
        <v>683</v>
      </c>
      <c r="F257" s="4" t="str">
        <f>PROPER(TRIM(Sales_data!F257))</f>
        <v>Vikas Mehta</v>
      </c>
      <c r="G257" s="8" t="s">
        <v>32</v>
      </c>
      <c r="H257" s="70" t="s">
        <v>1236</v>
      </c>
      <c r="I257" s="8" t="s">
        <v>63</v>
      </c>
      <c r="J257" s="4" t="str">
        <f>PROPER(Sales_data!J257)</f>
        <v>South</v>
      </c>
      <c r="K257" s="4" t="str">
        <f>PROPER(Sales_data!K257)</f>
        <v>Electronics</v>
      </c>
      <c r="L257" s="8" t="s">
        <v>101</v>
      </c>
      <c r="M257" s="66">
        <v>19</v>
      </c>
      <c r="N257" s="8">
        <v>3500</v>
      </c>
      <c r="O257" s="8">
        <v>20</v>
      </c>
      <c r="P257" s="8">
        <v>53200</v>
      </c>
      <c r="Q257" s="8">
        <v>1</v>
      </c>
      <c r="R257" s="67" t="s">
        <v>38</v>
      </c>
      <c r="S257" s="8" t="s">
        <v>65</v>
      </c>
      <c r="T257" s="8" t="s">
        <v>54</v>
      </c>
      <c r="U257" s="9" t="s">
        <v>1237</v>
      </c>
      <c r="V257" s="8" t="s">
        <v>73</v>
      </c>
      <c r="W257" s="4">
        <f t="shared" si="3"/>
        <v>6</v>
      </c>
    </row>
    <row r="258" spans="1:23">
      <c r="A258" s="3" t="s">
        <v>1238</v>
      </c>
      <c r="B258" s="4" t="s">
        <v>27</v>
      </c>
      <c r="C258" s="4" t="s">
        <v>28</v>
      </c>
      <c r="D258" s="31" t="s">
        <v>936</v>
      </c>
      <c r="E258" s="4" t="s">
        <v>440</v>
      </c>
      <c r="F258" s="4" t="str">
        <f>PROPER(TRIM(Sales_data!F258))</f>
        <v>Rohit Singh</v>
      </c>
      <c r="G258" s="4" t="s">
        <v>32</v>
      </c>
      <c r="H258" s="69" t="s">
        <v>1239</v>
      </c>
      <c r="I258" s="4" t="s">
        <v>109</v>
      </c>
      <c r="J258" s="4" t="str">
        <f>PROPER(Sales_data!J258)</f>
        <v>South</v>
      </c>
      <c r="K258" s="4" t="str">
        <f>PROPER(Sales_data!K258)</f>
        <v>Electronics</v>
      </c>
      <c r="L258" s="4" t="s">
        <v>37</v>
      </c>
      <c r="M258" s="66">
        <v>7</v>
      </c>
      <c r="N258" s="4">
        <v>2200</v>
      </c>
      <c r="O258" s="4">
        <v>5</v>
      </c>
      <c r="P258" s="4">
        <v>14630</v>
      </c>
      <c r="Q258" s="4">
        <v>3</v>
      </c>
      <c r="R258" s="67" t="s">
        <v>92</v>
      </c>
      <c r="S258" s="4" t="s">
        <v>65</v>
      </c>
      <c r="T258" s="4" t="s">
        <v>54</v>
      </c>
      <c r="U258" s="6" t="s">
        <v>1240</v>
      </c>
      <c r="V258" s="4" t="s">
        <v>73</v>
      </c>
      <c r="W258" s="4">
        <f t="shared" si="3"/>
        <v>2</v>
      </c>
    </row>
    <row r="259" spans="1:23">
      <c r="A259" s="7" t="s">
        <v>1241</v>
      </c>
      <c r="B259" s="8" t="s">
        <v>87</v>
      </c>
      <c r="C259" s="8" t="s">
        <v>188</v>
      </c>
      <c r="D259" s="32" t="s">
        <v>1242</v>
      </c>
      <c r="E259" s="8" t="s">
        <v>430</v>
      </c>
      <c r="F259" s="4" t="str">
        <f>PROPER(TRIM(Sales_data!F259))</f>
        <v>Kavya Nair</v>
      </c>
      <c r="G259" s="8" t="s">
        <v>80</v>
      </c>
      <c r="H259" s="70" t="s">
        <v>1243</v>
      </c>
      <c r="I259" s="8" t="s">
        <v>216</v>
      </c>
      <c r="J259" s="4" t="str">
        <f>PROPER(Sales_data!J259)</f>
        <v>South</v>
      </c>
      <c r="K259" s="4" t="str">
        <f>PROPER(Sales_data!K259)</f>
        <v>Home Appliances</v>
      </c>
      <c r="L259" s="8" t="s">
        <v>193</v>
      </c>
      <c r="M259" s="66">
        <v>18</v>
      </c>
      <c r="N259" s="8">
        <v>700</v>
      </c>
      <c r="O259" s="8">
        <v>5</v>
      </c>
      <c r="P259" s="8">
        <v>11970</v>
      </c>
      <c r="Q259" s="8">
        <v>2</v>
      </c>
      <c r="R259" s="67" t="s">
        <v>92</v>
      </c>
      <c r="S259" s="8" t="s">
        <v>65</v>
      </c>
      <c r="T259" s="8" t="s">
        <v>93</v>
      </c>
      <c r="U259" s="9" t="s">
        <v>1244</v>
      </c>
      <c r="V259" s="8" t="s">
        <v>73</v>
      </c>
      <c r="W259" s="4">
        <f t="shared" ref="W259:W322" si="4">IF(D259="Pending", "0", MONTH(D259))</f>
        <v>5</v>
      </c>
    </row>
    <row r="260" spans="1:23">
      <c r="A260" s="3" t="s">
        <v>1245</v>
      </c>
      <c r="B260" s="4" t="s">
        <v>27</v>
      </c>
      <c r="C260" s="4" t="s">
        <v>226</v>
      </c>
      <c r="D260" s="31" t="s">
        <v>1110</v>
      </c>
      <c r="E260" s="4" t="s">
        <v>1246</v>
      </c>
      <c r="F260" s="4" t="str">
        <f>PROPER(TRIM(Sales_data!F260))</f>
        <v>Kavya Nair</v>
      </c>
      <c r="G260" s="4" t="s">
        <v>32</v>
      </c>
      <c r="H260" s="69" t="s">
        <v>1247</v>
      </c>
      <c r="I260" s="4" t="s">
        <v>298</v>
      </c>
      <c r="J260" s="4" t="str">
        <f>PROPER(Sales_data!J260)</f>
        <v>West</v>
      </c>
      <c r="K260" s="4" t="str">
        <f>PROPER(Sales_data!K260)</f>
        <v>Home Appliances</v>
      </c>
      <c r="L260" s="4" t="s">
        <v>231</v>
      </c>
      <c r="M260" s="66">
        <v>11</v>
      </c>
      <c r="N260" s="4">
        <v>20</v>
      </c>
      <c r="O260" s="4">
        <v>0</v>
      </c>
      <c r="P260" s="4">
        <v>220</v>
      </c>
      <c r="Q260" s="4">
        <v>2</v>
      </c>
      <c r="R260" s="67" t="s">
        <v>52</v>
      </c>
      <c r="S260" s="4" t="s">
        <v>119</v>
      </c>
      <c r="T260" s="4" t="s">
        <v>54</v>
      </c>
      <c r="U260" s="6" t="s">
        <v>1248</v>
      </c>
      <c r="V260" s="4" t="s">
        <v>73</v>
      </c>
      <c r="W260" s="4">
        <f t="shared" si="4"/>
        <v>7</v>
      </c>
    </row>
    <row r="261" spans="1:23">
      <c r="A261" s="7" t="s">
        <v>1249</v>
      </c>
      <c r="B261" s="8" t="s">
        <v>331</v>
      </c>
      <c r="C261" s="8" t="s">
        <v>44</v>
      </c>
      <c r="D261" s="32" t="s">
        <v>1073</v>
      </c>
      <c r="E261" s="8" t="s">
        <v>276</v>
      </c>
      <c r="F261" s="4" t="str">
        <f>PROPER(TRIM(Sales_data!F261))</f>
        <v>Arjun Rao</v>
      </c>
      <c r="G261" s="8" t="s">
        <v>80</v>
      </c>
      <c r="H261" s="70" t="s">
        <v>1250</v>
      </c>
      <c r="I261" s="8" t="s">
        <v>118</v>
      </c>
      <c r="J261" s="4" t="str">
        <f>PROPER(Sales_data!J261)</f>
        <v>North</v>
      </c>
      <c r="K261" s="4" t="str">
        <f>PROPER(Sales_data!K261)</f>
        <v>Electronics</v>
      </c>
      <c r="L261" s="8" t="s">
        <v>51</v>
      </c>
      <c r="M261" s="66">
        <v>17</v>
      </c>
      <c r="N261" s="8">
        <v>12000</v>
      </c>
      <c r="O261" s="8">
        <v>20</v>
      </c>
      <c r="P261" s="8">
        <v>163200</v>
      </c>
      <c r="Q261" s="8">
        <v>4</v>
      </c>
      <c r="R261" s="67" t="s">
        <v>92</v>
      </c>
      <c r="S261" s="8" t="s">
        <v>155</v>
      </c>
      <c r="T261" s="8" t="s">
        <v>336</v>
      </c>
      <c r="U261" s="9" t="s">
        <v>1251</v>
      </c>
      <c r="V261" s="8" t="s">
        <v>42</v>
      </c>
      <c r="W261" s="4">
        <f t="shared" si="4"/>
        <v>2</v>
      </c>
    </row>
    <row r="262" spans="1:23">
      <c r="A262" s="3" t="s">
        <v>1252</v>
      </c>
      <c r="B262" s="4" t="s">
        <v>255</v>
      </c>
      <c r="C262" s="4" t="s">
        <v>28</v>
      </c>
      <c r="D262" s="31" t="s">
        <v>1253</v>
      </c>
      <c r="E262" s="4" t="s">
        <v>271</v>
      </c>
      <c r="F262" s="4" t="str">
        <f>PROPER(TRIM(Sales_data!F262))</f>
        <v>Kavya Nair</v>
      </c>
      <c r="G262" s="4" t="s">
        <v>32</v>
      </c>
      <c r="H262" s="69" t="s">
        <v>1254</v>
      </c>
      <c r="I262" s="4" t="s">
        <v>298</v>
      </c>
      <c r="J262" s="4" t="str">
        <f>PROPER(Sales_data!J262)</f>
        <v>East</v>
      </c>
      <c r="K262" s="4" t="str">
        <f>PROPER(Sales_data!K262)</f>
        <v>Stationery</v>
      </c>
      <c r="L262" s="4" t="s">
        <v>37</v>
      </c>
      <c r="M262" s="66">
        <v>4</v>
      </c>
      <c r="N262" s="4">
        <v>2200</v>
      </c>
      <c r="O262" s="4">
        <v>5</v>
      </c>
      <c r="P262" s="4">
        <v>8360</v>
      </c>
      <c r="Q262" s="4">
        <v>2</v>
      </c>
      <c r="R262" s="67" t="s">
        <v>38</v>
      </c>
      <c r="S262" s="4" t="s">
        <v>39</v>
      </c>
      <c r="T262" s="4" t="s">
        <v>260</v>
      </c>
      <c r="U262" s="6" t="s">
        <v>1255</v>
      </c>
      <c r="V262" s="4" t="s">
        <v>42</v>
      </c>
      <c r="W262" s="4">
        <f t="shared" si="4"/>
        <v>7</v>
      </c>
    </row>
    <row r="263" spans="1:23">
      <c r="A263" s="7" t="s">
        <v>1256</v>
      </c>
      <c r="B263" s="8" t="s">
        <v>27</v>
      </c>
      <c r="C263" s="8" t="s">
        <v>58</v>
      </c>
      <c r="D263" s="32" t="s">
        <v>1257</v>
      </c>
      <c r="E263" s="8" t="s">
        <v>459</v>
      </c>
      <c r="F263" s="4" t="str">
        <f>PROPER(TRIM(Sales_data!F263))</f>
        <v>Amit Sharma</v>
      </c>
      <c r="G263" s="8" t="s">
        <v>32</v>
      </c>
      <c r="H263" s="70" t="s">
        <v>1258</v>
      </c>
      <c r="I263" s="8" t="s">
        <v>142</v>
      </c>
      <c r="J263" s="4" t="str">
        <f>PROPER(Sales_data!J263)</f>
        <v>West</v>
      </c>
      <c r="K263" s="4" t="str">
        <f>PROPER(Sales_data!K263)</f>
        <v>Electronics</v>
      </c>
      <c r="L263" s="8" t="s">
        <v>64</v>
      </c>
      <c r="M263" s="66">
        <v>6</v>
      </c>
      <c r="N263" s="8">
        <v>55000</v>
      </c>
      <c r="O263" s="8">
        <v>20</v>
      </c>
      <c r="P263" s="8">
        <v>264000</v>
      </c>
      <c r="Q263" s="8">
        <v>2</v>
      </c>
      <c r="R263" s="67" t="s">
        <v>92</v>
      </c>
      <c r="S263" s="8" t="s">
        <v>155</v>
      </c>
      <c r="T263" s="8" t="s">
        <v>54</v>
      </c>
      <c r="U263" s="9" t="s">
        <v>1259</v>
      </c>
      <c r="V263" s="8" t="s">
        <v>73</v>
      </c>
      <c r="W263" s="4">
        <f t="shared" si="4"/>
        <v>12</v>
      </c>
    </row>
    <row r="264" spans="1:23">
      <c r="A264" s="3" t="s">
        <v>1260</v>
      </c>
      <c r="B264" s="4" t="s">
        <v>75</v>
      </c>
      <c r="C264" s="4" t="s">
        <v>173</v>
      </c>
      <c r="D264" s="31" t="s">
        <v>88</v>
      </c>
      <c r="E264" s="4" t="s">
        <v>1002</v>
      </c>
      <c r="F264" s="4" t="str">
        <f>PROPER(TRIM(Sales_data!F264))</f>
        <v>Sneha Joshi</v>
      </c>
      <c r="G264" s="4" t="s">
        <v>80</v>
      </c>
      <c r="H264" s="69" t="s">
        <v>1261</v>
      </c>
      <c r="I264" s="4" t="s">
        <v>48</v>
      </c>
      <c r="J264" s="4" t="str">
        <f>PROPER(Sales_data!J264)</f>
        <v>East</v>
      </c>
      <c r="K264" s="4" t="str">
        <f>PROPER(Sales_data!K264)</f>
        <v>Home Appliances</v>
      </c>
      <c r="L264" s="4" t="s">
        <v>178</v>
      </c>
      <c r="M264" s="66">
        <v>6</v>
      </c>
      <c r="N264" s="4">
        <v>8500</v>
      </c>
      <c r="O264" s="4">
        <v>10</v>
      </c>
      <c r="P264" s="4">
        <v>45900</v>
      </c>
      <c r="Q264" s="4">
        <v>5</v>
      </c>
      <c r="R264" s="67" t="s">
        <v>92</v>
      </c>
      <c r="S264" s="4" t="s">
        <v>65</v>
      </c>
      <c r="T264" s="4" t="s">
        <v>84</v>
      </c>
      <c r="U264" s="6" t="s">
        <v>1262</v>
      </c>
      <c r="V264" s="4" t="s">
        <v>42</v>
      </c>
      <c r="W264" s="4">
        <f t="shared" si="4"/>
        <v>1</v>
      </c>
    </row>
    <row r="265" spans="1:23">
      <c r="A265" s="7" t="s">
        <v>1263</v>
      </c>
      <c r="B265" s="8" t="s">
        <v>27</v>
      </c>
      <c r="C265" s="8" t="s">
        <v>226</v>
      </c>
      <c r="D265" s="32" t="s">
        <v>562</v>
      </c>
      <c r="E265" s="8" t="s">
        <v>375</v>
      </c>
      <c r="F265" s="4" t="str">
        <f>PROPER(TRIM(Sales_data!F265))</f>
        <v>Kavya Nair</v>
      </c>
      <c r="G265" s="8" t="s">
        <v>32</v>
      </c>
      <c r="H265" s="70" t="s">
        <v>1264</v>
      </c>
      <c r="I265" s="8" t="s">
        <v>216</v>
      </c>
      <c r="J265" s="4" t="str">
        <f>PROPER(Sales_data!J265)</f>
        <v>West</v>
      </c>
      <c r="K265" s="4" t="str">
        <f>PROPER(Sales_data!K265)</f>
        <v>Electronics</v>
      </c>
      <c r="L265" s="8" t="s">
        <v>231</v>
      </c>
      <c r="M265" s="66">
        <v>6</v>
      </c>
      <c r="N265" s="8">
        <v>20</v>
      </c>
      <c r="O265" s="8">
        <v>15</v>
      </c>
      <c r="P265" s="8">
        <v>102</v>
      </c>
      <c r="Q265" s="8">
        <v>2</v>
      </c>
      <c r="R265" s="67" t="s">
        <v>92</v>
      </c>
      <c r="S265" s="8" t="s">
        <v>53</v>
      </c>
      <c r="T265" s="8" t="s">
        <v>54</v>
      </c>
      <c r="U265" s="9" t="s">
        <v>1265</v>
      </c>
      <c r="V265" s="8" t="s">
        <v>73</v>
      </c>
      <c r="W265" s="4">
        <f t="shared" si="4"/>
        <v>8</v>
      </c>
    </row>
    <row r="266" spans="1:23">
      <c r="A266" s="3" t="s">
        <v>1266</v>
      </c>
      <c r="B266" s="4" t="s">
        <v>57</v>
      </c>
      <c r="C266" s="4" t="s">
        <v>122</v>
      </c>
      <c r="D266" s="31" t="s">
        <v>1267</v>
      </c>
      <c r="E266" s="4" t="s">
        <v>601</v>
      </c>
      <c r="F266" s="4" t="str">
        <f>PROPER(TRIM(Sales_data!F266))</f>
        <v>Mohit Verma</v>
      </c>
      <c r="G266" s="4" t="s">
        <v>32</v>
      </c>
      <c r="H266" s="69" t="s">
        <v>1268</v>
      </c>
      <c r="I266" s="4" t="s">
        <v>109</v>
      </c>
      <c r="J266" s="4" t="str">
        <f>PROPER(Sales_data!J266)</f>
        <v>North</v>
      </c>
      <c r="K266" s="4" t="str">
        <f>PROPER(Sales_data!K266)</f>
        <v>Home Appliances</v>
      </c>
      <c r="L266" s="4" t="s">
        <v>127</v>
      </c>
      <c r="M266" s="66">
        <v>6</v>
      </c>
      <c r="N266" s="4">
        <v>60</v>
      </c>
      <c r="O266" s="4">
        <v>5</v>
      </c>
      <c r="P266" s="4">
        <v>342</v>
      </c>
      <c r="Q266" s="4">
        <v>1</v>
      </c>
      <c r="R266" s="67" t="s">
        <v>52</v>
      </c>
      <c r="S266" s="4" t="s">
        <v>65</v>
      </c>
      <c r="T266" s="4" t="s">
        <v>66</v>
      </c>
      <c r="U266" s="6" t="s">
        <v>1269</v>
      </c>
      <c r="V266" s="4" t="s">
        <v>42</v>
      </c>
      <c r="W266" s="4">
        <f t="shared" si="4"/>
        <v>5</v>
      </c>
    </row>
    <row r="267" spans="1:23">
      <c r="A267" s="7" t="s">
        <v>1270</v>
      </c>
      <c r="B267" s="8" t="s">
        <v>131</v>
      </c>
      <c r="C267" s="8" t="s">
        <v>173</v>
      </c>
      <c r="D267" s="32" t="s">
        <v>1271</v>
      </c>
      <c r="E267" s="8" t="s">
        <v>1272</v>
      </c>
      <c r="F267" s="4" t="str">
        <f>PROPER(TRIM(Sales_data!F267))</f>
        <v>Kavya Nair</v>
      </c>
      <c r="G267" s="8" t="s">
        <v>80</v>
      </c>
      <c r="H267" s="70" t="s">
        <v>1273</v>
      </c>
      <c r="I267" s="8" t="s">
        <v>34</v>
      </c>
      <c r="J267" s="4" t="str">
        <f>PROPER(Sales_data!J267)</f>
        <v>North</v>
      </c>
      <c r="K267" s="4" t="str">
        <f>PROPER(Sales_data!K267)</f>
        <v>Stationery</v>
      </c>
      <c r="L267" s="8" t="s">
        <v>178</v>
      </c>
      <c r="M267" s="66">
        <v>19</v>
      </c>
      <c r="N267" s="8">
        <v>8500</v>
      </c>
      <c r="O267" s="8">
        <v>0</v>
      </c>
      <c r="P267" s="8">
        <v>161500</v>
      </c>
      <c r="Q267" s="8">
        <v>5</v>
      </c>
      <c r="R267" s="67" t="s">
        <v>92</v>
      </c>
      <c r="S267" s="8" t="s">
        <v>155</v>
      </c>
      <c r="T267" s="8" t="s">
        <v>136</v>
      </c>
      <c r="U267" s="9" t="s">
        <v>1274</v>
      </c>
      <c r="V267" s="8" t="s">
        <v>42</v>
      </c>
      <c r="W267" s="4">
        <f t="shared" si="4"/>
        <v>1</v>
      </c>
    </row>
    <row r="268" spans="1:23">
      <c r="A268" s="3" t="s">
        <v>1275</v>
      </c>
      <c r="B268" s="4" t="s">
        <v>255</v>
      </c>
      <c r="C268" s="4" t="s">
        <v>58</v>
      </c>
      <c r="D268" s="31" t="s">
        <v>449</v>
      </c>
      <c r="E268" s="4" t="s">
        <v>577</v>
      </c>
      <c r="F268" s="4" t="str">
        <f>PROPER(TRIM(Sales_data!F268))</f>
        <v>Pooja Shah</v>
      </c>
      <c r="G268" s="4" t="s">
        <v>32</v>
      </c>
      <c r="H268" s="69" t="s">
        <v>1276</v>
      </c>
      <c r="I268" s="4" t="s">
        <v>216</v>
      </c>
      <c r="J268" s="4" t="str">
        <f>PROPER(Sales_data!J268)</f>
        <v>West</v>
      </c>
      <c r="K268" s="4" t="str">
        <f>PROPER(Sales_data!K268)</f>
        <v>Stationery</v>
      </c>
      <c r="L268" s="4" t="s">
        <v>64</v>
      </c>
      <c r="M268" s="66">
        <v>8</v>
      </c>
      <c r="N268" s="4">
        <v>55000</v>
      </c>
      <c r="O268" s="4">
        <v>0</v>
      </c>
      <c r="P268" s="4">
        <v>440000</v>
      </c>
      <c r="Q268" s="4">
        <v>3</v>
      </c>
      <c r="R268" s="67" t="s">
        <v>83</v>
      </c>
      <c r="S268" s="4" t="s">
        <v>119</v>
      </c>
      <c r="T268" s="4" t="s">
        <v>260</v>
      </c>
      <c r="U268" s="6" t="s">
        <v>1277</v>
      </c>
      <c r="V268" s="4" t="s">
        <v>68</v>
      </c>
      <c r="W268" s="4">
        <f t="shared" si="4"/>
        <v>9</v>
      </c>
    </row>
    <row r="269" spans="1:23">
      <c r="A269" s="7" t="s">
        <v>1278</v>
      </c>
      <c r="B269" s="8" t="s">
        <v>75</v>
      </c>
      <c r="C269" s="8" t="s">
        <v>44</v>
      </c>
      <c r="D269" s="32" t="s">
        <v>1102</v>
      </c>
      <c r="E269" s="8" t="s">
        <v>587</v>
      </c>
      <c r="F269" s="4" t="str">
        <f>PROPER(TRIM(Sales_data!F269))</f>
        <v>Rohit Singh</v>
      </c>
      <c r="G269" s="8" t="s">
        <v>80</v>
      </c>
      <c r="H269" s="70" t="s">
        <v>1279</v>
      </c>
      <c r="I269" s="8" t="s">
        <v>298</v>
      </c>
      <c r="J269" s="4" t="str">
        <f>PROPER(Sales_data!J269)</f>
        <v>South</v>
      </c>
      <c r="K269" s="4" t="str">
        <f>PROPER(Sales_data!K269)</f>
        <v>Home Appliances</v>
      </c>
      <c r="L269" s="8" t="s">
        <v>51</v>
      </c>
      <c r="M269" s="66">
        <v>18</v>
      </c>
      <c r="N269" s="8">
        <v>12000</v>
      </c>
      <c r="O269" s="8">
        <v>20</v>
      </c>
      <c r="P269" s="8">
        <v>172800</v>
      </c>
      <c r="Q269" s="8">
        <v>5</v>
      </c>
      <c r="R269" s="67" t="s">
        <v>92</v>
      </c>
      <c r="S269" s="8" t="s">
        <v>65</v>
      </c>
      <c r="T269" s="8" t="s">
        <v>84</v>
      </c>
      <c r="U269" s="9" t="s">
        <v>1280</v>
      </c>
      <c r="V269" s="8" t="s">
        <v>73</v>
      </c>
      <c r="W269" s="4">
        <f t="shared" si="4"/>
        <v>5</v>
      </c>
    </row>
    <row r="270" spans="1:23">
      <c r="A270" s="3" t="s">
        <v>1281</v>
      </c>
      <c r="B270" s="4" t="s">
        <v>131</v>
      </c>
      <c r="C270" s="4" t="s">
        <v>173</v>
      </c>
      <c r="D270" s="31" t="s">
        <v>1282</v>
      </c>
      <c r="E270" s="4" t="s">
        <v>202</v>
      </c>
      <c r="F270" s="4" t="str">
        <f>PROPER(TRIM(Sales_data!F270))</f>
        <v>Sneha Joshi</v>
      </c>
      <c r="G270" s="4" t="s">
        <v>80</v>
      </c>
      <c r="H270" s="69" t="s">
        <v>1283</v>
      </c>
      <c r="I270" s="4" t="s">
        <v>142</v>
      </c>
      <c r="J270" s="4" t="str">
        <f>PROPER(Sales_data!J270)</f>
        <v>North</v>
      </c>
      <c r="K270" s="4" t="str">
        <f>PROPER(Sales_data!K270)</f>
        <v>Electronics</v>
      </c>
      <c r="L270" s="4" t="s">
        <v>178</v>
      </c>
      <c r="M270" s="66">
        <v>8</v>
      </c>
      <c r="N270" s="4">
        <v>8500</v>
      </c>
      <c r="O270" s="4">
        <v>5</v>
      </c>
      <c r="P270" s="4">
        <v>64600</v>
      </c>
      <c r="Q270" s="4">
        <v>2</v>
      </c>
      <c r="R270" s="67" t="s">
        <v>83</v>
      </c>
      <c r="S270" s="4" t="s">
        <v>65</v>
      </c>
      <c r="T270" s="4" t="s">
        <v>136</v>
      </c>
      <c r="U270" s="6" t="s">
        <v>1284</v>
      </c>
      <c r="V270" s="4" t="s">
        <v>73</v>
      </c>
      <c r="W270" s="4">
        <f t="shared" si="4"/>
        <v>4</v>
      </c>
    </row>
    <row r="271" spans="1:23">
      <c r="A271" s="7" t="s">
        <v>1285</v>
      </c>
      <c r="B271" s="8" t="s">
        <v>27</v>
      </c>
      <c r="C271" s="8" t="s">
        <v>226</v>
      </c>
      <c r="D271" s="32" t="s">
        <v>1286</v>
      </c>
      <c r="E271" s="8" t="s">
        <v>728</v>
      </c>
      <c r="F271" s="4" t="str">
        <f>PROPER(TRIM(Sales_data!F271))</f>
        <v>Mohit Verma</v>
      </c>
      <c r="G271" s="8" t="s">
        <v>32</v>
      </c>
      <c r="H271" s="70" t="s">
        <v>1287</v>
      </c>
      <c r="I271" s="8" t="s">
        <v>109</v>
      </c>
      <c r="J271" s="4" t="str">
        <f>PROPER(Sales_data!J271)</f>
        <v>East</v>
      </c>
      <c r="K271" s="4" t="str">
        <f>PROPER(Sales_data!K271)</f>
        <v>Electronics</v>
      </c>
      <c r="L271" s="8" t="s">
        <v>231</v>
      </c>
      <c r="M271" s="66">
        <v>13</v>
      </c>
      <c r="N271" s="8">
        <v>20</v>
      </c>
      <c r="O271" s="8">
        <v>5</v>
      </c>
      <c r="P271" s="8">
        <v>247</v>
      </c>
      <c r="Q271" s="8">
        <v>3</v>
      </c>
      <c r="R271" s="67" t="s">
        <v>52</v>
      </c>
      <c r="S271" s="8" t="s">
        <v>119</v>
      </c>
      <c r="T271" s="8" t="s">
        <v>54</v>
      </c>
      <c r="U271" s="9" t="s">
        <v>1288</v>
      </c>
      <c r="V271" s="8" t="s">
        <v>68</v>
      </c>
      <c r="W271" s="4">
        <f t="shared" si="4"/>
        <v>8</v>
      </c>
    </row>
    <row r="272" spans="1:23">
      <c r="A272" s="3" t="s">
        <v>1289</v>
      </c>
      <c r="B272" s="4" t="s">
        <v>87</v>
      </c>
      <c r="C272" s="4" t="s">
        <v>122</v>
      </c>
      <c r="D272" s="31" t="s">
        <v>744</v>
      </c>
      <c r="E272" s="4" t="s">
        <v>1290</v>
      </c>
      <c r="F272" s="4" t="str">
        <f>PROPER(TRIM(Sales_data!F272))</f>
        <v>Rohit Singh</v>
      </c>
      <c r="G272" s="4" t="s">
        <v>80</v>
      </c>
      <c r="H272" s="69" t="s">
        <v>1291</v>
      </c>
      <c r="I272" s="4" t="s">
        <v>216</v>
      </c>
      <c r="J272" s="4" t="str">
        <f>PROPER(Sales_data!J272)</f>
        <v>West</v>
      </c>
      <c r="K272" s="4" t="str">
        <f>PROPER(Sales_data!K272)</f>
        <v>Home Appliances</v>
      </c>
      <c r="L272" s="4" t="s">
        <v>127</v>
      </c>
      <c r="M272" s="66">
        <v>1</v>
      </c>
      <c r="N272" s="4">
        <v>60</v>
      </c>
      <c r="O272" s="4">
        <v>15</v>
      </c>
      <c r="P272" s="4">
        <v>51</v>
      </c>
      <c r="Q272" s="4">
        <v>2</v>
      </c>
      <c r="R272" s="67" t="s">
        <v>83</v>
      </c>
      <c r="S272" s="4" t="s">
        <v>65</v>
      </c>
      <c r="T272" s="4" t="s">
        <v>93</v>
      </c>
      <c r="U272" s="6" t="s">
        <v>1292</v>
      </c>
      <c r="V272" s="4" t="s">
        <v>73</v>
      </c>
      <c r="W272" s="4">
        <f t="shared" si="4"/>
        <v>4</v>
      </c>
    </row>
    <row r="273" spans="1:23">
      <c r="A273" s="7" t="s">
        <v>1293</v>
      </c>
      <c r="B273" s="8" t="s">
        <v>57</v>
      </c>
      <c r="C273" s="8" t="s">
        <v>226</v>
      </c>
      <c r="D273" s="32" t="s">
        <v>1294</v>
      </c>
      <c r="E273" s="8" t="s">
        <v>969</v>
      </c>
      <c r="F273" s="4" t="str">
        <f>PROPER(TRIM(Sales_data!F273))</f>
        <v>Kavya Nair</v>
      </c>
      <c r="G273" s="8" t="s">
        <v>32</v>
      </c>
      <c r="H273" s="70" t="s">
        <v>1295</v>
      </c>
      <c r="I273" s="8" t="s">
        <v>118</v>
      </c>
      <c r="J273" s="4" t="str">
        <f>PROPER(Sales_data!J273)</f>
        <v>West</v>
      </c>
      <c r="K273" s="4" t="str">
        <f>PROPER(Sales_data!K273)</f>
        <v>Stationery</v>
      </c>
      <c r="L273" s="8" t="s">
        <v>231</v>
      </c>
      <c r="M273" s="66">
        <v>5</v>
      </c>
      <c r="N273" s="8">
        <v>20</v>
      </c>
      <c r="O273" s="8">
        <v>5</v>
      </c>
      <c r="P273" s="8">
        <v>95</v>
      </c>
      <c r="Q273" s="8">
        <v>2</v>
      </c>
      <c r="R273" s="67" t="s">
        <v>52</v>
      </c>
      <c r="S273" s="8" t="s">
        <v>53</v>
      </c>
      <c r="T273" s="8" t="s">
        <v>66</v>
      </c>
      <c r="U273" s="9" t="s">
        <v>1296</v>
      </c>
      <c r="V273" s="8" t="s">
        <v>68</v>
      </c>
      <c r="W273" s="4">
        <f t="shared" si="4"/>
        <v>6</v>
      </c>
    </row>
    <row r="274" spans="1:23">
      <c r="A274" s="3" t="s">
        <v>1297</v>
      </c>
      <c r="B274" s="4" t="s">
        <v>225</v>
      </c>
      <c r="C274" s="4" t="s">
        <v>226</v>
      </c>
      <c r="D274" s="31" t="s">
        <v>1298</v>
      </c>
      <c r="E274" s="4" t="s">
        <v>1021</v>
      </c>
      <c r="F274" s="4" t="str">
        <f>PROPER(TRIM(Sales_data!F274))</f>
        <v>Arjun Rao</v>
      </c>
      <c r="G274" s="4" t="s">
        <v>80</v>
      </c>
      <c r="H274" s="69" t="s">
        <v>1299</v>
      </c>
      <c r="I274" s="4" t="s">
        <v>298</v>
      </c>
      <c r="J274" s="4" t="str">
        <f>PROPER(Sales_data!J274)</f>
        <v>North</v>
      </c>
      <c r="K274" s="4" t="str">
        <f>PROPER(Sales_data!K274)</f>
        <v>Stationery</v>
      </c>
      <c r="L274" s="4" t="s">
        <v>231</v>
      </c>
      <c r="M274" s="66">
        <v>19</v>
      </c>
      <c r="N274" s="4">
        <v>20</v>
      </c>
      <c r="O274" s="4">
        <v>20</v>
      </c>
      <c r="P274" s="4">
        <v>304</v>
      </c>
      <c r="Q274" s="4">
        <v>3</v>
      </c>
      <c r="R274" s="67" t="s">
        <v>38</v>
      </c>
      <c r="S274" s="4" t="s">
        <v>39</v>
      </c>
      <c r="T274" s="4" t="s">
        <v>232</v>
      </c>
      <c r="U274" s="6" t="s">
        <v>1300</v>
      </c>
      <c r="V274" s="4" t="s">
        <v>73</v>
      </c>
      <c r="W274" s="4">
        <f t="shared" si="4"/>
        <v>5</v>
      </c>
    </row>
    <row r="275" spans="1:23">
      <c r="A275" s="7" t="s">
        <v>1301</v>
      </c>
      <c r="B275" s="8" t="s">
        <v>104</v>
      </c>
      <c r="C275" s="8" t="s">
        <v>263</v>
      </c>
      <c r="D275" s="32" t="s">
        <v>1302</v>
      </c>
      <c r="E275" s="8" t="s">
        <v>370</v>
      </c>
      <c r="F275" s="4" t="str">
        <f>PROPER(TRIM(Sales_data!F275))</f>
        <v>Pooja Shah</v>
      </c>
      <c r="G275" s="8" t="s">
        <v>32</v>
      </c>
      <c r="H275" s="70" t="s">
        <v>1303</v>
      </c>
      <c r="I275" s="8" t="s">
        <v>142</v>
      </c>
      <c r="J275" s="4" t="str">
        <f>PROPER(Sales_data!J275)</f>
        <v>West</v>
      </c>
      <c r="K275" s="4" t="str">
        <f>PROPER(Sales_data!K275)</f>
        <v>Stationery</v>
      </c>
      <c r="L275" s="8" t="s">
        <v>267</v>
      </c>
      <c r="M275" s="66">
        <v>17</v>
      </c>
      <c r="N275" s="8">
        <v>45</v>
      </c>
      <c r="O275" s="8">
        <v>5</v>
      </c>
      <c r="P275" s="8">
        <v>726.75</v>
      </c>
      <c r="Q275" s="8">
        <v>4</v>
      </c>
      <c r="R275" s="67" t="s">
        <v>38</v>
      </c>
      <c r="S275" s="8" t="s">
        <v>119</v>
      </c>
      <c r="T275" s="8" t="s">
        <v>148</v>
      </c>
      <c r="U275" s="9" t="s">
        <v>1304</v>
      </c>
      <c r="V275" s="8" t="s">
        <v>68</v>
      </c>
      <c r="W275" s="4">
        <f t="shared" si="4"/>
        <v>3</v>
      </c>
    </row>
    <row r="276" spans="1:23">
      <c r="A276" s="3" t="s">
        <v>1305</v>
      </c>
      <c r="B276" s="4" t="s">
        <v>87</v>
      </c>
      <c r="C276" s="4" t="s">
        <v>188</v>
      </c>
      <c r="D276" s="31" t="s">
        <v>1306</v>
      </c>
      <c r="E276" s="4" t="s">
        <v>174</v>
      </c>
      <c r="F276" s="4" t="str">
        <f>PROPER(TRIM(Sales_data!F276))</f>
        <v>Vikas Mehta</v>
      </c>
      <c r="G276" s="4" t="s">
        <v>80</v>
      </c>
      <c r="H276" s="69" t="s">
        <v>1307</v>
      </c>
      <c r="I276" s="4" t="s">
        <v>63</v>
      </c>
      <c r="J276" s="4" t="str">
        <f>PROPER(Sales_data!J276)</f>
        <v>East</v>
      </c>
      <c r="K276" s="4" t="str">
        <f>PROPER(Sales_data!K276)</f>
        <v>Stationery</v>
      </c>
      <c r="L276" s="4" t="s">
        <v>193</v>
      </c>
      <c r="M276" s="66">
        <v>8</v>
      </c>
      <c r="N276" s="4">
        <v>700</v>
      </c>
      <c r="O276" s="4">
        <v>15</v>
      </c>
      <c r="P276" s="4">
        <v>4760</v>
      </c>
      <c r="Q276" s="4">
        <v>4</v>
      </c>
      <c r="R276" s="67" t="s">
        <v>52</v>
      </c>
      <c r="S276" s="4" t="s">
        <v>39</v>
      </c>
      <c r="T276" s="4" t="s">
        <v>93</v>
      </c>
      <c r="U276" s="6" t="s">
        <v>1308</v>
      </c>
      <c r="V276" s="4" t="s">
        <v>68</v>
      </c>
      <c r="W276" s="4">
        <f t="shared" si="4"/>
        <v>2</v>
      </c>
    </row>
    <row r="277" spans="1:23">
      <c r="A277" s="7" t="s">
        <v>1309</v>
      </c>
      <c r="B277" s="8" t="s">
        <v>172</v>
      </c>
      <c r="C277" s="8" t="s">
        <v>28</v>
      </c>
      <c r="D277" s="32" t="s">
        <v>1310</v>
      </c>
      <c r="E277" s="8" t="s">
        <v>1311</v>
      </c>
      <c r="F277" s="4" t="str">
        <f>PROPER(TRIM(Sales_data!F277))</f>
        <v>Priya Patel</v>
      </c>
      <c r="G277" s="8" t="s">
        <v>32</v>
      </c>
      <c r="H277" s="70" t="s">
        <v>1312</v>
      </c>
      <c r="I277" s="8" t="s">
        <v>109</v>
      </c>
      <c r="J277" s="4" t="str">
        <f>PROPER(Sales_data!J277)</f>
        <v>West</v>
      </c>
      <c r="K277" s="4" t="str">
        <f>PROPER(Sales_data!K277)</f>
        <v>Stationery</v>
      </c>
      <c r="L277" s="8" t="s">
        <v>37</v>
      </c>
      <c r="M277" s="66">
        <v>15</v>
      </c>
      <c r="N277" s="8">
        <v>2200</v>
      </c>
      <c r="O277" s="8">
        <v>10</v>
      </c>
      <c r="P277" s="8">
        <v>29700</v>
      </c>
      <c r="Q277" s="8">
        <v>5</v>
      </c>
      <c r="R277" s="67" t="s">
        <v>92</v>
      </c>
      <c r="S277" s="8" t="s">
        <v>155</v>
      </c>
      <c r="T277" s="8" t="s">
        <v>179</v>
      </c>
      <c r="U277" s="9" t="s">
        <v>1313</v>
      </c>
      <c r="V277" s="8" t="s">
        <v>42</v>
      </c>
      <c r="W277" s="4">
        <f t="shared" si="4"/>
        <v>1</v>
      </c>
    </row>
    <row r="278" spans="1:23">
      <c r="A278" s="3" t="s">
        <v>1314</v>
      </c>
      <c r="B278" s="4" t="s">
        <v>104</v>
      </c>
      <c r="C278" s="4" t="s">
        <v>28</v>
      </c>
      <c r="D278" s="31" t="s">
        <v>864</v>
      </c>
      <c r="E278" s="4" t="s">
        <v>1315</v>
      </c>
      <c r="F278" s="4" t="str">
        <f>PROPER(TRIM(Sales_data!F278))</f>
        <v>Arjun Rao</v>
      </c>
      <c r="G278" s="4" t="s">
        <v>32</v>
      </c>
      <c r="H278" s="69" t="s">
        <v>1316</v>
      </c>
      <c r="I278" s="4" t="s">
        <v>109</v>
      </c>
      <c r="J278" s="4" t="str">
        <f>PROPER(Sales_data!J278)</f>
        <v>South</v>
      </c>
      <c r="K278" s="4" t="str">
        <f>PROPER(Sales_data!K278)</f>
        <v>Electronics</v>
      </c>
      <c r="L278" s="4" t="s">
        <v>37</v>
      </c>
      <c r="M278" s="66">
        <v>1</v>
      </c>
      <c r="N278" s="4">
        <v>2200</v>
      </c>
      <c r="O278" s="4">
        <v>0</v>
      </c>
      <c r="P278" s="4">
        <v>2200</v>
      </c>
      <c r="Q278" s="4">
        <v>4</v>
      </c>
      <c r="R278" s="67" t="s">
        <v>38</v>
      </c>
      <c r="S278" s="4" t="s">
        <v>53</v>
      </c>
      <c r="T278" s="4" t="s">
        <v>148</v>
      </c>
      <c r="U278" s="6" t="s">
        <v>1317</v>
      </c>
      <c r="V278" s="4" t="s">
        <v>73</v>
      </c>
      <c r="W278" s="4">
        <f t="shared" si="4"/>
        <v>9</v>
      </c>
    </row>
    <row r="279" spans="1:23">
      <c r="A279" s="7" t="s">
        <v>1318</v>
      </c>
      <c r="B279" s="8" t="s">
        <v>255</v>
      </c>
      <c r="C279" s="8" t="s">
        <v>96</v>
      </c>
      <c r="D279" s="32" t="s">
        <v>876</v>
      </c>
      <c r="E279" s="8" t="s">
        <v>1319</v>
      </c>
      <c r="F279" s="4" t="str">
        <f>PROPER(TRIM(Sales_data!F279))</f>
        <v>Anita Gupta</v>
      </c>
      <c r="G279" s="8" t="s">
        <v>32</v>
      </c>
      <c r="H279" s="70" t="s">
        <v>1320</v>
      </c>
      <c r="I279" s="8" t="s">
        <v>142</v>
      </c>
      <c r="J279" s="4" t="str">
        <f>PROPER(Sales_data!J279)</f>
        <v>West</v>
      </c>
      <c r="K279" s="4" t="str">
        <f>PROPER(Sales_data!K279)</f>
        <v>Home Appliances</v>
      </c>
      <c r="L279" s="8" t="s">
        <v>101</v>
      </c>
      <c r="M279" s="66">
        <v>10</v>
      </c>
      <c r="N279" s="8">
        <v>3500</v>
      </c>
      <c r="O279" s="8">
        <v>10</v>
      </c>
      <c r="P279" s="8">
        <v>31500</v>
      </c>
      <c r="Q279" s="8">
        <v>4</v>
      </c>
      <c r="R279" s="67" t="s">
        <v>52</v>
      </c>
      <c r="S279" s="8" t="s">
        <v>39</v>
      </c>
      <c r="T279" s="8" t="s">
        <v>260</v>
      </c>
      <c r="U279" s="9" t="s">
        <v>1321</v>
      </c>
      <c r="V279" s="8" t="s">
        <v>73</v>
      </c>
      <c r="W279" s="4">
        <f t="shared" si="4"/>
        <v>6</v>
      </c>
    </row>
    <row r="280" spans="1:23">
      <c r="A280" s="3" t="s">
        <v>1322</v>
      </c>
      <c r="B280" s="4" t="s">
        <v>75</v>
      </c>
      <c r="C280" s="4" t="s">
        <v>96</v>
      </c>
      <c r="D280" s="31" t="s">
        <v>1323</v>
      </c>
      <c r="E280" s="4" t="s">
        <v>1324</v>
      </c>
      <c r="F280" s="4" t="str">
        <f>PROPER(TRIM(Sales_data!F280))</f>
        <v>Priya Patel</v>
      </c>
      <c r="G280" s="4" t="s">
        <v>80</v>
      </c>
      <c r="H280" s="69" t="s">
        <v>1325</v>
      </c>
      <c r="I280" s="4" t="s">
        <v>216</v>
      </c>
      <c r="J280" s="4" t="str">
        <f>PROPER(Sales_data!J280)</f>
        <v>West</v>
      </c>
      <c r="K280" s="4" t="str">
        <f>PROPER(Sales_data!K280)</f>
        <v>Home Appliances</v>
      </c>
      <c r="L280" s="4" t="s">
        <v>101</v>
      </c>
      <c r="M280" s="66">
        <v>16</v>
      </c>
      <c r="N280" s="4">
        <v>3500</v>
      </c>
      <c r="O280" s="4">
        <v>15</v>
      </c>
      <c r="P280" s="4">
        <v>47600</v>
      </c>
      <c r="Q280" s="4">
        <v>1</v>
      </c>
      <c r="R280" s="67" t="s">
        <v>83</v>
      </c>
      <c r="S280" s="4" t="s">
        <v>119</v>
      </c>
      <c r="T280" s="4" t="s">
        <v>84</v>
      </c>
      <c r="U280" s="6" t="s">
        <v>1326</v>
      </c>
      <c r="V280" s="4" t="s">
        <v>68</v>
      </c>
      <c r="W280" s="4">
        <f t="shared" si="4"/>
        <v>5</v>
      </c>
    </row>
    <row r="281" spans="1:23">
      <c r="A281" s="7" t="s">
        <v>1327</v>
      </c>
      <c r="B281" s="8" t="s">
        <v>255</v>
      </c>
      <c r="C281" s="8" t="s">
        <v>44</v>
      </c>
      <c r="D281" s="32" t="s">
        <v>1328</v>
      </c>
      <c r="E281" s="8" t="s">
        <v>29</v>
      </c>
      <c r="F281" s="4" t="str">
        <f>PROPER(TRIM(Sales_data!F281))</f>
        <v>Sneha Joshi</v>
      </c>
      <c r="G281" s="8" t="s">
        <v>32</v>
      </c>
      <c r="H281" s="70" t="s">
        <v>1329</v>
      </c>
      <c r="I281" s="8" t="s">
        <v>216</v>
      </c>
      <c r="J281" s="4" t="str">
        <f>PROPER(Sales_data!J281)</f>
        <v>West</v>
      </c>
      <c r="K281" s="4" t="str">
        <f>PROPER(Sales_data!K281)</f>
        <v>Home Appliances</v>
      </c>
      <c r="L281" s="8" t="s">
        <v>51</v>
      </c>
      <c r="M281" s="66">
        <v>1</v>
      </c>
      <c r="N281" s="8">
        <v>12000</v>
      </c>
      <c r="O281" s="8">
        <v>0</v>
      </c>
      <c r="P281" s="8">
        <v>12000</v>
      </c>
      <c r="Q281" s="8">
        <v>4</v>
      </c>
      <c r="R281" s="67" t="s">
        <v>52</v>
      </c>
      <c r="S281" s="8" t="s">
        <v>119</v>
      </c>
      <c r="T281" s="8" t="s">
        <v>260</v>
      </c>
      <c r="U281" s="9" t="s">
        <v>1330</v>
      </c>
      <c r="V281" s="8" t="s">
        <v>73</v>
      </c>
      <c r="W281" s="4">
        <f t="shared" si="4"/>
        <v>9</v>
      </c>
    </row>
    <row r="282" spans="1:23">
      <c r="A282" s="3" t="s">
        <v>1331</v>
      </c>
      <c r="B282" s="4" t="s">
        <v>87</v>
      </c>
      <c r="C282" s="4" t="s">
        <v>188</v>
      </c>
      <c r="D282" s="31" t="s">
        <v>1332</v>
      </c>
      <c r="E282" s="4" t="s">
        <v>610</v>
      </c>
      <c r="F282" s="4" t="str">
        <f>PROPER(TRIM(Sales_data!F282))</f>
        <v>Mohit Verma</v>
      </c>
      <c r="G282" s="4" t="s">
        <v>80</v>
      </c>
      <c r="H282" s="69" t="s">
        <v>1333</v>
      </c>
      <c r="I282" s="4" t="s">
        <v>109</v>
      </c>
      <c r="J282" s="4" t="str">
        <f>PROPER(Sales_data!J282)</f>
        <v>North</v>
      </c>
      <c r="K282" s="4" t="str">
        <f>PROPER(Sales_data!K282)</f>
        <v>Home Appliances</v>
      </c>
      <c r="L282" s="4" t="s">
        <v>193</v>
      </c>
      <c r="M282" s="66">
        <v>6</v>
      </c>
      <c r="N282" s="4">
        <v>700</v>
      </c>
      <c r="O282" s="4">
        <v>20</v>
      </c>
      <c r="P282" s="4">
        <v>3360</v>
      </c>
      <c r="Q282" s="4">
        <v>2</v>
      </c>
      <c r="R282" s="67" t="s">
        <v>52</v>
      </c>
      <c r="S282" s="4" t="s">
        <v>119</v>
      </c>
      <c r="T282" s="4" t="s">
        <v>93</v>
      </c>
      <c r="U282" s="6" t="s">
        <v>1334</v>
      </c>
      <c r="V282" s="4" t="s">
        <v>68</v>
      </c>
      <c r="W282" s="4">
        <f t="shared" si="4"/>
        <v>4</v>
      </c>
    </row>
    <row r="283" spans="1:23">
      <c r="A283" s="7" t="s">
        <v>1335</v>
      </c>
      <c r="B283" s="8" t="s">
        <v>75</v>
      </c>
      <c r="C283" s="8" t="s">
        <v>28</v>
      </c>
      <c r="D283" s="32" t="s">
        <v>927</v>
      </c>
      <c r="E283" s="8" t="s">
        <v>1336</v>
      </c>
      <c r="F283" s="4" t="str">
        <f>PROPER(TRIM(Sales_data!F283))</f>
        <v>Sneha Joshi</v>
      </c>
      <c r="G283" s="8" t="s">
        <v>80</v>
      </c>
      <c r="H283" s="70" t="s">
        <v>1337</v>
      </c>
      <c r="I283" s="8" t="s">
        <v>142</v>
      </c>
      <c r="J283" s="4" t="str">
        <f>PROPER(Sales_data!J283)</f>
        <v>North</v>
      </c>
      <c r="K283" s="4" t="str">
        <f>PROPER(Sales_data!K283)</f>
        <v>Electronics</v>
      </c>
      <c r="L283" s="8" t="s">
        <v>37</v>
      </c>
      <c r="M283" s="66">
        <v>3</v>
      </c>
      <c r="N283" s="8">
        <v>2200</v>
      </c>
      <c r="O283" s="8">
        <v>0</v>
      </c>
      <c r="P283" s="8">
        <v>6600</v>
      </c>
      <c r="Q283" s="8">
        <v>4</v>
      </c>
      <c r="R283" s="67" t="s">
        <v>83</v>
      </c>
      <c r="S283" s="8" t="s">
        <v>39</v>
      </c>
      <c r="T283" s="8" t="s">
        <v>84</v>
      </c>
      <c r="U283" s="9" t="s">
        <v>1338</v>
      </c>
      <c r="V283" s="8" t="s">
        <v>42</v>
      </c>
      <c r="W283" s="4">
        <f t="shared" si="4"/>
        <v>2</v>
      </c>
    </row>
    <row r="284" spans="1:23">
      <c r="A284" s="3" t="s">
        <v>1339</v>
      </c>
      <c r="B284" s="4" t="s">
        <v>255</v>
      </c>
      <c r="C284" s="4" t="s">
        <v>263</v>
      </c>
      <c r="D284" s="31" t="s">
        <v>1202</v>
      </c>
      <c r="E284" s="4" t="s">
        <v>220</v>
      </c>
      <c r="F284" s="4" t="str">
        <f>PROPER(TRIM(Sales_data!F284))</f>
        <v>Arjun Rao</v>
      </c>
      <c r="G284" s="4" t="s">
        <v>32</v>
      </c>
      <c r="H284" s="69" t="s">
        <v>1340</v>
      </c>
      <c r="I284" s="4" t="s">
        <v>34</v>
      </c>
      <c r="J284" s="4" t="str">
        <f>PROPER(Sales_data!J284)</f>
        <v>West</v>
      </c>
      <c r="K284" s="4" t="str">
        <f>PROPER(Sales_data!K284)</f>
        <v>Electronics</v>
      </c>
      <c r="L284" s="4" t="s">
        <v>267</v>
      </c>
      <c r="M284" s="66">
        <v>6</v>
      </c>
      <c r="N284" s="4">
        <v>45</v>
      </c>
      <c r="O284" s="4">
        <v>15</v>
      </c>
      <c r="P284" s="4">
        <v>229.5</v>
      </c>
      <c r="Q284" s="4">
        <v>1</v>
      </c>
      <c r="R284" s="67" t="s">
        <v>92</v>
      </c>
      <c r="S284" s="4" t="s">
        <v>53</v>
      </c>
      <c r="T284" s="4" t="s">
        <v>260</v>
      </c>
      <c r="U284" s="6" t="s">
        <v>1341</v>
      </c>
      <c r="V284" s="4" t="s">
        <v>42</v>
      </c>
      <c r="W284" s="4">
        <f t="shared" si="4"/>
        <v>12</v>
      </c>
    </row>
    <row r="285" spans="1:23">
      <c r="A285" s="7" t="s">
        <v>1342</v>
      </c>
      <c r="B285" s="8" t="s">
        <v>255</v>
      </c>
      <c r="C285" s="8" t="s">
        <v>76</v>
      </c>
      <c r="D285" s="32" t="s">
        <v>30</v>
      </c>
      <c r="E285" s="8" t="s">
        <v>1343</v>
      </c>
      <c r="F285" s="4" t="str">
        <f>PROPER(TRIM(Sales_data!F285))</f>
        <v>Mohit Verma</v>
      </c>
      <c r="G285" s="8" t="s">
        <v>32</v>
      </c>
      <c r="H285" s="70" t="s">
        <v>1344</v>
      </c>
      <c r="I285" s="8" t="s">
        <v>63</v>
      </c>
      <c r="J285" s="4" t="str">
        <f>PROPER(Sales_data!J285)</f>
        <v>West</v>
      </c>
      <c r="K285" s="4" t="str">
        <f>PROPER(Sales_data!K285)</f>
        <v>Home Appliances</v>
      </c>
      <c r="L285" s="8" t="s">
        <v>82</v>
      </c>
      <c r="M285" s="66">
        <v>2</v>
      </c>
      <c r="N285" s="8">
        <v>1200</v>
      </c>
      <c r="O285" s="8">
        <v>0</v>
      </c>
      <c r="P285" s="8">
        <v>2400</v>
      </c>
      <c r="Q285" s="8">
        <v>1</v>
      </c>
      <c r="R285" s="67" t="s">
        <v>38</v>
      </c>
      <c r="S285" s="8" t="s">
        <v>155</v>
      </c>
      <c r="T285" s="8" t="s">
        <v>260</v>
      </c>
      <c r="U285" s="9" t="s">
        <v>1345</v>
      </c>
      <c r="V285" s="8" t="s">
        <v>73</v>
      </c>
      <c r="W285" s="4">
        <f t="shared" si="4"/>
        <v>9</v>
      </c>
    </row>
    <row r="286" spans="1:23">
      <c r="A286" s="3" t="s">
        <v>1346</v>
      </c>
      <c r="B286" s="4" t="s">
        <v>172</v>
      </c>
      <c r="C286" s="4" t="s">
        <v>188</v>
      </c>
      <c r="D286" s="31" t="s">
        <v>1347</v>
      </c>
      <c r="E286" s="4" t="s">
        <v>1348</v>
      </c>
      <c r="F286" s="4" t="str">
        <f>PROPER(TRIM(Sales_data!F286))</f>
        <v>Sneha Joshi</v>
      </c>
      <c r="G286" s="4" t="s">
        <v>32</v>
      </c>
      <c r="H286" s="69" t="s">
        <v>1349</v>
      </c>
      <c r="I286" s="4" t="s">
        <v>34</v>
      </c>
      <c r="J286" s="4" t="str">
        <f>PROPER(Sales_data!J286)</f>
        <v>South</v>
      </c>
      <c r="K286" s="4" t="str">
        <f>PROPER(Sales_data!K286)</f>
        <v>Stationery</v>
      </c>
      <c r="L286" s="4" t="s">
        <v>193</v>
      </c>
      <c r="M286" s="66">
        <v>14</v>
      </c>
      <c r="N286" s="4">
        <v>700</v>
      </c>
      <c r="O286" s="4">
        <v>15</v>
      </c>
      <c r="P286" s="4">
        <v>8330</v>
      </c>
      <c r="Q286" s="4">
        <v>5</v>
      </c>
      <c r="R286" s="67" t="s">
        <v>38</v>
      </c>
      <c r="S286" s="4" t="s">
        <v>119</v>
      </c>
      <c r="T286" s="4" t="s">
        <v>179</v>
      </c>
      <c r="U286" s="6" t="s">
        <v>1350</v>
      </c>
      <c r="V286" s="4" t="s">
        <v>68</v>
      </c>
      <c r="W286" s="4">
        <f t="shared" si="4"/>
        <v>5</v>
      </c>
    </row>
    <row r="287" spans="1:23">
      <c r="A287" s="7" t="s">
        <v>1351</v>
      </c>
      <c r="B287" s="8" t="s">
        <v>104</v>
      </c>
      <c r="C287" s="8" t="s">
        <v>226</v>
      </c>
      <c r="D287" s="32" t="s">
        <v>295</v>
      </c>
      <c r="E287" s="8" t="s">
        <v>511</v>
      </c>
      <c r="F287" s="4" t="str">
        <f>PROPER(TRIM(Sales_data!F287))</f>
        <v>Sneha Joshi</v>
      </c>
      <c r="G287" s="8" t="s">
        <v>32</v>
      </c>
      <c r="H287" s="70" t="s">
        <v>1352</v>
      </c>
      <c r="I287" s="8" t="s">
        <v>109</v>
      </c>
      <c r="J287" s="4" t="str">
        <f>PROPER(Sales_data!J287)</f>
        <v>South</v>
      </c>
      <c r="K287" s="4" t="str">
        <f>PROPER(Sales_data!K287)</f>
        <v>Electronics</v>
      </c>
      <c r="L287" s="8" t="s">
        <v>231</v>
      </c>
      <c r="M287" s="66">
        <v>13</v>
      </c>
      <c r="N287" s="8">
        <v>20</v>
      </c>
      <c r="O287" s="8">
        <v>5</v>
      </c>
      <c r="P287" s="8">
        <v>247</v>
      </c>
      <c r="Q287" s="8">
        <v>1</v>
      </c>
      <c r="R287" s="67" t="s">
        <v>83</v>
      </c>
      <c r="S287" s="8" t="s">
        <v>39</v>
      </c>
      <c r="T287" s="8" t="s">
        <v>1353</v>
      </c>
      <c r="U287" s="9" t="s">
        <v>1354</v>
      </c>
      <c r="V287" s="8" t="s">
        <v>68</v>
      </c>
      <c r="W287" s="4">
        <f t="shared" si="4"/>
        <v>11</v>
      </c>
    </row>
    <row r="288" spans="1:23">
      <c r="A288" s="3" t="s">
        <v>1355</v>
      </c>
      <c r="B288" s="4" t="s">
        <v>75</v>
      </c>
      <c r="C288" s="4" t="s">
        <v>28</v>
      </c>
      <c r="D288" s="31" t="s">
        <v>139</v>
      </c>
      <c r="E288" s="4" t="s">
        <v>140</v>
      </c>
      <c r="F288" s="4" t="str">
        <f>PROPER(TRIM(Sales_data!F288))</f>
        <v>Anita Gupta</v>
      </c>
      <c r="G288" s="4" t="s">
        <v>80</v>
      </c>
      <c r="H288" s="69" t="s">
        <v>1356</v>
      </c>
      <c r="I288" s="4" t="s">
        <v>118</v>
      </c>
      <c r="J288" s="4" t="str">
        <f>PROPER(Sales_data!J288)</f>
        <v>South</v>
      </c>
      <c r="K288" s="4" t="str">
        <f>PROPER(Sales_data!K288)</f>
        <v>Electronics</v>
      </c>
      <c r="L288" s="4" t="s">
        <v>37</v>
      </c>
      <c r="M288" s="66">
        <v>3</v>
      </c>
      <c r="N288" s="4">
        <v>2200</v>
      </c>
      <c r="O288" s="4">
        <v>0</v>
      </c>
      <c r="P288" s="4">
        <v>6600</v>
      </c>
      <c r="Q288" s="4">
        <v>4</v>
      </c>
      <c r="R288" s="67" t="s">
        <v>52</v>
      </c>
      <c r="S288" s="4" t="s">
        <v>65</v>
      </c>
      <c r="T288" s="4" t="s">
        <v>84</v>
      </c>
      <c r="U288" s="6" t="s">
        <v>1357</v>
      </c>
      <c r="V288" s="4" t="s">
        <v>73</v>
      </c>
      <c r="W288" s="4">
        <f t="shared" si="4"/>
        <v>3</v>
      </c>
    </row>
    <row r="289" spans="1:23">
      <c r="A289" s="7" t="s">
        <v>1358</v>
      </c>
      <c r="B289" s="8" t="s">
        <v>75</v>
      </c>
      <c r="C289" s="8" t="s">
        <v>122</v>
      </c>
      <c r="D289" s="32" t="s">
        <v>454</v>
      </c>
      <c r="E289" s="8" t="s">
        <v>927</v>
      </c>
      <c r="F289" s="4" t="str">
        <f>PROPER(TRIM(Sales_data!F289))</f>
        <v>Priya Patel</v>
      </c>
      <c r="G289" s="8" t="s">
        <v>80</v>
      </c>
      <c r="H289" s="70" t="s">
        <v>1359</v>
      </c>
      <c r="I289" s="8" t="s">
        <v>118</v>
      </c>
      <c r="J289" s="4" t="str">
        <f>PROPER(Sales_data!J289)</f>
        <v>West</v>
      </c>
      <c r="K289" s="4" t="str">
        <f>PROPER(Sales_data!K289)</f>
        <v>Stationery</v>
      </c>
      <c r="L289" s="8" t="s">
        <v>127</v>
      </c>
      <c r="M289" s="66">
        <v>3</v>
      </c>
      <c r="N289" s="8">
        <v>60</v>
      </c>
      <c r="O289" s="8">
        <v>15</v>
      </c>
      <c r="P289" s="8">
        <v>153</v>
      </c>
      <c r="Q289" s="8">
        <v>4</v>
      </c>
      <c r="R289" s="67" t="s">
        <v>92</v>
      </c>
      <c r="S289" s="8" t="s">
        <v>119</v>
      </c>
      <c r="T289" s="8" t="s">
        <v>84</v>
      </c>
      <c r="U289" s="9" t="s">
        <v>1360</v>
      </c>
      <c r="V289" s="8" t="s">
        <v>42</v>
      </c>
      <c r="W289" s="4">
        <f t="shared" si="4"/>
        <v>2</v>
      </c>
    </row>
    <row r="290" spans="1:23">
      <c r="A290" s="3" t="s">
        <v>1361</v>
      </c>
      <c r="B290" s="4" t="s">
        <v>131</v>
      </c>
      <c r="C290" s="4" t="s">
        <v>96</v>
      </c>
      <c r="D290" s="31" t="s">
        <v>628</v>
      </c>
      <c r="E290" s="4" t="s">
        <v>829</v>
      </c>
      <c r="F290" s="4" t="str">
        <f>PROPER(TRIM(Sales_data!F290))</f>
        <v>Mohit Verma</v>
      </c>
      <c r="G290" s="4" t="s">
        <v>80</v>
      </c>
      <c r="H290" s="69" t="s">
        <v>588</v>
      </c>
      <c r="I290" s="4" t="s">
        <v>109</v>
      </c>
      <c r="J290" s="4" t="str">
        <f>PROPER(Sales_data!J290)</f>
        <v>West</v>
      </c>
      <c r="K290" s="4" t="str">
        <f>PROPER(Sales_data!K290)</f>
        <v>Home Appliances</v>
      </c>
      <c r="L290" s="4" t="s">
        <v>101</v>
      </c>
      <c r="M290" s="66">
        <v>9</v>
      </c>
      <c r="N290" s="4">
        <v>3500</v>
      </c>
      <c r="O290" s="4">
        <v>5</v>
      </c>
      <c r="P290" s="4">
        <v>29925</v>
      </c>
      <c r="Q290" s="4">
        <v>1</v>
      </c>
      <c r="R290" s="67" t="s">
        <v>38</v>
      </c>
      <c r="S290" s="4" t="s">
        <v>65</v>
      </c>
      <c r="T290" s="4" t="s">
        <v>136</v>
      </c>
      <c r="U290" s="6" t="s">
        <v>1362</v>
      </c>
      <c r="V290" s="4" t="s">
        <v>68</v>
      </c>
      <c r="W290" s="4">
        <f t="shared" si="4"/>
        <v>3</v>
      </c>
    </row>
    <row r="291" spans="1:23">
      <c r="A291" s="7" t="s">
        <v>1363</v>
      </c>
      <c r="B291" s="8" t="s">
        <v>331</v>
      </c>
      <c r="C291" s="8" t="s">
        <v>76</v>
      </c>
      <c r="D291" s="32" t="s">
        <v>124</v>
      </c>
      <c r="E291" s="8" t="s">
        <v>1364</v>
      </c>
      <c r="F291" s="4" t="str">
        <f>PROPER(TRIM(Sales_data!F291))</f>
        <v>Mohit Verma</v>
      </c>
      <c r="G291" s="8" t="s">
        <v>80</v>
      </c>
      <c r="H291" s="70" t="s">
        <v>1365</v>
      </c>
      <c r="I291" s="8" t="s">
        <v>216</v>
      </c>
      <c r="J291" s="4" t="str">
        <f>PROPER(Sales_data!J291)</f>
        <v>West</v>
      </c>
      <c r="K291" s="4" t="str">
        <f>PROPER(Sales_data!K291)</f>
        <v>Stationery</v>
      </c>
      <c r="L291" s="8" t="s">
        <v>82</v>
      </c>
      <c r="M291" s="66">
        <v>5</v>
      </c>
      <c r="N291" s="8">
        <v>1200</v>
      </c>
      <c r="O291" s="8">
        <v>20</v>
      </c>
      <c r="P291" s="8">
        <v>4800</v>
      </c>
      <c r="Q291" s="8">
        <v>2</v>
      </c>
      <c r="R291" s="67" t="s">
        <v>92</v>
      </c>
      <c r="S291" s="8" t="s">
        <v>119</v>
      </c>
      <c r="T291" s="8" t="s">
        <v>336</v>
      </c>
      <c r="U291" s="9" t="s">
        <v>1366</v>
      </c>
      <c r="V291" s="8" t="s">
        <v>68</v>
      </c>
      <c r="W291" s="4">
        <f t="shared" si="4"/>
        <v>3</v>
      </c>
    </row>
    <row r="292" spans="1:23">
      <c r="A292" s="3" t="s">
        <v>1367</v>
      </c>
      <c r="B292" s="4" t="s">
        <v>57</v>
      </c>
      <c r="C292" s="4" t="s">
        <v>76</v>
      </c>
      <c r="D292" s="31" t="s">
        <v>1035</v>
      </c>
      <c r="E292" s="4" t="s">
        <v>914</v>
      </c>
      <c r="F292" s="4" t="str">
        <f>PROPER(TRIM(Sales_data!F292))</f>
        <v>Rohit Singh</v>
      </c>
      <c r="G292" s="4" t="s">
        <v>32</v>
      </c>
      <c r="H292" s="69" t="s">
        <v>1368</v>
      </c>
      <c r="I292" s="4" t="s">
        <v>216</v>
      </c>
      <c r="J292" s="4" t="str">
        <f>PROPER(Sales_data!J292)</f>
        <v>West</v>
      </c>
      <c r="K292" s="4" t="str">
        <f>PROPER(Sales_data!K292)</f>
        <v>Home Appliances</v>
      </c>
      <c r="L292" s="4" t="s">
        <v>82</v>
      </c>
      <c r="M292" s="66">
        <v>10</v>
      </c>
      <c r="N292" s="4">
        <v>1200</v>
      </c>
      <c r="O292" s="4">
        <v>20</v>
      </c>
      <c r="P292" s="4">
        <v>9600</v>
      </c>
      <c r="Q292" s="4">
        <v>4</v>
      </c>
      <c r="R292" s="67" t="s">
        <v>38</v>
      </c>
      <c r="S292" s="4" t="s">
        <v>53</v>
      </c>
      <c r="T292" s="5" t="s">
        <v>1369</v>
      </c>
      <c r="U292" s="6" t="s">
        <v>1370</v>
      </c>
      <c r="V292" s="4" t="s">
        <v>42</v>
      </c>
      <c r="W292" s="4">
        <f t="shared" si="4"/>
        <v>3</v>
      </c>
    </row>
    <row r="293" spans="1:23">
      <c r="A293" s="7" t="s">
        <v>1371</v>
      </c>
      <c r="B293" s="8" t="s">
        <v>27</v>
      </c>
      <c r="C293" s="8" t="s">
        <v>76</v>
      </c>
      <c r="D293" s="32" t="s">
        <v>1372</v>
      </c>
      <c r="E293" s="8" t="s">
        <v>1373</v>
      </c>
      <c r="F293" s="4" t="str">
        <f>PROPER(TRIM(Sales_data!F293))</f>
        <v>Amit Sharma</v>
      </c>
      <c r="G293" s="8" t="s">
        <v>32</v>
      </c>
      <c r="H293" s="70" t="s">
        <v>1374</v>
      </c>
      <c r="I293" s="8" t="s">
        <v>142</v>
      </c>
      <c r="J293" s="4" t="str">
        <f>PROPER(Sales_data!J293)</f>
        <v>North</v>
      </c>
      <c r="K293" s="4" t="str">
        <f>PROPER(Sales_data!K293)</f>
        <v>Electronics</v>
      </c>
      <c r="L293" s="8" t="s">
        <v>82</v>
      </c>
      <c r="M293" s="66">
        <v>5</v>
      </c>
      <c r="N293" s="8">
        <v>1200</v>
      </c>
      <c r="O293" s="8">
        <v>20</v>
      </c>
      <c r="P293" s="8">
        <v>4800</v>
      </c>
      <c r="Q293" s="8">
        <v>3</v>
      </c>
      <c r="R293" s="67" t="s">
        <v>52</v>
      </c>
      <c r="S293" s="8" t="s">
        <v>155</v>
      </c>
      <c r="T293" s="8" t="s">
        <v>54</v>
      </c>
      <c r="U293" s="9" t="s">
        <v>1375</v>
      </c>
      <c r="V293" s="8" t="s">
        <v>42</v>
      </c>
      <c r="W293" s="4">
        <f t="shared" si="4"/>
        <v>2</v>
      </c>
    </row>
    <row r="294" spans="1:23">
      <c r="A294" s="3" t="s">
        <v>1376</v>
      </c>
      <c r="B294" s="4" t="s">
        <v>172</v>
      </c>
      <c r="C294" s="4" t="s">
        <v>226</v>
      </c>
      <c r="D294" s="31" t="s">
        <v>1377</v>
      </c>
      <c r="E294" s="4" t="s">
        <v>1378</v>
      </c>
      <c r="F294" s="4" t="str">
        <f>PROPER(TRIM(Sales_data!F294))</f>
        <v>Pooja Shah</v>
      </c>
      <c r="G294" s="4" t="s">
        <v>32</v>
      </c>
      <c r="H294" s="69" t="s">
        <v>1379</v>
      </c>
      <c r="I294" s="4" t="s">
        <v>109</v>
      </c>
      <c r="J294" s="4" t="str">
        <f>PROPER(Sales_data!J294)</f>
        <v>North</v>
      </c>
      <c r="K294" s="4" t="str">
        <f>PROPER(Sales_data!K294)</f>
        <v>Electronics</v>
      </c>
      <c r="L294" s="4" t="s">
        <v>231</v>
      </c>
      <c r="M294" s="66">
        <v>10</v>
      </c>
      <c r="N294" s="4">
        <v>20</v>
      </c>
      <c r="O294" s="4">
        <v>5</v>
      </c>
      <c r="P294" s="4">
        <v>190</v>
      </c>
      <c r="Q294" s="4">
        <v>4</v>
      </c>
      <c r="R294" s="67" t="s">
        <v>38</v>
      </c>
      <c r="S294" s="4" t="s">
        <v>155</v>
      </c>
      <c r="T294" s="4" t="s">
        <v>179</v>
      </c>
      <c r="U294" s="6" t="s">
        <v>1380</v>
      </c>
      <c r="V294" s="4" t="s">
        <v>68</v>
      </c>
      <c r="W294" s="4">
        <f t="shared" si="4"/>
        <v>2</v>
      </c>
    </row>
    <row r="295" spans="1:23">
      <c r="A295" s="7" t="s">
        <v>1381</v>
      </c>
      <c r="B295" s="8" t="s">
        <v>104</v>
      </c>
      <c r="C295" s="8" t="s">
        <v>122</v>
      </c>
      <c r="D295" s="32" t="s">
        <v>1382</v>
      </c>
      <c r="E295" s="8" t="s">
        <v>1383</v>
      </c>
      <c r="F295" s="4" t="str">
        <f>PROPER(TRIM(Sales_data!F295))</f>
        <v>Kavya Nair</v>
      </c>
      <c r="G295" s="8" t="s">
        <v>32</v>
      </c>
      <c r="H295" s="70" t="s">
        <v>1384</v>
      </c>
      <c r="I295" s="8" t="s">
        <v>48</v>
      </c>
      <c r="J295" s="4" t="str">
        <f>PROPER(Sales_data!J295)</f>
        <v>West</v>
      </c>
      <c r="K295" s="4" t="str">
        <f>PROPER(Sales_data!K295)</f>
        <v>Electronics</v>
      </c>
      <c r="L295" s="8" t="s">
        <v>127</v>
      </c>
      <c r="M295" s="66">
        <v>20</v>
      </c>
      <c r="N295" s="8">
        <v>60</v>
      </c>
      <c r="O295" s="8">
        <v>15</v>
      </c>
      <c r="P295" s="8">
        <v>1020</v>
      </c>
      <c r="Q295" s="8">
        <v>5</v>
      </c>
      <c r="R295" s="67" t="s">
        <v>83</v>
      </c>
      <c r="S295" s="8" t="s">
        <v>39</v>
      </c>
      <c r="T295" s="8" t="s">
        <v>148</v>
      </c>
      <c r="U295" s="9" t="s">
        <v>1385</v>
      </c>
      <c r="V295" s="8" t="s">
        <v>68</v>
      </c>
      <c r="W295" s="4">
        <f t="shared" si="4"/>
        <v>1</v>
      </c>
    </row>
    <row r="296" spans="1:23">
      <c r="A296" s="3" t="s">
        <v>1386</v>
      </c>
      <c r="B296" s="4" t="s">
        <v>331</v>
      </c>
      <c r="C296" s="4" t="s">
        <v>28</v>
      </c>
      <c r="D296" s="31" t="s">
        <v>1364</v>
      </c>
      <c r="E296" s="4" t="s">
        <v>581</v>
      </c>
      <c r="F296" s="4" t="str">
        <f>PROPER(TRIM(Sales_data!F296))</f>
        <v>Anita Gupta</v>
      </c>
      <c r="G296" s="4" t="s">
        <v>80</v>
      </c>
      <c r="H296" s="69" t="s">
        <v>1387</v>
      </c>
      <c r="I296" s="4" t="s">
        <v>142</v>
      </c>
      <c r="J296" s="4" t="str">
        <f>PROPER(Sales_data!J296)</f>
        <v>West</v>
      </c>
      <c r="K296" s="4" t="str">
        <f>PROPER(Sales_data!K296)</f>
        <v>Stationery</v>
      </c>
      <c r="L296" s="4" t="s">
        <v>37</v>
      </c>
      <c r="M296" s="66">
        <v>7</v>
      </c>
      <c r="N296" s="4">
        <v>2200</v>
      </c>
      <c r="O296" s="4">
        <v>15</v>
      </c>
      <c r="P296" s="4">
        <v>13090</v>
      </c>
      <c r="Q296" s="4">
        <v>4</v>
      </c>
      <c r="R296" s="67" t="s">
        <v>38</v>
      </c>
      <c r="S296" s="4" t="s">
        <v>65</v>
      </c>
      <c r="T296" s="4" t="s">
        <v>336</v>
      </c>
      <c r="U296" s="6" t="s">
        <v>1388</v>
      </c>
      <c r="V296" s="4" t="s">
        <v>73</v>
      </c>
      <c r="W296" s="4">
        <f t="shared" si="4"/>
        <v>4</v>
      </c>
    </row>
    <row r="297" spans="1:23">
      <c r="A297" s="7" t="s">
        <v>1389</v>
      </c>
      <c r="B297" s="8" t="s">
        <v>131</v>
      </c>
      <c r="C297" s="8" t="s">
        <v>58</v>
      </c>
      <c r="D297" s="32" t="s">
        <v>623</v>
      </c>
      <c r="E297" s="8" t="s">
        <v>764</v>
      </c>
      <c r="F297" s="4" t="str">
        <f>PROPER(TRIM(Sales_data!F297))</f>
        <v>Priya Patel</v>
      </c>
      <c r="G297" s="8" t="s">
        <v>80</v>
      </c>
      <c r="H297" s="70" t="s">
        <v>1390</v>
      </c>
      <c r="I297" s="8" t="s">
        <v>34</v>
      </c>
      <c r="J297" s="4" t="str">
        <f>PROPER(Sales_data!J297)</f>
        <v>North</v>
      </c>
      <c r="K297" s="4" t="str">
        <f>PROPER(Sales_data!K297)</f>
        <v>Stationery</v>
      </c>
      <c r="L297" s="8" t="s">
        <v>64</v>
      </c>
      <c r="M297" s="66">
        <v>11</v>
      </c>
      <c r="N297" s="8">
        <v>55000</v>
      </c>
      <c r="O297" s="8">
        <v>5</v>
      </c>
      <c r="P297" s="8">
        <v>574750</v>
      </c>
      <c r="Q297" s="8">
        <v>1</v>
      </c>
      <c r="R297" s="67" t="s">
        <v>92</v>
      </c>
      <c r="S297" s="8" t="s">
        <v>39</v>
      </c>
      <c r="T297" s="8" t="s">
        <v>136</v>
      </c>
      <c r="U297" s="9" t="s">
        <v>1391</v>
      </c>
      <c r="V297" s="8" t="s">
        <v>73</v>
      </c>
      <c r="W297" s="4">
        <f t="shared" si="4"/>
        <v>1</v>
      </c>
    </row>
    <row r="298" spans="1:23">
      <c r="A298" s="3" t="s">
        <v>1392</v>
      </c>
      <c r="B298" s="4" t="s">
        <v>87</v>
      </c>
      <c r="C298" s="4" t="s">
        <v>96</v>
      </c>
      <c r="D298" s="31" t="s">
        <v>312</v>
      </c>
      <c r="E298" s="4" t="s">
        <v>1393</v>
      </c>
      <c r="F298" s="4" t="str">
        <f>PROPER(TRIM(Sales_data!F298))</f>
        <v>Amit Sharma</v>
      </c>
      <c r="G298" s="4" t="s">
        <v>80</v>
      </c>
      <c r="H298" s="69" t="s">
        <v>1394</v>
      </c>
      <c r="I298" s="4" t="s">
        <v>216</v>
      </c>
      <c r="J298" s="4" t="str">
        <f>PROPER(Sales_data!J298)</f>
        <v>West</v>
      </c>
      <c r="K298" s="4" t="str">
        <f>PROPER(Sales_data!K298)</f>
        <v>Home Appliances</v>
      </c>
      <c r="L298" s="4" t="s">
        <v>101</v>
      </c>
      <c r="M298" s="66">
        <v>12</v>
      </c>
      <c r="N298" s="4">
        <v>3500</v>
      </c>
      <c r="O298" s="4">
        <v>0</v>
      </c>
      <c r="P298" s="4">
        <v>42000</v>
      </c>
      <c r="Q298" s="4">
        <v>2</v>
      </c>
      <c r="R298" s="67" t="s">
        <v>52</v>
      </c>
      <c r="S298" s="4" t="s">
        <v>2125</v>
      </c>
      <c r="T298" s="4" t="s">
        <v>93</v>
      </c>
      <c r="U298" s="6" t="s">
        <v>1395</v>
      </c>
      <c r="V298" s="4" t="s">
        <v>68</v>
      </c>
      <c r="W298" s="4">
        <f t="shared" si="4"/>
        <v>10</v>
      </c>
    </row>
    <row r="299" spans="1:23">
      <c r="A299" s="7" t="s">
        <v>1396</v>
      </c>
      <c r="B299" s="8" t="s">
        <v>75</v>
      </c>
      <c r="C299" s="8" t="s">
        <v>263</v>
      </c>
      <c r="D299" s="32" t="s">
        <v>98</v>
      </c>
      <c r="E299" s="8" t="s">
        <v>302</v>
      </c>
      <c r="F299" s="4" t="str">
        <f>PROPER(TRIM(Sales_data!F299))</f>
        <v>Rohit Singh</v>
      </c>
      <c r="G299" s="8" t="s">
        <v>80</v>
      </c>
      <c r="H299" s="70" t="s">
        <v>1397</v>
      </c>
      <c r="I299" s="8" t="s">
        <v>34</v>
      </c>
      <c r="J299" s="4" t="str">
        <f>PROPER(Sales_data!J299)</f>
        <v>South</v>
      </c>
      <c r="K299" s="4" t="str">
        <f>PROPER(Sales_data!K299)</f>
        <v>Electronics</v>
      </c>
      <c r="L299" s="8" t="s">
        <v>267</v>
      </c>
      <c r="M299" s="66">
        <v>15</v>
      </c>
      <c r="N299" s="8">
        <v>45</v>
      </c>
      <c r="O299" s="8">
        <v>10</v>
      </c>
      <c r="P299" s="8">
        <v>607.5</v>
      </c>
      <c r="Q299" s="8">
        <v>2</v>
      </c>
      <c r="R299" s="67" t="s">
        <v>38</v>
      </c>
      <c r="S299" s="8" t="s">
        <v>155</v>
      </c>
      <c r="T299" s="8" t="s">
        <v>84</v>
      </c>
      <c r="U299" s="9" t="s">
        <v>1398</v>
      </c>
      <c r="V299" s="8" t="s">
        <v>68</v>
      </c>
      <c r="W299" s="4">
        <f t="shared" si="4"/>
        <v>2</v>
      </c>
    </row>
    <row r="300" spans="1:23">
      <c r="A300" s="3" t="s">
        <v>1399</v>
      </c>
      <c r="B300" s="4" t="s">
        <v>331</v>
      </c>
      <c r="C300" s="4" t="s">
        <v>263</v>
      </c>
      <c r="D300" s="31" t="s">
        <v>1324</v>
      </c>
      <c r="E300" s="4" t="s">
        <v>940</v>
      </c>
      <c r="F300" s="4" t="str">
        <f>PROPER(TRIM(Sales_data!F300))</f>
        <v>Arjun Rao</v>
      </c>
      <c r="G300" s="4" t="s">
        <v>80</v>
      </c>
      <c r="H300" s="69" t="s">
        <v>1400</v>
      </c>
      <c r="I300" s="4" t="s">
        <v>63</v>
      </c>
      <c r="J300" s="4" t="str">
        <f>PROPER(Sales_data!J300)</f>
        <v>North</v>
      </c>
      <c r="K300" s="4" t="str">
        <f>PROPER(Sales_data!K300)</f>
        <v>Home Appliances</v>
      </c>
      <c r="L300" s="4" t="s">
        <v>267</v>
      </c>
      <c r="M300" s="66">
        <v>13</v>
      </c>
      <c r="N300" s="4">
        <v>45</v>
      </c>
      <c r="O300" s="4">
        <v>0</v>
      </c>
      <c r="P300" s="4">
        <v>585</v>
      </c>
      <c r="Q300" s="4">
        <v>5</v>
      </c>
      <c r="R300" s="67" t="s">
        <v>52</v>
      </c>
      <c r="S300" s="4" t="s">
        <v>53</v>
      </c>
      <c r="T300" s="4" t="s">
        <v>336</v>
      </c>
      <c r="U300" s="6" t="s">
        <v>1401</v>
      </c>
      <c r="V300" s="4" t="s">
        <v>68</v>
      </c>
      <c r="W300" s="4">
        <f t="shared" si="4"/>
        <v>5</v>
      </c>
    </row>
    <row r="301" spans="1:23">
      <c r="A301" s="7" t="s">
        <v>1402</v>
      </c>
      <c r="B301" s="8" t="s">
        <v>131</v>
      </c>
      <c r="C301" s="8" t="s">
        <v>58</v>
      </c>
      <c r="D301" s="32" t="s">
        <v>715</v>
      </c>
      <c r="E301" s="8" t="s">
        <v>1203</v>
      </c>
      <c r="F301" s="4" t="str">
        <f>PROPER(TRIM(Sales_data!F301))</f>
        <v>Mohit Verma</v>
      </c>
      <c r="G301" s="8" t="s">
        <v>80</v>
      </c>
      <c r="H301" s="70" t="s">
        <v>1403</v>
      </c>
      <c r="I301" s="8" t="s">
        <v>63</v>
      </c>
      <c r="J301" s="4" t="str">
        <f>PROPER(Sales_data!J301)</f>
        <v>South</v>
      </c>
      <c r="K301" s="4" t="str">
        <f>PROPER(Sales_data!K301)</f>
        <v>Stationery</v>
      </c>
      <c r="L301" s="8" t="s">
        <v>64</v>
      </c>
      <c r="M301" s="66">
        <v>8</v>
      </c>
      <c r="N301" s="8">
        <v>55000</v>
      </c>
      <c r="O301" s="8">
        <v>0</v>
      </c>
      <c r="P301" s="8">
        <v>440000</v>
      </c>
      <c r="Q301" s="8">
        <v>2</v>
      </c>
      <c r="R301" s="67" t="s">
        <v>92</v>
      </c>
      <c r="S301" s="8" t="s">
        <v>155</v>
      </c>
      <c r="T301" s="8" t="s">
        <v>136</v>
      </c>
      <c r="U301" s="9" t="s">
        <v>1404</v>
      </c>
      <c r="V301" s="8" t="s">
        <v>73</v>
      </c>
      <c r="W301" s="4">
        <f t="shared" si="4"/>
        <v>1</v>
      </c>
    </row>
    <row r="302" spans="1:23">
      <c r="A302" s="3" t="s">
        <v>1405</v>
      </c>
      <c r="B302" s="4" t="s">
        <v>255</v>
      </c>
      <c r="C302" s="4" t="s">
        <v>58</v>
      </c>
      <c r="D302" s="31" t="s">
        <v>834</v>
      </c>
      <c r="E302" s="4" t="s">
        <v>385</v>
      </c>
      <c r="F302" s="4" t="str">
        <f>PROPER(TRIM(Sales_data!F302))</f>
        <v>Amit Sharma</v>
      </c>
      <c r="G302" s="4" t="s">
        <v>32</v>
      </c>
      <c r="H302" s="69" t="s">
        <v>1406</v>
      </c>
      <c r="I302" s="4" t="s">
        <v>48</v>
      </c>
      <c r="J302" s="4" t="str">
        <f>PROPER(Sales_data!J302)</f>
        <v>South</v>
      </c>
      <c r="K302" s="4" t="str">
        <f>PROPER(Sales_data!K302)</f>
        <v>Stationery</v>
      </c>
      <c r="L302" s="4" t="s">
        <v>64</v>
      </c>
      <c r="M302" s="66">
        <v>4</v>
      </c>
      <c r="N302" s="4">
        <v>55000</v>
      </c>
      <c r="O302" s="4">
        <v>20</v>
      </c>
      <c r="P302" s="4">
        <v>176000</v>
      </c>
      <c r="Q302" s="4">
        <v>5</v>
      </c>
      <c r="R302" s="67" t="s">
        <v>38</v>
      </c>
      <c r="S302" s="4" t="s">
        <v>53</v>
      </c>
      <c r="T302" s="4" t="s">
        <v>260</v>
      </c>
      <c r="U302" s="6" t="s">
        <v>1407</v>
      </c>
      <c r="V302" s="4" t="s">
        <v>68</v>
      </c>
      <c r="W302" s="4">
        <f t="shared" si="4"/>
        <v>7</v>
      </c>
    </row>
    <row r="303" spans="1:23">
      <c r="A303" s="7" t="s">
        <v>1408</v>
      </c>
      <c r="B303" s="8" t="s">
        <v>27</v>
      </c>
      <c r="C303" s="8" t="s">
        <v>96</v>
      </c>
      <c r="D303" s="32" t="s">
        <v>1409</v>
      </c>
      <c r="E303" s="8" t="s">
        <v>720</v>
      </c>
      <c r="F303" s="4" t="str">
        <f>PROPER(TRIM(Sales_data!F303))</f>
        <v>Rohit Singh</v>
      </c>
      <c r="G303" s="8" t="s">
        <v>32</v>
      </c>
      <c r="H303" s="70" t="s">
        <v>1410</v>
      </c>
      <c r="I303" s="8" t="s">
        <v>142</v>
      </c>
      <c r="J303" s="4" t="str">
        <f>PROPER(Sales_data!J303)</f>
        <v>South</v>
      </c>
      <c r="K303" s="4" t="str">
        <f>PROPER(Sales_data!K303)</f>
        <v>Electronics</v>
      </c>
      <c r="L303" s="8" t="s">
        <v>101</v>
      </c>
      <c r="M303" s="66">
        <v>19</v>
      </c>
      <c r="N303" s="8">
        <v>3500</v>
      </c>
      <c r="O303" s="8">
        <v>5</v>
      </c>
      <c r="P303" s="8">
        <v>63175</v>
      </c>
      <c r="Q303" s="8">
        <v>1</v>
      </c>
      <c r="R303" s="67" t="s">
        <v>83</v>
      </c>
      <c r="S303" s="8" t="s">
        <v>119</v>
      </c>
      <c r="T303" s="8" t="s">
        <v>54</v>
      </c>
      <c r="U303" s="9" t="s">
        <v>1411</v>
      </c>
      <c r="V303" s="8" t="s">
        <v>42</v>
      </c>
      <c r="W303" s="4">
        <f t="shared" si="4"/>
        <v>4</v>
      </c>
    </row>
    <row r="304" spans="1:23">
      <c r="A304" s="3" t="s">
        <v>1412</v>
      </c>
      <c r="B304" s="4" t="s">
        <v>225</v>
      </c>
      <c r="C304" s="4" t="s">
        <v>76</v>
      </c>
      <c r="D304" s="31" t="s">
        <v>1413</v>
      </c>
      <c r="E304" s="4" t="s">
        <v>418</v>
      </c>
      <c r="F304" s="4" t="str">
        <f>PROPER(TRIM(Sales_data!F304))</f>
        <v>Sneha Joshi</v>
      </c>
      <c r="G304" s="4" t="s">
        <v>80</v>
      </c>
      <c r="H304" s="69" t="s">
        <v>1414</v>
      </c>
      <c r="I304" s="4" t="s">
        <v>216</v>
      </c>
      <c r="J304" s="4" t="str">
        <f>PROPER(Sales_data!J304)</f>
        <v>North</v>
      </c>
      <c r="K304" s="4" t="str">
        <f>PROPER(Sales_data!K304)</f>
        <v>Electronics</v>
      </c>
      <c r="L304" s="4" t="s">
        <v>82</v>
      </c>
      <c r="M304" s="66">
        <v>17</v>
      </c>
      <c r="N304" s="4">
        <v>1200</v>
      </c>
      <c r="O304" s="4">
        <v>15</v>
      </c>
      <c r="P304" s="4">
        <v>17340</v>
      </c>
      <c r="Q304" s="4">
        <v>2</v>
      </c>
      <c r="R304" s="67" t="s">
        <v>52</v>
      </c>
      <c r="S304" s="4" t="s">
        <v>53</v>
      </c>
      <c r="T304" s="4" t="s">
        <v>232</v>
      </c>
      <c r="U304" s="6" t="s">
        <v>1415</v>
      </c>
      <c r="V304" s="4" t="s">
        <v>42</v>
      </c>
      <c r="W304" s="4">
        <f t="shared" si="4"/>
        <v>3</v>
      </c>
    </row>
    <row r="305" spans="1:23">
      <c r="A305" s="7" t="s">
        <v>1416</v>
      </c>
      <c r="B305" s="8" t="s">
        <v>27</v>
      </c>
      <c r="C305" s="8" t="s">
        <v>28</v>
      </c>
      <c r="D305" s="32" t="s">
        <v>454</v>
      </c>
      <c r="E305" s="8" t="s">
        <v>740</v>
      </c>
      <c r="F305" s="4" t="str">
        <f>PROPER(TRIM(Sales_data!F305))</f>
        <v>Kavya Nair</v>
      </c>
      <c r="G305" s="8" t="s">
        <v>32</v>
      </c>
      <c r="H305" s="70" t="s">
        <v>1417</v>
      </c>
      <c r="I305" s="8" t="s">
        <v>34</v>
      </c>
      <c r="J305" s="4" t="str">
        <f>PROPER(Sales_data!J305)</f>
        <v>West</v>
      </c>
      <c r="K305" s="4" t="str">
        <f>PROPER(Sales_data!K305)</f>
        <v>Home Appliances</v>
      </c>
      <c r="L305" s="8" t="s">
        <v>37</v>
      </c>
      <c r="M305" s="66">
        <v>8</v>
      </c>
      <c r="N305" s="8">
        <v>2200</v>
      </c>
      <c r="O305" s="8">
        <v>5</v>
      </c>
      <c r="P305" s="8">
        <v>16720</v>
      </c>
      <c r="Q305" s="8">
        <v>3</v>
      </c>
      <c r="R305" s="67" t="s">
        <v>83</v>
      </c>
      <c r="S305" s="8" t="s">
        <v>119</v>
      </c>
      <c r="T305" s="8" t="s">
        <v>54</v>
      </c>
      <c r="U305" s="9" t="s">
        <v>1418</v>
      </c>
      <c r="V305" s="8" t="s">
        <v>68</v>
      </c>
      <c r="W305" s="4">
        <f t="shared" si="4"/>
        <v>2</v>
      </c>
    </row>
    <row r="306" spans="1:23">
      <c r="A306" s="3" t="s">
        <v>1419</v>
      </c>
      <c r="B306" s="4" t="s">
        <v>255</v>
      </c>
      <c r="C306" s="4" t="s">
        <v>188</v>
      </c>
      <c r="D306" s="31" t="s">
        <v>991</v>
      </c>
      <c r="E306" s="4" t="s">
        <v>391</v>
      </c>
      <c r="F306" s="4" t="str">
        <f>PROPER(TRIM(Sales_data!F306))</f>
        <v>Vikas Mehta</v>
      </c>
      <c r="G306" s="4" t="s">
        <v>32</v>
      </c>
      <c r="H306" s="69" t="s">
        <v>817</v>
      </c>
      <c r="I306" s="4" t="s">
        <v>109</v>
      </c>
      <c r="J306" s="4" t="str">
        <f>PROPER(Sales_data!J306)</f>
        <v>North</v>
      </c>
      <c r="K306" s="4" t="str">
        <f>PROPER(Sales_data!K306)</f>
        <v>Electronics</v>
      </c>
      <c r="L306" s="4" t="s">
        <v>193</v>
      </c>
      <c r="M306" s="66">
        <v>17</v>
      </c>
      <c r="N306" s="4">
        <v>700</v>
      </c>
      <c r="O306" s="4">
        <v>20</v>
      </c>
      <c r="P306" s="4">
        <v>9520</v>
      </c>
      <c r="Q306" s="4">
        <v>4</v>
      </c>
      <c r="R306" s="67" t="s">
        <v>52</v>
      </c>
      <c r="S306" s="4" t="s">
        <v>119</v>
      </c>
      <c r="T306" s="4" t="s">
        <v>260</v>
      </c>
      <c r="U306" s="6" t="s">
        <v>1420</v>
      </c>
      <c r="V306" s="4" t="s">
        <v>42</v>
      </c>
      <c r="W306" s="4">
        <f t="shared" si="4"/>
        <v>2</v>
      </c>
    </row>
    <row r="307" spans="1:23">
      <c r="A307" s="7" t="s">
        <v>1421</v>
      </c>
      <c r="B307" s="8" t="s">
        <v>255</v>
      </c>
      <c r="C307" s="8" t="s">
        <v>173</v>
      </c>
      <c r="D307" s="32" t="s">
        <v>376</v>
      </c>
      <c r="E307" s="8" t="s">
        <v>250</v>
      </c>
      <c r="F307" s="4" t="str">
        <f>PROPER(TRIM(Sales_data!F307))</f>
        <v>Kavya Nair</v>
      </c>
      <c r="G307" s="8" t="s">
        <v>32</v>
      </c>
      <c r="H307" s="70" t="s">
        <v>1219</v>
      </c>
      <c r="I307" s="8" t="s">
        <v>118</v>
      </c>
      <c r="J307" s="4" t="str">
        <f>PROPER(Sales_data!J307)</f>
        <v>South</v>
      </c>
      <c r="K307" s="4" t="str">
        <f>PROPER(Sales_data!K307)</f>
        <v>Home Appliances</v>
      </c>
      <c r="L307" s="8" t="s">
        <v>178</v>
      </c>
      <c r="M307" s="66">
        <v>6</v>
      </c>
      <c r="N307" s="8">
        <v>8500</v>
      </c>
      <c r="O307" s="8">
        <v>15</v>
      </c>
      <c r="P307" s="8">
        <v>43350</v>
      </c>
      <c r="Q307" s="8">
        <v>1</v>
      </c>
      <c r="R307" s="67" t="s">
        <v>38</v>
      </c>
      <c r="S307" s="8" t="s">
        <v>65</v>
      </c>
      <c r="T307" s="8" t="s">
        <v>260</v>
      </c>
      <c r="U307" s="9" t="s">
        <v>1422</v>
      </c>
      <c r="V307" s="8" t="s">
        <v>42</v>
      </c>
      <c r="W307" s="4">
        <f t="shared" si="4"/>
        <v>8</v>
      </c>
    </row>
    <row r="308" spans="1:23">
      <c r="A308" s="3" t="s">
        <v>1423</v>
      </c>
      <c r="B308" s="4" t="s">
        <v>57</v>
      </c>
      <c r="C308" s="4" t="s">
        <v>96</v>
      </c>
      <c r="D308" s="31" t="s">
        <v>945</v>
      </c>
      <c r="E308" s="4" t="s">
        <v>349</v>
      </c>
      <c r="F308" s="4" t="str">
        <f>PROPER(TRIM(Sales_data!F308))</f>
        <v>Sneha Joshi</v>
      </c>
      <c r="G308" s="4" t="s">
        <v>32</v>
      </c>
      <c r="H308" s="69" t="s">
        <v>1424</v>
      </c>
      <c r="I308" s="4" t="s">
        <v>34</v>
      </c>
      <c r="J308" s="4" t="str">
        <f>PROPER(Sales_data!J308)</f>
        <v>West</v>
      </c>
      <c r="K308" s="4" t="str">
        <f>PROPER(Sales_data!K308)</f>
        <v>Electronics</v>
      </c>
      <c r="L308" s="4" t="s">
        <v>101</v>
      </c>
      <c r="M308" s="66">
        <v>3</v>
      </c>
      <c r="N308" s="4">
        <v>3500</v>
      </c>
      <c r="O308" s="4">
        <v>10</v>
      </c>
      <c r="P308" s="4">
        <v>9450</v>
      </c>
      <c r="Q308" s="4">
        <v>1</v>
      </c>
      <c r="R308" s="67" t="s">
        <v>52</v>
      </c>
      <c r="S308" s="4" t="s">
        <v>53</v>
      </c>
      <c r="T308" s="4" t="s">
        <v>66</v>
      </c>
      <c r="U308" s="6" t="s">
        <v>1425</v>
      </c>
      <c r="V308" s="4" t="s">
        <v>42</v>
      </c>
      <c r="W308" s="4">
        <f t="shared" si="4"/>
        <v>10</v>
      </c>
    </row>
    <row r="309" spans="1:23">
      <c r="A309" s="7" t="s">
        <v>1426</v>
      </c>
      <c r="B309" s="8" t="s">
        <v>75</v>
      </c>
      <c r="C309" s="8" t="s">
        <v>44</v>
      </c>
      <c r="D309" s="32" t="s">
        <v>1382</v>
      </c>
      <c r="E309" s="8" t="s">
        <v>787</v>
      </c>
      <c r="F309" s="4" t="str">
        <f>PROPER(TRIM(Sales_data!F309))</f>
        <v>Sneha Joshi</v>
      </c>
      <c r="G309" s="8" t="s">
        <v>80</v>
      </c>
      <c r="H309" s="70" t="s">
        <v>1427</v>
      </c>
      <c r="I309" s="8" t="s">
        <v>142</v>
      </c>
      <c r="J309" s="4" t="str">
        <f>PROPER(Sales_data!J309)</f>
        <v>West</v>
      </c>
      <c r="K309" s="4" t="str">
        <f>PROPER(Sales_data!K309)</f>
        <v>Home Appliances</v>
      </c>
      <c r="L309" s="8" t="s">
        <v>51</v>
      </c>
      <c r="M309" s="66">
        <v>2</v>
      </c>
      <c r="N309" s="8">
        <v>12000</v>
      </c>
      <c r="O309" s="8">
        <v>20</v>
      </c>
      <c r="P309" s="8">
        <v>19200</v>
      </c>
      <c r="Q309" s="8">
        <v>1</v>
      </c>
      <c r="R309" s="67" t="s">
        <v>83</v>
      </c>
      <c r="S309" s="8" t="s">
        <v>65</v>
      </c>
      <c r="T309" s="8" t="s">
        <v>84</v>
      </c>
      <c r="U309" s="9" t="s">
        <v>1428</v>
      </c>
      <c r="V309" s="8" t="s">
        <v>42</v>
      </c>
      <c r="W309" s="4">
        <f t="shared" si="4"/>
        <v>1</v>
      </c>
    </row>
    <row r="310" spans="1:23">
      <c r="A310" s="3" t="s">
        <v>1429</v>
      </c>
      <c r="B310" s="4" t="s">
        <v>225</v>
      </c>
      <c r="C310" s="4" t="s">
        <v>226</v>
      </c>
      <c r="D310" s="31" t="s">
        <v>344</v>
      </c>
      <c r="E310" s="4" t="s">
        <v>1430</v>
      </c>
      <c r="F310" s="4" t="str">
        <f>PROPER(TRIM(Sales_data!F310))</f>
        <v>Pooja Shah</v>
      </c>
      <c r="G310" s="4" t="s">
        <v>80</v>
      </c>
      <c r="H310" s="69" t="s">
        <v>1431</v>
      </c>
      <c r="I310" s="4" t="s">
        <v>48</v>
      </c>
      <c r="J310" s="4" t="str">
        <f>PROPER(Sales_data!J310)</f>
        <v>South</v>
      </c>
      <c r="K310" s="4" t="str">
        <f>PROPER(Sales_data!K310)</f>
        <v>Home Appliances</v>
      </c>
      <c r="L310" s="4" t="s">
        <v>231</v>
      </c>
      <c r="M310" s="66">
        <v>12</v>
      </c>
      <c r="N310" s="4">
        <v>20</v>
      </c>
      <c r="O310" s="4">
        <v>20</v>
      </c>
      <c r="P310" s="4">
        <v>192</v>
      </c>
      <c r="Q310" s="4">
        <v>2</v>
      </c>
      <c r="R310" s="67" t="s">
        <v>83</v>
      </c>
      <c r="S310" s="4" t="s">
        <v>53</v>
      </c>
      <c r="T310" s="4" t="s">
        <v>232</v>
      </c>
      <c r="U310" s="6" t="s">
        <v>1432</v>
      </c>
      <c r="V310" s="4" t="s">
        <v>42</v>
      </c>
      <c r="W310" s="4">
        <f t="shared" si="4"/>
        <v>10</v>
      </c>
    </row>
    <row r="311" spans="1:23">
      <c r="A311" s="7" t="s">
        <v>1433</v>
      </c>
      <c r="B311" s="8" t="s">
        <v>104</v>
      </c>
      <c r="C311" s="8" t="s">
        <v>44</v>
      </c>
      <c r="D311" s="32" t="s">
        <v>720</v>
      </c>
      <c r="E311" s="8" t="s">
        <v>1434</v>
      </c>
      <c r="F311" s="4" t="str">
        <f>PROPER(TRIM(Sales_data!F311))</f>
        <v>Mohit Verma</v>
      </c>
      <c r="G311" s="8" t="s">
        <v>32</v>
      </c>
      <c r="H311" s="70" t="s">
        <v>1435</v>
      </c>
      <c r="I311" s="8" t="s">
        <v>298</v>
      </c>
      <c r="J311" s="4" t="str">
        <f>PROPER(Sales_data!J311)</f>
        <v>West</v>
      </c>
      <c r="K311" s="4" t="str">
        <f>PROPER(Sales_data!K311)</f>
        <v>Electronics</v>
      </c>
      <c r="L311" s="8" t="s">
        <v>51</v>
      </c>
      <c r="M311" s="66">
        <v>20</v>
      </c>
      <c r="N311" s="8">
        <v>12000</v>
      </c>
      <c r="O311" s="8">
        <v>15</v>
      </c>
      <c r="P311" s="8">
        <v>204000</v>
      </c>
      <c r="Q311" s="8">
        <v>3</v>
      </c>
      <c r="R311" s="67" t="s">
        <v>38</v>
      </c>
      <c r="S311" s="8" t="s">
        <v>39</v>
      </c>
      <c r="T311" s="8" t="s">
        <v>148</v>
      </c>
      <c r="U311" s="9" t="s">
        <v>1436</v>
      </c>
      <c r="V311" s="8" t="s">
        <v>68</v>
      </c>
      <c r="W311" s="4">
        <f t="shared" si="4"/>
        <v>4</v>
      </c>
    </row>
    <row r="312" spans="1:23">
      <c r="A312" s="3" t="s">
        <v>1437</v>
      </c>
      <c r="B312" s="4" t="s">
        <v>57</v>
      </c>
      <c r="C312" s="4" t="s">
        <v>122</v>
      </c>
      <c r="D312" s="31" t="s">
        <v>402</v>
      </c>
      <c r="E312" s="4" t="s">
        <v>744</v>
      </c>
      <c r="F312" s="4" t="str">
        <f>PROPER(TRIM(Sales_data!F312))</f>
        <v>Vikas Mehta</v>
      </c>
      <c r="G312" s="4" t="s">
        <v>32</v>
      </c>
      <c r="H312" s="69" t="s">
        <v>1438</v>
      </c>
      <c r="I312" s="4" t="s">
        <v>216</v>
      </c>
      <c r="J312" s="4" t="str">
        <f>PROPER(Sales_data!J312)</f>
        <v>North</v>
      </c>
      <c r="K312" s="4" t="str">
        <f>PROPER(Sales_data!K312)</f>
        <v>Stationery</v>
      </c>
      <c r="L312" s="4" t="s">
        <v>127</v>
      </c>
      <c r="M312" s="66">
        <v>13</v>
      </c>
      <c r="N312" s="4">
        <v>60</v>
      </c>
      <c r="O312" s="4">
        <v>10</v>
      </c>
      <c r="P312" s="4">
        <v>702</v>
      </c>
      <c r="Q312" s="4">
        <v>5</v>
      </c>
      <c r="R312" s="67" t="s">
        <v>38</v>
      </c>
      <c r="S312" s="4" t="s">
        <v>39</v>
      </c>
      <c r="T312" s="4" t="s">
        <v>66</v>
      </c>
      <c r="U312" s="6" t="s">
        <v>1439</v>
      </c>
      <c r="V312" s="4" t="s">
        <v>68</v>
      </c>
      <c r="W312" s="4">
        <f t="shared" si="4"/>
        <v>3</v>
      </c>
    </row>
    <row r="313" spans="1:23">
      <c r="A313" s="7" t="s">
        <v>1440</v>
      </c>
      <c r="B313" s="8" t="s">
        <v>75</v>
      </c>
      <c r="C313" s="8" t="s">
        <v>58</v>
      </c>
      <c r="D313" s="32" t="s">
        <v>1441</v>
      </c>
      <c r="E313" s="8" t="s">
        <v>1298</v>
      </c>
      <c r="F313" s="4" t="str">
        <f>PROPER(TRIM(Sales_data!F313))</f>
        <v>Priya Patel</v>
      </c>
      <c r="G313" s="8" t="s">
        <v>80</v>
      </c>
      <c r="H313" s="70" t="s">
        <v>1442</v>
      </c>
      <c r="I313" s="8" t="s">
        <v>118</v>
      </c>
      <c r="J313" s="4" t="str">
        <f>PROPER(Sales_data!J313)</f>
        <v>East</v>
      </c>
      <c r="K313" s="4" t="str">
        <f>PROPER(Sales_data!K313)</f>
        <v>Electronics</v>
      </c>
      <c r="L313" s="8" t="s">
        <v>64</v>
      </c>
      <c r="M313" s="66">
        <v>13</v>
      </c>
      <c r="N313" s="8">
        <v>55000</v>
      </c>
      <c r="O313" s="8">
        <v>5</v>
      </c>
      <c r="P313" s="8">
        <v>679250</v>
      </c>
      <c r="Q313" s="8">
        <v>1</v>
      </c>
      <c r="R313" s="67" t="s">
        <v>92</v>
      </c>
      <c r="S313" s="8" t="s">
        <v>155</v>
      </c>
      <c r="T313" s="8" t="s">
        <v>84</v>
      </c>
      <c r="U313" s="9" t="s">
        <v>1443</v>
      </c>
      <c r="V313" s="8" t="s">
        <v>68</v>
      </c>
      <c r="W313" s="4">
        <f t="shared" si="4"/>
        <v>5</v>
      </c>
    </row>
    <row r="314" spans="1:23">
      <c r="A314" s="3" t="s">
        <v>1444</v>
      </c>
      <c r="B314" s="4" t="s">
        <v>104</v>
      </c>
      <c r="C314" s="4" t="s">
        <v>76</v>
      </c>
      <c r="D314" s="31" t="s">
        <v>801</v>
      </c>
      <c r="E314" s="4" t="s">
        <v>802</v>
      </c>
      <c r="F314" s="4" t="str">
        <f>PROPER(TRIM(Sales_data!F314))</f>
        <v>Pooja Shah</v>
      </c>
      <c r="G314" s="4" t="s">
        <v>32</v>
      </c>
      <c r="H314" s="69" t="s">
        <v>1445</v>
      </c>
      <c r="I314" s="4" t="s">
        <v>63</v>
      </c>
      <c r="J314" s="4" t="str">
        <f>PROPER(Sales_data!J314)</f>
        <v>North</v>
      </c>
      <c r="K314" s="4" t="str">
        <f>PROPER(Sales_data!K314)</f>
        <v>Stationery</v>
      </c>
      <c r="L314" s="4" t="s">
        <v>82</v>
      </c>
      <c r="M314" s="66">
        <v>7</v>
      </c>
      <c r="N314" s="4">
        <v>1200</v>
      </c>
      <c r="O314" s="4">
        <v>15</v>
      </c>
      <c r="P314" s="4">
        <v>7140</v>
      </c>
      <c r="Q314" s="4">
        <v>5</v>
      </c>
      <c r="R314" s="67" t="s">
        <v>92</v>
      </c>
      <c r="S314" s="4" t="s">
        <v>53</v>
      </c>
      <c r="T314" s="4" t="s">
        <v>148</v>
      </c>
      <c r="U314" s="6" t="s">
        <v>1446</v>
      </c>
      <c r="V314" s="4" t="s">
        <v>68</v>
      </c>
      <c r="W314" s="4">
        <f t="shared" si="4"/>
        <v>3</v>
      </c>
    </row>
    <row r="315" spans="1:23">
      <c r="A315" s="7" t="s">
        <v>1447</v>
      </c>
      <c r="B315" s="8" t="s">
        <v>87</v>
      </c>
      <c r="C315" s="8" t="s">
        <v>44</v>
      </c>
      <c r="D315" s="32" t="s">
        <v>965</v>
      </c>
      <c r="E315" s="8" t="s">
        <v>1448</v>
      </c>
      <c r="F315" s="4" t="str">
        <f>PROPER(TRIM(Sales_data!F315))</f>
        <v>Mohit Verma</v>
      </c>
      <c r="G315" s="8" t="s">
        <v>80</v>
      </c>
      <c r="H315" s="70" t="s">
        <v>1449</v>
      </c>
      <c r="I315" s="8" t="s">
        <v>216</v>
      </c>
      <c r="J315" s="4" t="str">
        <f>PROPER(Sales_data!J315)</f>
        <v>West</v>
      </c>
      <c r="K315" s="4" t="str">
        <f>PROPER(Sales_data!K315)</f>
        <v>Electronics</v>
      </c>
      <c r="L315" s="8" t="s">
        <v>51</v>
      </c>
      <c r="M315" s="66">
        <v>17</v>
      </c>
      <c r="N315" s="8">
        <v>12000</v>
      </c>
      <c r="O315" s="8">
        <v>5</v>
      </c>
      <c r="P315" s="8">
        <v>193800</v>
      </c>
      <c r="Q315" s="8">
        <v>1</v>
      </c>
      <c r="R315" s="67" t="s">
        <v>38</v>
      </c>
      <c r="S315" s="8" t="s">
        <v>65</v>
      </c>
      <c r="T315" s="8" t="s">
        <v>93</v>
      </c>
      <c r="U315" s="9" t="s">
        <v>1450</v>
      </c>
      <c r="V315" s="8" t="s">
        <v>73</v>
      </c>
      <c r="W315" s="4">
        <f t="shared" si="4"/>
        <v>12</v>
      </c>
    </row>
    <row r="316" spans="1:23">
      <c r="A316" s="3" t="s">
        <v>1451</v>
      </c>
      <c r="B316" s="4" t="s">
        <v>87</v>
      </c>
      <c r="C316" s="4" t="s">
        <v>226</v>
      </c>
      <c r="D316" s="31" t="s">
        <v>360</v>
      </c>
      <c r="E316" s="4" t="s">
        <v>521</v>
      </c>
      <c r="F316" s="4" t="str">
        <f>PROPER(TRIM(Sales_data!F316))</f>
        <v>Priya Patel</v>
      </c>
      <c r="G316" s="4" t="s">
        <v>80</v>
      </c>
      <c r="H316" s="69" t="s">
        <v>1452</v>
      </c>
      <c r="I316" s="4" t="s">
        <v>63</v>
      </c>
      <c r="J316" s="4" t="str">
        <f>PROPER(Sales_data!J316)</f>
        <v>South</v>
      </c>
      <c r="K316" s="4" t="str">
        <f>PROPER(Sales_data!K316)</f>
        <v>Electronics</v>
      </c>
      <c r="L316" s="4" t="s">
        <v>231</v>
      </c>
      <c r="M316" s="66">
        <v>10</v>
      </c>
      <c r="N316" s="4">
        <v>20</v>
      </c>
      <c r="O316" s="4">
        <v>5</v>
      </c>
      <c r="P316" s="4">
        <v>190</v>
      </c>
      <c r="Q316" s="4">
        <v>2</v>
      </c>
      <c r="R316" s="67" t="s">
        <v>38</v>
      </c>
      <c r="S316" s="4" t="s">
        <v>65</v>
      </c>
      <c r="T316" s="4" t="s">
        <v>93</v>
      </c>
      <c r="U316" s="6" t="s">
        <v>1453</v>
      </c>
      <c r="V316" s="4" t="s">
        <v>73</v>
      </c>
      <c r="W316" s="4">
        <f t="shared" si="4"/>
        <v>4</v>
      </c>
    </row>
    <row r="317" spans="1:23">
      <c r="A317" s="7" t="s">
        <v>1454</v>
      </c>
      <c r="B317" s="8" t="s">
        <v>172</v>
      </c>
      <c r="C317" s="8" t="s">
        <v>28</v>
      </c>
      <c r="D317" s="32" t="s">
        <v>295</v>
      </c>
      <c r="E317" s="8" t="s">
        <v>1455</v>
      </c>
      <c r="F317" s="4" t="str">
        <f>PROPER(TRIM(Sales_data!F317))</f>
        <v>Arjun Rao</v>
      </c>
      <c r="G317" s="8" t="s">
        <v>32</v>
      </c>
      <c r="H317" s="70" t="s">
        <v>1456</v>
      </c>
      <c r="I317" s="8" t="s">
        <v>48</v>
      </c>
      <c r="J317" s="4" t="str">
        <f>PROPER(Sales_data!J317)</f>
        <v>North</v>
      </c>
      <c r="K317" s="4" t="str">
        <f>PROPER(Sales_data!K317)</f>
        <v>Electronics</v>
      </c>
      <c r="L317" s="8" t="s">
        <v>37</v>
      </c>
      <c r="M317" s="66">
        <v>11</v>
      </c>
      <c r="N317" s="8">
        <v>2200</v>
      </c>
      <c r="O317" s="8">
        <v>5</v>
      </c>
      <c r="P317" s="8">
        <v>22990</v>
      </c>
      <c r="Q317" s="8">
        <v>5</v>
      </c>
      <c r="R317" s="67" t="s">
        <v>83</v>
      </c>
      <c r="S317" s="8" t="s">
        <v>53</v>
      </c>
      <c r="T317" s="8" t="s">
        <v>179</v>
      </c>
      <c r="U317" s="9" t="s">
        <v>1457</v>
      </c>
      <c r="V317" s="8" t="s">
        <v>68</v>
      </c>
      <c r="W317" s="4">
        <f t="shared" si="4"/>
        <v>11</v>
      </c>
    </row>
    <row r="318" spans="1:23">
      <c r="A318" s="3" t="s">
        <v>1458</v>
      </c>
      <c r="B318" s="4" t="s">
        <v>104</v>
      </c>
      <c r="C318" s="4" t="s">
        <v>122</v>
      </c>
      <c r="D318" s="31" t="s">
        <v>1373</v>
      </c>
      <c r="E318" s="4" t="s">
        <v>182</v>
      </c>
      <c r="F318" s="4" t="str">
        <f>PROPER(TRIM(Sales_data!F318))</f>
        <v>Arjun Rao</v>
      </c>
      <c r="G318" s="4" t="s">
        <v>32</v>
      </c>
      <c r="H318" s="69" t="s">
        <v>1459</v>
      </c>
      <c r="I318" s="4" t="s">
        <v>216</v>
      </c>
      <c r="J318" s="4" t="str">
        <f>PROPER(Sales_data!J318)</f>
        <v>South</v>
      </c>
      <c r="K318" s="4" t="str">
        <f>PROPER(Sales_data!K318)</f>
        <v>Stationery</v>
      </c>
      <c r="L318" s="4" t="s">
        <v>127</v>
      </c>
      <c r="M318" s="66">
        <v>8</v>
      </c>
      <c r="N318" s="4">
        <v>60</v>
      </c>
      <c r="O318" s="4">
        <v>15</v>
      </c>
      <c r="P318" s="4">
        <v>408</v>
      </c>
      <c r="Q318" s="4">
        <v>4</v>
      </c>
      <c r="R318" s="67" t="s">
        <v>38</v>
      </c>
      <c r="S318" s="4" t="s">
        <v>53</v>
      </c>
      <c r="T318" s="4" t="s">
        <v>148</v>
      </c>
      <c r="U318" s="6" t="s">
        <v>1460</v>
      </c>
      <c r="V318" s="4" t="s">
        <v>68</v>
      </c>
      <c r="W318" s="4">
        <f t="shared" si="4"/>
        <v>2</v>
      </c>
    </row>
    <row r="319" spans="1:23">
      <c r="A319" s="7" t="s">
        <v>1461</v>
      </c>
      <c r="B319" s="8" t="s">
        <v>225</v>
      </c>
      <c r="C319" s="8" t="s">
        <v>263</v>
      </c>
      <c r="D319" s="32" t="s">
        <v>829</v>
      </c>
      <c r="E319" s="8" t="s">
        <v>123</v>
      </c>
      <c r="F319" s="4" t="str">
        <f>PROPER(TRIM(Sales_data!F319))</f>
        <v>Anita Gupta</v>
      </c>
      <c r="G319" s="8" t="s">
        <v>80</v>
      </c>
      <c r="H319" s="70" t="s">
        <v>1462</v>
      </c>
      <c r="I319" s="8" t="s">
        <v>48</v>
      </c>
      <c r="J319" s="4" t="str">
        <f>PROPER(Sales_data!J319)</f>
        <v>North</v>
      </c>
      <c r="K319" s="4" t="str">
        <f>PROPER(Sales_data!K319)</f>
        <v>Home Appliances</v>
      </c>
      <c r="L319" s="8" t="s">
        <v>267</v>
      </c>
      <c r="M319" s="66">
        <v>17</v>
      </c>
      <c r="N319" s="8">
        <v>45</v>
      </c>
      <c r="O319" s="8">
        <v>15</v>
      </c>
      <c r="P319" s="8">
        <v>650.25</v>
      </c>
      <c r="Q319" s="8">
        <v>2</v>
      </c>
      <c r="R319" s="67" t="s">
        <v>92</v>
      </c>
      <c r="S319" s="8" t="s">
        <v>155</v>
      </c>
      <c r="T319" s="8" t="s">
        <v>232</v>
      </c>
      <c r="U319" s="9" t="s">
        <v>1463</v>
      </c>
      <c r="V319" s="8" t="s">
        <v>42</v>
      </c>
      <c r="W319" s="4">
        <f t="shared" si="4"/>
        <v>3</v>
      </c>
    </row>
    <row r="320" spans="1:23">
      <c r="A320" s="3" t="s">
        <v>1464</v>
      </c>
      <c r="B320" s="4" t="s">
        <v>331</v>
      </c>
      <c r="C320" s="4" t="s">
        <v>188</v>
      </c>
      <c r="D320" s="31" t="s">
        <v>636</v>
      </c>
      <c r="E320" s="4" t="s">
        <v>1465</v>
      </c>
      <c r="F320" s="4" t="str">
        <f>PROPER(TRIM(Sales_data!F320))</f>
        <v>Priya Patel</v>
      </c>
      <c r="G320" s="4" t="s">
        <v>80</v>
      </c>
      <c r="H320" s="69" t="s">
        <v>1466</v>
      </c>
      <c r="I320" s="4" t="s">
        <v>216</v>
      </c>
      <c r="J320" s="4" t="str">
        <f>PROPER(Sales_data!J320)</f>
        <v>North</v>
      </c>
      <c r="K320" s="4" t="str">
        <f>PROPER(Sales_data!K320)</f>
        <v>Stationery</v>
      </c>
      <c r="L320" s="4" t="s">
        <v>193</v>
      </c>
      <c r="M320" s="66">
        <v>14</v>
      </c>
      <c r="N320" s="4">
        <v>700</v>
      </c>
      <c r="O320" s="4">
        <v>15</v>
      </c>
      <c r="P320" s="4">
        <v>8330</v>
      </c>
      <c r="Q320" s="4">
        <v>1</v>
      </c>
      <c r="R320" s="67" t="s">
        <v>83</v>
      </c>
      <c r="S320" s="4" t="s">
        <v>119</v>
      </c>
      <c r="T320" s="4" t="s">
        <v>336</v>
      </c>
      <c r="U320" s="6" t="s">
        <v>1467</v>
      </c>
      <c r="V320" s="4" t="s">
        <v>42</v>
      </c>
      <c r="W320" s="4">
        <f t="shared" si="4"/>
        <v>2</v>
      </c>
    </row>
    <row r="321" spans="1:23">
      <c r="A321" s="7" t="s">
        <v>1468</v>
      </c>
      <c r="B321" s="8" t="s">
        <v>87</v>
      </c>
      <c r="C321" s="8" t="s">
        <v>76</v>
      </c>
      <c r="D321" s="32" t="s">
        <v>1469</v>
      </c>
      <c r="E321" s="8" t="s">
        <v>952</v>
      </c>
      <c r="F321" s="4" t="str">
        <f>PROPER(TRIM(Sales_data!F321))</f>
        <v>Vikas Mehta</v>
      </c>
      <c r="G321" s="8" t="s">
        <v>80</v>
      </c>
      <c r="H321" s="70" t="s">
        <v>1470</v>
      </c>
      <c r="I321" s="8" t="s">
        <v>118</v>
      </c>
      <c r="J321" s="4" t="str">
        <f>PROPER(Sales_data!J321)</f>
        <v>North</v>
      </c>
      <c r="K321" s="4" t="str">
        <f>PROPER(Sales_data!K321)</f>
        <v>Stationery</v>
      </c>
      <c r="L321" s="8" t="s">
        <v>82</v>
      </c>
      <c r="M321" s="66">
        <v>3</v>
      </c>
      <c r="N321" s="8">
        <v>1200</v>
      </c>
      <c r="O321" s="8">
        <v>5</v>
      </c>
      <c r="P321" s="8">
        <v>3420</v>
      </c>
      <c r="Q321" s="8">
        <v>3</v>
      </c>
      <c r="R321" s="67" t="s">
        <v>52</v>
      </c>
      <c r="S321" s="8" t="s">
        <v>155</v>
      </c>
      <c r="T321" s="8" t="s">
        <v>93</v>
      </c>
      <c r="U321" s="9" t="s">
        <v>1471</v>
      </c>
      <c r="V321" s="8" t="s">
        <v>42</v>
      </c>
      <c r="W321" s="4">
        <f t="shared" si="4"/>
        <v>6</v>
      </c>
    </row>
    <row r="322" spans="1:23">
      <c r="A322" s="3" t="s">
        <v>1472</v>
      </c>
      <c r="B322" s="4" t="s">
        <v>27</v>
      </c>
      <c r="C322" s="4" t="s">
        <v>76</v>
      </c>
      <c r="D322" s="31" t="s">
        <v>493</v>
      </c>
      <c r="E322" s="4" t="s">
        <v>918</v>
      </c>
      <c r="F322" s="4" t="str">
        <f>PROPER(TRIM(Sales_data!F322))</f>
        <v>Amit Sharma</v>
      </c>
      <c r="G322" s="4" t="s">
        <v>32</v>
      </c>
      <c r="H322" s="69" t="s">
        <v>1473</v>
      </c>
      <c r="I322" s="4" t="s">
        <v>142</v>
      </c>
      <c r="J322" s="4" t="str">
        <f>PROPER(Sales_data!J322)</f>
        <v>North</v>
      </c>
      <c r="K322" s="4" t="str">
        <f>PROPER(Sales_data!K322)</f>
        <v>Electronics</v>
      </c>
      <c r="L322" s="4" t="s">
        <v>82</v>
      </c>
      <c r="M322" s="66">
        <v>9</v>
      </c>
      <c r="N322" s="4">
        <v>1200</v>
      </c>
      <c r="O322" s="4">
        <v>15</v>
      </c>
      <c r="P322" s="4">
        <v>9180</v>
      </c>
      <c r="Q322" s="4">
        <v>3</v>
      </c>
      <c r="R322" s="67" t="s">
        <v>38</v>
      </c>
      <c r="S322" s="4" t="s">
        <v>53</v>
      </c>
      <c r="T322" s="4" t="s">
        <v>54</v>
      </c>
      <c r="U322" s="6" t="s">
        <v>1474</v>
      </c>
      <c r="V322" s="4" t="s">
        <v>42</v>
      </c>
      <c r="W322" s="4">
        <f t="shared" si="4"/>
        <v>7</v>
      </c>
    </row>
    <row r="323" spans="1:23">
      <c r="A323" s="7" t="s">
        <v>1475</v>
      </c>
      <c r="B323" s="8" t="s">
        <v>255</v>
      </c>
      <c r="C323" s="8" t="s">
        <v>226</v>
      </c>
      <c r="D323" s="32" t="s">
        <v>228</v>
      </c>
      <c r="E323" s="8" t="s">
        <v>364</v>
      </c>
      <c r="F323" s="4" t="str">
        <f>PROPER(TRIM(Sales_data!F323))</f>
        <v>Arjun Rao</v>
      </c>
      <c r="G323" s="8" t="s">
        <v>32</v>
      </c>
      <c r="H323" s="70" t="s">
        <v>1476</v>
      </c>
      <c r="I323" s="8" t="s">
        <v>109</v>
      </c>
      <c r="J323" s="4" t="str">
        <f>PROPER(Sales_data!J323)</f>
        <v>West</v>
      </c>
      <c r="K323" s="4" t="str">
        <f>PROPER(Sales_data!K323)</f>
        <v>Electronics</v>
      </c>
      <c r="L323" s="8" t="s">
        <v>231</v>
      </c>
      <c r="M323" s="66">
        <v>5</v>
      </c>
      <c r="N323" s="8">
        <v>20</v>
      </c>
      <c r="O323" s="8">
        <v>5</v>
      </c>
      <c r="P323" s="8">
        <v>95</v>
      </c>
      <c r="Q323" s="8">
        <v>4</v>
      </c>
      <c r="R323" s="67" t="s">
        <v>38</v>
      </c>
      <c r="S323" s="8" t="s">
        <v>155</v>
      </c>
      <c r="T323" s="8" t="s">
        <v>260</v>
      </c>
      <c r="U323" s="9" t="s">
        <v>1477</v>
      </c>
      <c r="V323" s="8" t="s">
        <v>42</v>
      </c>
      <c r="W323" s="4">
        <f t="shared" ref="W323:W386" si="5">IF(D323="Pending", "0", MONTH(D323))</f>
        <v>4</v>
      </c>
    </row>
    <row r="324" spans="1:23">
      <c r="A324" s="3" t="s">
        <v>1478</v>
      </c>
      <c r="B324" s="4" t="s">
        <v>255</v>
      </c>
      <c r="C324" s="4" t="s">
        <v>28</v>
      </c>
      <c r="D324" s="31" t="s">
        <v>1479</v>
      </c>
      <c r="E324" s="4" t="s">
        <v>1480</v>
      </c>
      <c r="F324" s="4" t="str">
        <f>PROPER(TRIM(Sales_data!F324))</f>
        <v>Kavya Nair</v>
      </c>
      <c r="G324" s="4" t="s">
        <v>32</v>
      </c>
      <c r="H324" s="69" t="s">
        <v>1481</v>
      </c>
      <c r="I324" s="4" t="s">
        <v>142</v>
      </c>
      <c r="J324" s="4" t="str">
        <f>PROPER(Sales_data!J324)</f>
        <v>West</v>
      </c>
      <c r="K324" s="4" t="str">
        <f>PROPER(Sales_data!K324)</f>
        <v>Electronics</v>
      </c>
      <c r="L324" s="4" t="s">
        <v>37</v>
      </c>
      <c r="M324" s="66">
        <v>8</v>
      </c>
      <c r="N324" s="4">
        <v>2200</v>
      </c>
      <c r="O324" s="4">
        <v>10</v>
      </c>
      <c r="P324" s="4">
        <v>15840</v>
      </c>
      <c r="Q324" s="4">
        <v>4</v>
      </c>
      <c r="R324" s="67" t="s">
        <v>92</v>
      </c>
      <c r="S324" s="4" t="s">
        <v>65</v>
      </c>
      <c r="T324" s="4" t="s">
        <v>260</v>
      </c>
      <c r="U324" s="6" t="s">
        <v>1482</v>
      </c>
      <c r="V324" s="4" t="s">
        <v>73</v>
      </c>
      <c r="W324" s="4">
        <f t="shared" si="5"/>
        <v>12</v>
      </c>
    </row>
    <row r="325" spans="1:23">
      <c r="A325" s="7" t="s">
        <v>1483</v>
      </c>
      <c r="B325" s="8" t="s">
        <v>255</v>
      </c>
      <c r="C325" s="8" t="s">
        <v>188</v>
      </c>
      <c r="D325" s="32" t="s">
        <v>302</v>
      </c>
      <c r="E325" s="8" t="s">
        <v>1484</v>
      </c>
      <c r="F325" s="4" t="str">
        <f>PROPER(TRIM(Sales_data!F325))</f>
        <v>Sneha Joshi</v>
      </c>
      <c r="G325" s="8" t="s">
        <v>32</v>
      </c>
      <c r="H325" s="70" t="s">
        <v>1485</v>
      </c>
      <c r="I325" s="8" t="s">
        <v>109</v>
      </c>
      <c r="J325" s="4" t="str">
        <f>PROPER(Sales_data!J325)</f>
        <v>West</v>
      </c>
      <c r="K325" s="4" t="str">
        <f>PROPER(Sales_data!K325)</f>
        <v>Stationery</v>
      </c>
      <c r="L325" s="8" t="s">
        <v>193</v>
      </c>
      <c r="M325" s="66">
        <v>10</v>
      </c>
      <c r="N325" s="8">
        <v>700</v>
      </c>
      <c r="O325" s="8">
        <v>20</v>
      </c>
      <c r="P325" s="8">
        <v>5600</v>
      </c>
      <c r="Q325" s="8">
        <v>1</v>
      </c>
      <c r="R325" s="67" t="s">
        <v>92</v>
      </c>
      <c r="S325" s="8" t="s">
        <v>119</v>
      </c>
      <c r="T325" s="8" t="s">
        <v>260</v>
      </c>
      <c r="U325" s="9" t="s">
        <v>1486</v>
      </c>
      <c r="V325" s="8" t="s">
        <v>42</v>
      </c>
      <c r="W325" s="4">
        <f t="shared" si="5"/>
        <v>3</v>
      </c>
    </row>
    <row r="326" spans="1:23">
      <c r="A326" s="3" t="s">
        <v>1487</v>
      </c>
      <c r="B326" s="4" t="s">
        <v>87</v>
      </c>
      <c r="C326" s="4" t="s">
        <v>188</v>
      </c>
      <c r="D326" s="31" t="s">
        <v>1488</v>
      </c>
      <c r="E326" s="4" t="s">
        <v>1489</v>
      </c>
      <c r="F326" s="4" t="str">
        <f>PROPER(TRIM(Sales_data!F326))</f>
        <v>Sneha Joshi</v>
      </c>
      <c r="G326" s="4" t="s">
        <v>80</v>
      </c>
      <c r="H326" s="69" t="s">
        <v>1490</v>
      </c>
      <c r="I326" s="4" t="s">
        <v>63</v>
      </c>
      <c r="J326" s="4" t="str">
        <f>PROPER(Sales_data!J326)</f>
        <v>West</v>
      </c>
      <c r="K326" s="4" t="str">
        <f>PROPER(Sales_data!K326)</f>
        <v>Home Appliances</v>
      </c>
      <c r="L326" s="4" t="s">
        <v>193</v>
      </c>
      <c r="M326" s="66">
        <v>2</v>
      </c>
      <c r="N326" s="4">
        <v>700</v>
      </c>
      <c r="O326" s="4">
        <v>20</v>
      </c>
      <c r="P326" s="4">
        <v>1120</v>
      </c>
      <c r="Q326" s="4">
        <v>2</v>
      </c>
      <c r="R326" s="67" t="s">
        <v>38</v>
      </c>
      <c r="S326" s="4" t="s">
        <v>119</v>
      </c>
      <c r="T326" s="4" t="s">
        <v>93</v>
      </c>
      <c r="U326" s="6" t="s">
        <v>1491</v>
      </c>
      <c r="V326" s="4" t="s">
        <v>68</v>
      </c>
      <c r="W326" s="4">
        <f t="shared" si="5"/>
        <v>11</v>
      </c>
    </row>
    <row r="327" spans="1:23">
      <c r="A327" s="7" t="s">
        <v>1492</v>
      </c>
      <c r="B327" s="8" t="s">
        <v>225</v>
      </c>
      <c r="C327" s="8" t="s">
        <v>96</v>
      </c>
      <c r="D327" s="32" t="s">
        <v>876</v>
      </c>
      <c r="E327" s="8" t="s">
        <v>969</v>
      </c>
      <c r="F327" s="4" t="str">
        <f>PROPER(TRIM(Sales_data!F327))</f>
        <v>Sneha Joshi</v>
      </c>
      <c r="G327" s="8" t="s">
        <v>80</v>
      </c>
      <c r="H327" s="70" t="s">
        <v>1493</v>
      </c>
      <c r="I327" s="8" t="s">
        <v>118</v>
      </c>
      <c r="J327" s="4" t="str">
        <f>PROPER(Sales_data!J327)</f>
        <v>West</v>
      </c>
      <c r="K327" s="4" t="str">
        <f>PROPER(Sales_data!K327)</f>
        <v>Electronics</v>
      </c>
      <c r="L327" s="8" t="s">
        <v>101</v>
      </c>
      <c r="M327" s="66">
        <v>16</v>
      </c>
      <c r="N327" s="8">
        <v>3500</v>
      </c>
      <c r="O327" s="8">
        <v>20</v>
      </c>
      <c r="P327" s="8">
        <v>44800</v>
      </c>
      <c r="Q327" s="8">
        <v>2</v>
      </c>
      <c r="R327" s="67" t="s">
        <v>92</v>
      </c>
      <c r="S327" s="8" t="s">
        <v>39</v>
      </c>
      <c r="T327" s="8" t="s">
        <v>232</v>
      </c>
      <c r="U327" s="9" t="s">
        <v>1494</v>
      </c>
      <c r="V327" s="8" t="s">
        <v>68</v>
      </c>
      <c r="W327" s="4">
        <f t="shared" si="5"/>
        <v>6</v>
      </c>
    </row>
    <row r="328" spans="1:23">
      <c r="A328" s="3" t="s">
        <v>1495</v>
      </c>
      <c r="B328" s="4" t="s">
        <v>172</v>
      </c>
      <c r="C328" s="4" t="s">
        <v>96</v>
      </c>
      <c r="D328" s="31" t="s">
        <v>833</v>
      </c>
      <c r="E328" s="4" t="s">
        <v>760</v>
      </c>
      <c r="F328" s="4" t="str">
        <f>PROPER(TRIM(Sales_data!F328))</f>
        <v>Arjun Rao</v>
      </c>
      <c r="G328" s="4" t="s">
        <v>32</v>
      </c>
      <c r="H328" s="69" t="s">
        <v>1496</v>
      </c>
      <c r="I328" s="4" t="s">
        <v>48</v>
      </c>
      <c r="J328" s="4" t="str">
        <f>PROPER(Sales_data!J328)</f>
        <v>South</v>
      </c>
      <c r="K328" s="4" t="str">
        <f>PROPER(Sales_data!K328)</f>
        <v>Electronics</v>
      </c>
      <c r="L328" s="4" t="s">
        <v>101</v>
      </c>
      <c r="M328" s="66">
        <v>9</v>
      </c>
      <c r="N328" s="4">
        <v>3500</v>
      </c>
      <c r="O328" s="4">
        <v>20</v>
      </c>
      <c r="P328" s="4">
        <v>25200</v>
      </c>
      <c r="Q328" s="4">
        <v>1</v>
      </c>
      <c r="R328" s="67" t="s">
        <v>83</v>
      </c>
      <c r="S328" s="4" t="s">
        <v>53</v>
      </c>
      <c r="T328" s="4" t="s">
        <v>179</v>
      </c>
      <c r="U328" s="6" t="s">
        <v>1497</v>
      </c>
      <c r="V328" s="4" t="s">
        <v>73</v>
      </c>
      <c r="W328" s="4">
        <f t="shared" si="5"/>
        <v>7</v>
      </c>
    </row>
    <row r="329" spans="1:23">
      <c r="A329" s="7" t="s">
        <v>1498</v>
      </c>
      <c r="B329" s="8" t="s">
        <v>131</v>
      </c>
      <c r="C329" s="8" t="s">
        <v>188</v>
      </c>
      <c r="D329" s="32" t="s">
        <v>900</v>
      </c>
      <c r="E329" s="8" t="s">
        <v>534</v>
      </c>
      <c r="F329" s="4" t="str">
        <f>PROPER(TRIM(Sales_data!F329))</f>
        <v>Vikas Mehta</v>
      </c>
      <c r="G329" s="8" t="s">
        <v>80</v>
      </c>
      <c r="H329" s="70" t="s">
        <v>1499</v>
      </c>
      <c r="I329" s="8" t="s">
        <v>34</v>
      </c>
      <c r="J329" s="4" t="str">
        <f>PROPER(Sales_data!J329)</f>
        <v>West</v>
      </c>
      <c r="K329" s="4" t="str">
        <f>PROPER(Sales_data!K329)</f>
        <v>Home Appliances</v>
      </c>
      <c r="L329" s="8" t="s">
        <v>193</v>
      </c>
      <c r="M329" s="66">
        <v>15</v>
      </c>
      <c r="N329" s="8">
        <v>700</v>
      </c>
      <c r="O329" s="8">
        <v>5</v>
      </c>
      <c r="P329" s="8">
        <v>9975</v>
      </c>
      <c r="Q329" s="8">
        <v>1</v>
      </c>
      <c r="R329" s="67" t="s">
        <v>38</v>
      </c>
      <c r="S329" s="8" t="s">
        <v>53</v>
      </c>
      <c r="T329" s="8" t="s">
        <v>136</v>
      </c>
      <c r="U329" s="9" t="s">
        <v>1500</v>
      </c>
      <c r="V329" s="8" t="s">
        <v>73</v>
      </c>
      <c r="W329" s="4">
        <f t="shared" si="5"/>
        <v>10</v>
      </c>
    </row>
    <row r="330" spans="1:23">
      <c r="A330" s="3" t="s">
        <v>1501</v>
      </c>
      <c r="B330" s="4" t="s">
        <v>57</v>
      </c>
      <c r="C330" s="4" t="s">
        <v>76</v>
      </c>
      <c r="D330" s="31" t="s">
        <v>183</v>
      </c>
      <c r="E330" s="4" t="s">
        <v>802</v>
      </c>
      <c r="F330" s="4" t="str">
        <f>PROPER(TRIM(Sales_data!F330))</f>
        <v>Anita Gupta</v>
      </c>
      <c r="G330" s="4" t="s">
        <v>32</v>
      </c>
      <c r="H330" s="69" t="s">
        <v>1502</v>
      </c>
      <c r="I330" s="4" t="s">
        <v>142</v>
      </c>
      <c r="J330" s="4" t="str">
        <f>PROPER(Sales_data!J330)</f>
        <v>North</v>
      </c>
      <c r="K330" s="4" t="str">
        <f>PROPER(Sales_data!K330)</f>
        <v>Home Appliances</v>
      </c>
      <c r="L330" s="4" t="s">
        <v>82</v>
      </c>
      <c r="M330" s="66">
        <v>13</v>
      </c>
      <c r="N330" s="4">
        <v>1200</v>
      </c>
      <c r="O330" s="4">
        <v>0</v>
      </c>
      <c r="P330" s="4">
        <v>15600</v>
      </c>
      <c r="Q330" s="4">
        <v>3</v>
      </c>
      <c r="R330" s="67" t="s">
        <v>52</v>
      </c>
      <c r="S330" s="4" t="s">
        <v>119</v>
      </c>
      <c r="T330" s="4" t="s">
        <v>66</v>
      </c>
      <c r="U330" s="6" t="s">
        <v>1503</v>
      </c>
      <c r="V330" s="4" t="s">
        <v>73</v>
      </c>
      <c r="W330" s="4">
        <f t="shared" si="5"/>
        <v>3</v>
      </c>
    </row>
    <row r="331" spans="1:23">
      <c r="A331" s="7" t="s">
        <v>1504</v>
      </c>
      <c r="B331" s="8" t="s">
        <v>331</v>
      </c>
      <c r="C331" s="8" t="s">
        <v>44</v>
      </c>
      <c r="D331" s="32" t="s">
        <v>1505</v>
      </c>
      <c r="E331" s="8" t="s">
        <v>1506</v>
      </c>
      <c r="F331" s="4" t="str">
        <f>PROPER(TRIM(Sales_data!F331))</f>
        <v>Rohit Singh</v>
      </c>
      <c r="G331" s="8" t="s">
        <v>80</v>
      </c>
      <c r="H331" s="70" t="s">
        <v>1507</v>
      </c>
      <c r="I331" s="8" t="s">
        <v>48</v>
      </c>
      <c r="J331" s="4" t="str">
        <f>PROPER(Sales_data!J331)</f>
        <v>South</v>
      </c>
      <c r="K331" s="4" t="str">
        <f>PROPER(Sales_data!K331)</f>
        <v>Electronics</v>
      </c>
      <c r="L331" s="8" t="s">
        <v>51</v>
      </c>
      <c r="M331" s="66">
        <v>5</v>
      </c>
      <c r="N331" s="8">
        <v>12000</v>
      </c>
      <c r="O331" s="8">
        <v>10</v>
      </c>
      <c r="P331" s="8">
        <v>54000</v>
      </c>
      <c r="Q331" s="8">
        <v>3</v>
      </c>
      <c r="R331" s="67" t="s">
        <v>92</v>
      </c>
      <c r="S331" s="8" t="s">
        <v>53</v>
      </c>
      <c r="T331" s="8" t="s">
        <v>336</v>
      </c>
      <c r="U331" s="9" t="s">
        <v>1508</v>
      </c>
      <c r="V331" s="8" t="s">
        <v>42</v>
      </c>
      <c r="W331" s="4">
        <f t="shared" si="5"/>
        <v>8</v>
      </c>
    </row>
    <row r="332" spans="1:23">
      <c r="A332" s="3" t="s">
        <v>1509</v>
      </c>
      <c r="B332" s="4" t="s">
        <v>57</v>
      </c>
      <c r="C332" s="4" t="s">
        <v>263</v>
      </c>
      <c r="D332" s="31" t="s">
        <v>1510</v>
      </c>
      <c r="E332" s="4" t="s">
        <v>1511</v>
      </c>
      <c r="F332" s="4" t="str">
        <f>PROPER(TRIM(Sales_data!F332))</f>
        <v>Pooja Shah</v>
      </c>
      <c r="G332" s="4" t="s">
        <v>32</v>
      </c>
      <c r="H332" s="69" t="s">
        <v>1512</v>
      </c>
      <c r="I332" s="4" t="s">
        <v>63</v>
      </c>
      <c r="J332" s="4" t="str">
        <f>PROPER(Sales_data!J332)</f>
        <v>West</v>
      </c>
      <c r="K332" s="4" t="str">
        <f>PROPER(Sales_data!K332)</f>
        <v>Electronics</v>
      </c>
      <c r="L332" s="4" t="s">
        <v>267</v>
      </c>
      <c r="M332" s="66">
        <v>12</v>
      </c>
      <c r="N332" s="4">
        <v>45</v>
      </c>
      <c r="O332" s="4">
        <v>20</v>
      </c>
      <c r="P332" s="4">
        <v>432</v>
      </c>
      <c r="Q332" s="4">
        <v>3</v>
      </c>
      <c r="R332" s="67" t="s">
        <v>52</v>
      </c>
      <c r="S332" s="4" t="s">
        <v>65</v>
      </c>
      <c r="T332" s="4" t="s">
        <v>66</v>
      </c>
      <c r="U332" s="6" t="s">
        <v>1513</v>
      </c>
      <c r="V332" s="4" t="s">
        <v>42</v>
      </c>
      <c r="W332" s="4">
        <f t="shared" si="5"/>
        <v>4</v>
      </c>
    </row>
    <row r="333" spans="1:23">
      <c r="A333" s="7" t="s">
        <v>1514</v>
      </c>
      <c r="B333" s="8" t="s">
        <v>27</v>
      </c>
      <c r="C333" s="8" t="s">
        <v>96</v>
      </c>
      <c r="D333" s="32" t="s">
        <v>656</v>
      </c>
      <c r="E333" s="8" t="s">
        <v>670</v>
      </c>
      <c r="F333" s="4" t="str">
        <f>PROPER(TRIM(Sales_data!F333))</f>
        <v>Amit Sharma</v>
      </c>
      <c r="G333" s="8" t="s">
        <v>32</v>
      </c>
      <c r="H333" s="70" t="s">
        <v>1515</v>
      </c>
      <c r="I333" s="8" t="s">
        <v>63</v>
      </c>
      <c r="J333" s="4" t="str">
        <f>PROPER(Sales_data!J333)</f>
        <v>North</v>
      </c>
      <c r="K333" s="4" t="str">
        <f>PROPER(Sales_data!K333)</f>
        <v>Electronics</v>
      </c>
      <c r="L333" s="8" t="s">
        <v>101</v>
      </c>
      <c r="M333" s="66">
        <v>2</v>
      </c>
      <c r="N333" s="8">
        <v>3500</v>
      </c>
      <c r="O333" s="8">
        <v>0</v>
      </c>
      <c r="P333" s="8">
        <v>7000</v>
      </c>
      <c r="Q333" s="8">
        <v>1</v>
      </c>
      <c r="R333" s="67" t="s">
        <v>52</v>
      </c>
      <c r="S333" s="8" t="s">
        <v>119</v>
      </c>
      <c r="T333" s="8" t="s">
        <v>54</v>
      </c>
      <c r="U333" s="9" t="s">
        <v>1516</v>
      </c>
      <c r="V333" s="8" t="s">
        <v>68</v>
      </c>
      <c r="W333" s="4">
        <f t="shared" si="5"/>
        <v>4</v>
      </c>
    </row>
    <row r="334" spans="1:23">
      <c r="A334" s="3" t="s">
        <v>1517</v>
      </c>
      <c r="B334" s="4" t="s">
        <v>27</v>
      </c>
      <c r="C334" s="4" t="s">
        <v>28</v>
      </c>
      <c r="D334" s="31" t="s">
        <v>430</v>
      </c>
      <c r="E334" s="4" t="s">
        <v>1184</v>
      </c>
      <c r="F334" s="4" t="str">
        <f>PROPER(TRIM(Sales_data!F334))</f>
        <v>Pooja Shah</v>
      </c>
      <c r="G334" s="4" t="s">
        <v>32</v>
      </c>
      <c r="H334" s="69" t="s">
        <v>1518</v>
      </c>
      <c r="I334" s="4" t="s">
        <v>118</v>
      </c>
      <c r="J334" s="4" t="str">
        <f>PROPER(Sales_data!J334)</f>
        <v>South</v>
      </c>
      <c r="K334" s="4" t="str">
        <f>PROPER(Sales_data!K334)</f>
        <v>Stationery</v>
      </c>
      <c r="L334" s="4" t="s">
        <v>37</v>
      </c>
      <c r="M334" s="66">
        <v>15</v>
      </c>
      <c r="N334" s="4">
        <v>2200</v>
      </c>
      <c r="O334" s="4">
        <v>15</v>
      </c>
      <c r="P334" s="4">
        <v>28050</v>
      </c>
      <c r="Q334" s="4">
        <v>2</v>
      </c>
      <c r="R334" s="67" t="s">
        <v>52</v>
      </c>
      <c r="S334" s="4" t="s">
        <v>53</v>
      </c>
      <c r="T334" s="4" t="s">
        <v>54</v>
      </c>
      <c r="U334" s="6" t="s">
        <v>1519</v>
      </c>
      <c r="V334" s="4" t="s">
        <v>68</v>
      </c>
      <c r="W334" s="4">
        <f t="shared" si="5"/>
        <v>5</v>
      </c>
    </row>
    <row r="335" spans="1:23">
      <c r="A335" s="7" t="s">
        <v>1520</v>
      </c>
      <c r="B335" s="8" t="s">
        <v>104</v>
      </c>
      <c r="C335" s="8" t="s">
        <v>226</v>
      </c>
      <c r="D335" s="32" t="s">
        <v>190</v>
      </c>
      <c r="E335" s="8" t="s">
        <v>1257</v>
      </c>
      <c r="F335" s="4" t="str">
        <f>PROPER(TRIM(Sales_data!F335))</f>
        <v>Kavya Nair</v>
      </c>
      <c r="G335" s="8" t="s">
        <v>32</v>
      </c>
      <c r="H335" s="70" t="s">
        <v>1521</v>
      </c>
      <c r="I335" s="8" t="s">
        <v>142</v>
      </c>
      <c r="J335" s="4" t="str">
        <f>PROPER(Sales_data!J335)</f>
        <v>South</v>
      </c>
      <c r="K335" s="4" t="str">
        <f>PROPER(Sales_data!K335)</f>
        <v>Home Appliances</v>
      </c>
      <c r="L335" s="8" t="s">
        <v>231</v>
      </c>
      <c r="M335" s="66">
        <v>8</v>
      </c>
      <c r="N335" s="8">
        <v>20</v>
      </c>
      <c r="O335" s="8">
        <v>20</v>
      </c>
      <c r="P335" s="8">
        <v>128</v>
      </c>
      <c r="Q335" s="8">
        <v>5</v>
      </c>
      <c r="R335" s="67" t="s">
        <v>92</v>
      </c>
      <c r="S335" s="8" t="s">
        <v>53</v>
      </c>
      <c r="T335" s="8" t="s">
        <v>148</v>
      </c>
      <c r="U335" s="9" t="s">
        <v>1522</v>
      </c>
      <c r="V335" s="8" t="s">
        <v>42</v>
      </c>
      <c r="W335" s="4">
        <f t="shared" si="5"/>
        <v>12</v>
      </c>
    </row>
    <row r="336" spans="1:23">
      <c r="A336" s="3" t="s">
        <v>1523</v>
      </c>
      <c r="B336" s="4" t="s">
        <v>131</v>
      </c>
      <c r="C336" s="4" t="s">
        <v>226</v>
      </c>
      <c r="D336" s="31" t="s">
        <v>302</v>
      </c>
      <c r="E336" s="4" t="s">
        <v>802</v>
      </c>
      <c r="F336" s="4" t="str">
        <f>PROPER(TRIM(Sales_data!F336))</f>
        <v>Kavya Nair</v>
      </c>
      <c r="G336" s="4" t="s">
        <v>80</v>
      </c>
      <c r="H336" s="69" t="s">
        <v>1524</v>
      </c>
      <c r="I336" s="4" t="s">
        <v>34</v>
      </c>
      <c r="J336" s="4" t="str">
        <f>PROPER(Sales_data!J336)</f>
        <v>West</v>
      </c>
      <c r="K336" s="4" t="str">
        <f>PROPER(Sales_data!K336)</f>
        <v>Home Appliances</v>
      </c>
      <c r="L336" s="4" t="s">
        <v>231</v>
      </c>
      <c r="M336" s="66">
        <v>1</v>
      </c>
      <c r="N336" s="4">
        <v>20</v>
      </c>
      <c r="O336" s="4">
        <v>0</v>
      </c>
      <c r="P336" s="4">
        <v>20</v>
      </c>
      <c r="Q336" s="4">
        <v>3</v>
      </c>
      <c r="R336" s="67" t="s">
        <v>92</v>
      </c>
      <c r="S336" s="4" t="s">
        <v>39</v>
      </c>
      <c r="T336" s="4" t="s">
        <v>136</v>
      </c>
      <c r="U336" s="6" t="s">
        <v>1525</v>
      </c>
      <c r="V336" s="4" t="s">
        <v>42</v>
      </c>
      <c r="W336" s="4">
        <f t="shared" si="5"/>
        <v>3</v>
      </c>
    </row>
    <row r="337" spans="1:23">
      <c r="A337" s="7" t="s">
        <v>1526</v>
      </c>
      <c r="B337" s="8" t="s">
        <v>27</v>
      </c>
      <c r="C337" s="8" t="s">
        <v>188</v>
      </c>
      <c r="D337" s="32" t="s">
        <v>1203</v>
      </c>
      <c r="E337" s="8" t="s">
        <v>257</v>
      </c>
      <c r="F337" s="4" t="str">
        <f>PROPER(TRIM(Sales_data!F337))</f>
        <v>Priya Patel</v>
      </c>
      <c r="G337" s="8" t="s">
        <v>32</v>
      </c>
      <c r="H337" s="70" t="s">
        <v>1527</v>
      </c>
      <c r="I337" s="8" t="s">
        <v>216</v>
      </c>
      <c r="J337" s="4" t="str">
        <f>PROPER(Sales_data!J337)</f>
        <v>West</v>
      </c>
      <c r="K337" s="4" t="str">
        <f>PROPER(Sales_data!K337)</f>
        <v>Stationery</v>
      </c>
      <c r="L337" s="8" t="s">
        <v>193</v>
      </c>
      <c r="M337" s="66">
        <v>15</v>
      </c>
      <c r="N337" s="8">
        <v>700</v>
      </c>
      <c r="O337" s="8">
        <v>0</v>
      </c>
      <c r="P337" s="8">
        <v>10500</v>
      </c>
      <c r="Q337" s="8">
        <v>2</v>
      </c>
      <c r="R337" s="67" t="s">
        <v>92</v>
      </c>
      <c r="S337" s="8" t="s">
        <v>53</v>
      </c>
      <c r="T337" s="8" t="s">
        <v>54</v>
      </c>
      <c r="U337" s="9" t="s">
        <v>1528</v>
      </c>
      <c r="V337" s="8" t="s">
        <v>42</v>
      </c>
      <c r="W337" s="4">
        <f t="shared" si="5"/>
        <v>1</v>
      </c>
    </row>
    <row r="338" spans="1:23">
      <c r="A338" s="3" t="s">
        <v>1529</v>
      </c>
      <c r="B338" s="4" t="s">
        <v>331</v>
      </c>
      <c r="C338" s="4" t="s">
        <v>96</v>
      </c>
      <c r="D338" s="31" t="s">
        <v>936</v>
      </c>
      <c r="E338" s="4" t="s">
        <v>1530</v>
      </c>
      <c r="F338" s="4" t="str">
        <f>PROPER(TRIM(Sales_data!F338))</f>
        <v>Rohit Singh</v>
      </c>
      <c r="G338" s="4" t="s">
        <v>80</v>
      </c>
      <c r="H338" s="69" t="s">
        <v>1531</v>
      </c>
      <c r="I338" s="4" t="s">
        <v>34</v>
      </c>
      <c r="J338" s="4" t="str">
        <f>PROPER(Sales_data!J338)</f>
        <v>South</v>
      </c>
      <c r="K338" s="4" t="str">
        <f>PROPER(Sales_data!K338)</f>
        <v>Stationery</v>
      </c>
      <c r="L338" s="4" t="s">
        <v>101</v>
      </c>
      <c r="M338" s="66">
        <v>15</v>
      </c>
      <c r="N338" s="4">
        <v>3500</v>
      </c>
      <c r="O338" s="4">
        <v>10</v>
      </c>
      <c r="P338" s="4">
        <v>47250</v>
      </c>
      <c r="Q338" s="4">
        <v>3</v>
      </c>
      <c r="R338" s="67" t="s">
        <v>38</v>
      </c>
      <c r="S338" s="4" t="s">
        <v>155</v>
      </c>
      <c r="T338" s="4" t="s">
        <v>336</v>
      </c>
      <c r="U338" s="6" t="s">
        <v>1532</v>
      </c>
      <c r="V338" s="4" t="s">
        <v>68</v>
      </c>
      <c r="W338" s="4">
        <f t="shared" si="5"/>
        <v>2</v>
      </c>
    </row>
    <row r="339" spans="1:23">
      <c r="A339" s="7" t="s">
        <v>1533</v>
      </c>
      <c r="B339" s="8" t="s">
        <v>27</v>
      </c>
      <c r="C339" s="8" t="s">
        <v>122</v>
      </c>
      <c r="D339" s="32" t="s">
        <v>1534</v>
      </c>
      <c r="E339" s="8" t="s">
        <v>160</v>
      </c>
      <c r="F339" s="4" t="str">
        <f>PROPER(TRIM(Sales_data!F339))</f>
        <v>Kavya Nair</v>
      </c>
      <c r="G339" s="8" t="s">
        <v>32</v>
      </c>
      <c r="H339" s="70" t="s">
        <v>1535</v>
      </c>
      <c r="I339" s="8" t="s">
        <v>298</v>
      </c>
      <c r="J339" s="4" t="str">
        <f>PROPER(Sales_data!J339)</f>
        <v>North</v>
      </c>
      <c r="K339" s="4" t="str">
        <f>PROPER(Sales_data!K339)</f>
        <v>Electronics</v>
      </c>
      <c r="L339" s="8" t="s">
        <v>127</v>
      </c>
      <c r="M339" s="66">
        <v>16</v>
      </c>
      <c r="N339" s="8">
        <v>60</v>
      </c>
      <c r="O339" s="8">
        <v>10</v>
      </c>
      <c r="P339" s="8">
        <v>864</v>
      </c>
      <c r="Q339" s="8">
        <v>4</v>
      </c>
      <c r="R339" s="67" t="s">
        <v>83</v>
      </c>
      <c r="S339" s="8" t="s">
        <v>65</v>
      </c>
      <c r="T339" s="8" t="s">
        <v>54</v>
      </c>
      <c r="U339" s="9" t="s">
        <v>1536</v>
      </c>
      <c r="V339" s="8" t="s">
        <v>42</v>
      </c>
      <c r="W339" s="4">
        <f t="shared" si="5"/>
        <v>7</v>
      </c>
    </row>
    <row r="340" spans="1:23">
      <c r="A340" s="3" t="s">
        <v>1537</v>
      </c>
      <c r="B340" s="4" t="s">
        <v>131</v>
      </c>
      <c r="C340" s="4" t="s">
        <v>263</v>
      </c>
      <c r="D340" s="31" t="s">
        <v>313</v>
      </c>
      <c r="E340" s="4" t="s">
        <v>797</v>
      </c>
      <c r="F340" s="4" t="str">
        <f>PROPER(TRIM(Sales_data!F340))</f>
        <v>Amit Sharma</v>
      </c>
      <c r="G340" s="4" t="s">
        <v>80</v>
      </c>
      <c r="H340" s="69" t="s">
        <v>1538</v>
      </c>
      <c r="I340" s="4" t="s">
        <v>48</v>
      </c>
      <c r="J340" s="4" t="str">
        <f>PROPER(Sales_data!J340)</f>
        <v>South</v>
      </c>
      <c r="K340" s="4" t="str">
        <f>PROPER(Sales_data!K340)</f>
        <v>Home Appliances</v>
      </c>
      <c r="L340" s="4" t="s">
        <v>267</v>
      </c>
      <c r="M340" s="66">
        <v>2</v>
      </c>
      <c r="N340" s="4">
        <v>45</v>
      </c>
      <c r="O340" s="4">
        <v>15</v>
      </c>
      <c r="P340" s="4">
        <v>76.5</v>
      </c>
      <c r="Q340" s="4">
        <v>1</v>
      </c>
      <c r="R340" s="67" t="s">
        <v>92</v>
      </c>
      <c r="S340" s="4" t="s">
        <v>155</v>
      </c>
      <c r="T340" s="4" t="s">
        <v>136</v>
      </c>
      <c r="U340" s="6" t="s">
        <v>1539</v>
      </c>
      <c r="V340" s="4" t="s">
        <v>73</v>
      </c>
      <c r="W340" s="4">
        <f t="shared" si="5"/>
        <v>10</v>
      </c>
    </row>
    <row r="341" spans="1:23">
      <c r="A341" s="7" t="s">
        <v>1540</v>
      </c>
      <c r="B341" s="8" t="s">
        <v>172</v>
      </c>
      <c r="C341" s="8" t="s">
        <v>122</v>
      </c>
      <c r="D341" s="32" t="s">
        <v>1541</v>
      </c>
      <c r="E341" s="8" t="s">
        <v>1218</v>
      </c>
      <c r="F341" s="4" t="str">
        <f>PROPER(TRIM(Sales_data!F341))</f>
        <v>Kavya Nair</v>
      </c>
      <c r="G341" s="8" t="s">
        <v>32</v>
      </c>
      <c r="H341" s="70" t="s">
        <v>1542</v>
      </c>
      <c r="I341" s="8" t="s">
        <v>48</v>
      </c>
      <c r="J341" s="4" t="str">
        <f>PROPER(Sales_data!J341)</f>
        <v>East</v>
      </c>
      <c r="K341" s="4" t="str">
        <f>PROPER(Sales_data!K341)</f>
        <v>Stationery</v>
      </c>
      <c r="L341" s="8" t="s">
        <v>127</v>
      </c>
      <c r="M341" s="66">
        <v>13</v>
      </c>
      <c r="N341" s="8">
        <v>60</v>
      </c>
      <c r="O341" s="8">
        <v>15</v>
      </c>
      <c r="P341" s="8">
        <v>663</v>
      </c>
      <c r="Q341" s="8">
        <v>2</v>
      </c>
      <c r="R341" s="67" t="s">
        <v>52</v>
      </c>
      <c r="S341" s="8" t="s">
        <v>65</v>
      </c>
      <c r="T341" s="8" t="s">
        <v>179</v>
      </c>
      <c r="U341" s="9" t="s">
        <v>1543</v>
      </c>
      <c r="V341" s="8" t="s">
        <v>73</v>
      </c>
      <c r="W341" s="4">
        <f t="shared" si="5"/>
        <v>12</v>
      </c>
    </row>
    <row r="342" spans="1:23">
      <c r="A342" s="3" t="s">
        <v>1544</v>
      </c>
      <c r="B342" s="4" t="s">
        <v>87</v>
      </c>
      <c r="C342" s="4" t="s">
        <v>44</v>
      </c>
      <c r="D342" s="31" t="s">
        <v>1090</v>
      </c>
      <c r="E342" s="4" t="s">
        <v>240</v>
      </c>
      <c r="F342" s="4" t="str">
        <f>PROPER(TRIM(Sales_data!F342))</f>
        <v>Rohit Singh</v>
      </c>
      <c r="G342" s="4" t="s">
        <v>80</v>
      </c>
      <c r="H342" s="69" t="s">
        <v>1545</v>
      </c>
      <c r="I342" s="4" t="s">
        <v>48</v>
      </c>
      <c r="J342" s="4" t="str">
        <f>PROPER(Sales_data!J342)</f>
        <v>North</v>
      </c>
      <c r="K342" s="4" t="str">
        <f>PROPER(Sales_data!K342)</f>
        <v>Stationery</v>
      </c>
      <c r="L342" s="4" t="s">
        <v>51</v>
      </c>
      <c r="M342" s="66">
        <v>15</v>
      </c>
      <c r="N342" s="4">
        <v>12000</v>
      </c>
      <c r="O342" s="4">
        <v>20</v>
      </c>
      <c r="P342" s="4">
        <v>144000</v>
      </c>
      <c r="Q342" s="4">
        <v>3</v>
      </c>
      <c r="R342" s="67" t="s">
        <v>83</v>
      </c>
      <c r="S342" s="4" t="s">
        <v>39</v>
      </c>
      <c r="T342" s="4" t="s">
        <v>93</v>
      </c>
      <c r="U342" s="6" t="s">
        <v>1546</v>
      </c>
      <c r="V342" s="4" t="s">
        <v>73</v>
      </c>
      <c r="W342" s="4">
        <f t="shared" si="5"/>
        <v>5</v>
      </c>
    </row>
    <row r="343" spans="1:23">
      <c r="A343" s="7" t="s">
        <v>1547</v>
      </c>
      <c r="B343" s="8" t="s">
        <v>331</v>
      </c>
      <c r="C343" s="8" t="s">
        <v>226</v>
      </c>
      <c r="D343" s="32" t="s">
        <v>759</v>
      </c>
      <c r="E343" s="8" t="s">
        <v>1548</v>
      </c>
      <c r="F343" s="4" t="str">
        <f>PROPER(TRIM(Sales_data!F343))</f>
        <v>Anita Gupta</v>
      </c>
      <c r="G343" s="8" t="s">
        <v>80</v>
      </c>
      <c r="H343" s="70" t="s">
        <v>1549</v>
      </c>
      <c r="I343" s="8" t="s">
        <v>48</v>
      </c>
      <c r="J343" s="4" t="str">
        <f>PROPER(Sales_data!J343)</f>
        <v>North</v>
      </c>
      <c r="K343" s="4" t="str">
        <f>PROPER(Sales_data!K343)</f>
        <v>Stationery</v>
      </c>
      <c r="L343" s="8" t="s">
        <v>231</v>
      </c>
      <c r="M343" s="66">
        <v>2</v>
      </c>
      <c r="N343" s="8">
        <v>20</v>
      </c>
      <c r="O343" s="8">
        <v>20</v>
      </c>
      <c r="P343" s="8">
        <v>32</v>
      </c>
      <c r="Q343" s="8">
        <v>4</v>
      </c>
      <c r="R343" s="67" t="s">
        <v>38</v>
      </c>
      <c r="S343" s="8" t="s">
        <v>39</v>
      </c>
      <c r="T343" s="8" t="s">
        <v>336</v>
      </c>
      <c r="U343" s="9" t="s">
        <v>1550</v>
      </c>
      <c r="V343" s="8" t="s">
        <v>68</v>
      </c>
      <c r="W343" s="4">
        <f t="shared" si="5"/>
        <v>7</v>
      </c>
    </row>
    <row r="344" spans="1:23">
      <c r="A344" s="3" t="s">
        <v>1551</v>
      </c>
      <c r="B344" s="4" t="s">
        <v>131</v>
      </c>
      <c r="C344" s="4" t="s">
        <v>96</v>
      </c>
      <c r="D344" s="31" t="s">
        <v>386</v>
      </c>
      <c r="E344" s="4" t="s">
        <v>1552</v>
      </c>
      <c r="F344" s="4" t="str">
        <f>PROPER(TRIM(Sales_data!F344))</f>
        <v>Arjun Rao</v>
      </c>
      <c r="G344" s="4" t="s">
        <v>80</v>
      </c>
      <c r="H344" s="69" t="s">
        <v>1553</v>
      </c>
      <c r="I344" s="4" t="s">
        <v>63</v>
      </c>
      <c r="J344" s="4" t="str">
        <f>PROPER(Sales_data!J344)</f>
        <v>North</v>
      </c>
      <c r="K344" s="4" t="str">
        <f>PROPER(Sales_data!K344)</f>
        <v>Electronics</v>
      </c>
      <c r="L344" s="4" t="s">
        <v>101</v>
      </c>
      <c r="M344" s="66">
        <v>16</v>
      </c>
      <c r="N344" s="4">
        <v>3500</v>
      </c>
      <c r="O344" s="4">
        <v>0</v>
      </c>
      <c r="P344" s="4">
        <v>56000</v>
      </c>
      <c r="Q344" s="4">
        <v>4</v>
      </c>
      <c r="R344" s="67" t="s">
        <v>38</v>
      </c>
      <c r="S344" s="4" t="s">
        <v>119</v>
      </c>
      <c r="T344" s="4" t="s">
        <v>136</v>
      </c>
      <c r="U344" s="6" t="s">
        <v>1554</v>
      </c>
      <c r="V344" s="4" t="s">
        <v>42</v>
      </c>
      <c r="W344" s="4">
        <f t="shared" si="5"/>
        <v>8</v>
      </c>
    </row>
    <row r="345" spans="1:23">
      <c r="A345" s="7" t="s">
        <v>1555</v>
      </c>
      <c r="B345" s="8" t="s">
        <v>57</v>
      </c>
      <c r="C345" s="8" t="s">
        <v>96</v>
      </c>
      <c r="D345" s="32" t="s">
        <v>1306</v>
      </c>
      <c r="E345" s="8" t="s">
        <v>98</v>
      </c>
      <c r="F345" s="4" t="str">
        <f>PROPER(TRIM(Sales_data!F345))</f>
        <v>Amit Sharma</v>
      </c>
      <c r="G345" s="8" t="s">
        <v>32</v>
      </c>
      <c r="H345" s="70" t="s">
        <v>1556</v>
      </c>
      <c r="I345" s="8" t="s">
        <v>142</v>
      </c>
      <c r="J345" s="4" t="str">
        <f>PROPER(Sales_data!J345)</f>
        <v>North</v>
      </c>
      <c r="K345" s="4" t="str">
        <f>PROPER(Sales_data!K345)</f>
        <v>Stationery</v>
      </c>
      <c r="L345" s="8" t="s">
        <v>101</v>
      </c>
      <c r="M345" s="66">
        <v>18</v>
      </c>
      <c r="N345" s="8">
        <v>3500</v>
      </c>
      <c r="O345" s="8">
        <v>15</v>
      </c>
      <c r="P345" s="8">
        <v>53550</v>
      </c>
      <c r="Q345" s="8">
        <v>5</v>
      </c>
      <c r="R345" s="67" t="s">
        <v>38</v>
      </c>
      <c r="S345" s="8" t="s">
        <v>155</v>
      </c>
      <c r="T345" s="8" t="s">
        <v>66</v>
      </c>
      <c r="U345" s="9" t="s">
        <v>1557</v>
      </c>
      <c r="V345" s="8" t="s">
        <v>73</v>
      </c>
      <c r="W345" s="4">
        <f t="shared" si="5"/>
        <v>2</v>
      </c>
    </row>
    <row r="346" spans="1:23">
      <c r="A346" s="3" t="s">
        <v>1558</v>
      </c>
      <c r="B346" s="4" t="s">
        <v>27</v>
      </c>
      <c r="C346" s="4" t="s">
        <v>263</v>
      </c>
      <c r="D346" s="31" t="s">
        <v>69</v>
      </c>
      <c r="E346" s="4" t="s">
        <v>548</v>
      </c>
      <c r="F346" s="4" t="str">
        <f>PROPER(TRIM(Sales_data!F346))</f>
        <v>Rohit Singh</v>
      </c>
      <c r="G346" s="4" t="s">
        <v>32</v>
      </c>
      <c r="H346" s="69" t="s">
        <v>1559</v>
      </c>
      <c r="I346" s="4" t="s">
        <v>142</v>
      </c>
      <c r="J346" s="4" t="str">
        <f>PROPER(Sales_data!J346)</f>
        <v>South</v>
      </c>
      <c r="K346" s="4" t="str">
        <f>PROPER(Sales_data!K346)</f>
        <v>Home Appliances</v>
      </c>
      <c r="L346" s="4" t="s">
        <v>267</v>
      </c>
      <c r="M346" s="66">
        <v>20</v>
      </c>
      <c r="N346" s="4">
        <v>45</v>
      </c>
      <c r="O346" s="4">
        <v>15</v>
      </c>
      <c r="P346" s="4">
        <v>765</v>
      </c>
      <c r="Q346" s="4">
        <v>4</v>
      </c>
      <c r="R346" s="67" t="s">
        <v>38</v>
      </c>
      <c r="S346" s="4" t="s">
        <v>155</v>
      </c>
      <c r="T346" s="4" t="s">
        <v>54</v>
      </c>
      <c r="U346" s="6" t="s">
        <v>1560</v>
      </c>
      <c r="V346" s="4" t="s">
        <v>73</v>
      </c>
      <c r="W346" s="4">
        <f t="shared" si="5"/>
        <v>3</v>
      </c>
    </row>
    <row r="347" spans="1:23">
      <c r="A347" s="7" t="s">
        <v>1561</v>
      </c>
      <c r="B347" s="8" t="s">
        <v>255</v>
      </c>
      <c r="C347" s="8" t="s">
        <v>28</v>
      </c>
      <c r="D347" s="32" t="s">
        <v>1290</v>
      </c>
      <c r="E347" s="8" t="s">
        <v>360</v>
      </c>
      <c r="F347" s="4" t="str">
        <f>PROPER(TRIM(Sales_data!F347))</f>
        <v>Pooja Shah</v>
      </c>
      <c r="G347" s="8" t="s">
        <v>32</v>
      </c>
      <c r="H347" s="70" t="s">
        <v>1562</v>
      </c>
      <c r="I347" s="8" t="s">
        <v>48</v>
      </c>
      <c r="J347" s="4" t="str">
        <f>PROPER(Sales_data!J347)</f>
        <v>West</v>
      </c>
      <c r="K347" s="4" t="str">
        <f>PROPER(Sales_data!K347)</f>
        <v>Home Appliances</v>
      </c>
      <c r="L347" s="8" t="s">
        <v>37</v>
      </c>
      <c r="M347" s="66">
        <v>13</v>
      </c>
      <c r="N347" s="8">
        <v>2200</v>
      </c>
      <c r="O347" s="8">
        <v>15</v>
      </c>
      <c r="P347" s="8">
        <v>24310</v>
      </c>
      <c r="Q347" s="8">
        <v>2</v>
      </c>
      <c r="R347" s="67" t="s">
        <v>52</v>
      </c>
      <c r="S347" s="8" t="s">
        <v>119</v>
      </c>
      <c r="T347" s="8" t="s">
        <v>260</v>
      </c>
      <c r="U347" s="9" t="s">
        <v>1563</v>
      </c>
      <c r="V347" s="8" t="s">
        <v>68</v>
      </c>
      <c r="W347" s="4">
        <f t="shared" si="5"/>
        <v>4</v>
      </c>
    </row>
    <row r="348" spans="1:23">
      <c r="A348" s="3" t="s">
        <v>1564</v>
      </c>
      <c r="B348" s="4" t="s">
        <v>57</v>
      </c>
      <c r="C348" s="4" t="s">
        <v>1565</v>
      </c>
      <c r="D348" s="31" t="s">
        <v>344</v>
      </c>
      <c r="E348" s="4" t="s">
        <v>350</v>
      </c>
      <c r="F348" s="4" t="str">
        <f>PROPER(TRIM(Sales_data!F348))</f>
        <v>Kavya Nair</v>
      </c>
      <c r="G348" s="4" t="s">
        <v>32</v>
      </c>
      <c r="H348" s="69" t="s">
        <v>1566</v>
      </c>
      <c r="I348" s="4" t="s">
        <v>298</v>
      </c>
      <c r="J348" s="4" t="str">
        <f>PROPER(Sales_data!J348)</f>
        <v>West</v>
      </c>
      <c r="K348" s="4" t="str">
        <f>PROPER(Sales_data!K348)</f>
        <v>Stationery</v>
      </c>
      <c r="L348" s="4" t="s">
        <v>178</v>
      </c>
      <c r="M348" s="66">
        <v>11</v>
      </c>
      <c r="N348" s="4">
        <v>8500</v>
      </c>
      <c r="O348" s="4">
        <v>5</v>
      </c>
      <c r="P348" s="4">
        <v>88825</v>
      </c>
      <c r="Q348" s="4">
        <v>1</v>
      </c>
      <c r="R348" s="67" t="s">
        <v>92</v>
      </c>
      <c r="S348" s="4" t="s">
        <v>119</v>
      </c>
      <c r="T348" s="4" t="s">
        <v>66</v>
      </c>
      <c r="U348" s="6" t="s">
        <v>1567</v>
      </c>
      <c r="V348" s="4" t="s">
        <v>73</v>
      </c>
      <c r="W348" s="4">
        <f t="shared" si="5"/>
        <v>10</v>
      </c>
    </row>
    <row r="349" spans="1:23">
      <c r="A349" s="7" t="s">
        <v>1568</v>
      </c>
      <c r="B349" s="8" t="s">
        <v>57</v>
      </c>
      <c r="C349" s="8" t="s">
        <v>28</v>
      </c>
      <c r="D349" s="32" t="s">
        <v>1569</v>
      </c>
      <c r="E349" s="8" t="s">
        <v>1479</v>
      </c>
      <c r="F349" s="4" t="str">
        <f>PROPER(TRIM(Sales_data!F349))</f>
        <v>Sneha Joshi</v>
      </c>
      <c r="G349" s="8" t="s">
        <v>32</v>
      </c>
      <c r="H349" s="70" t="s">
        <v>1570</v>
      </c>
      <c r="I349" s="8" t="s">
        <v>216</v>
      </c>
      <c r="J349" s="4" t="str">
        <f>PROPER(Sales_data!J349)</f>
        <v>North</v>
      </c>
      <c r="K349" s="4" t="str">
        <f>PROPER(Sales_data!K349)</f>
        <v>Home Appliances</v>
      </c>
      <c r="L349" s="8" t="s">
        <v>37</v>
      </c>
      <c r="M349" s="66">
        <v>2</v>
      </c>
      <c r="N349" s="8">
        <v>2200</v>
      </c>
      <c r="O349" s="8">
        <v>0</v>
      </c>
      <c r="P349" s="8">
        <v>4400</v>
      </c>
      <c r="Q349" s="8">
        <v>4</v>
      </c>
      <c r="R349" s="67" t="s">
        <v>92</v>
      </c>
      <c r="S349" s="8" t="s">
        <v>155</v>
      </c>
      <c r="T349" s="8" t="s">
        <v>66</v>
      </c>
      <c r="U349" s="9" t="s">
        <v>1571</v>
      </c>
      <c r="V349" s="8" t="s">
        <v>68</v>
      </c>
      <c r="W349" s="4">
        <f t="shared" si="5"/>
        <v>12</v>
      </c>
    </row>
    <row r="350" spans="1:23">
      <c r="A350" s="3" t="s">
        <v>1572</v>
      </c>
      <c r="B350" s="4" t="s">
        <v>87</v>
      </c>
      <c r="C350" s="4" t="s">
        <v>188</v>
      </c>
      <c r="D350" s="31" t="s">
        <v>1246</v>
      </c>
      <c r="E350" s="4" t="s">
        <v>724</v>
      </c>
      <c r="F350" s="4" t="str">
        <f>PROPER(TRIM(Sales_data!F350))</f>
        <v>Pooja Shah</v>
      </c>
      <c r="G350" s="4" t="s">
        <v>80</v>
      </c>
      <c r="H350" s="69" t="s">
        <v>1573</v>
      </c>
      <c r="I350" s="4" t="s">
        <v>109</v>
      </c>
      <c r="J350" s="4" t="str">
        <f>PROPER(Sales_data!J350)</f>
        <v>East</v>
      </c>
      <c r="K350" s="4" t="str">
        <f>PROPER(Sales_data!K350)</f>
        <v>Home Appliances</v>
      </c>
      <c r="L350" s="4" t="s">
        <v>193</v>
      </c>
      <c r="M350" s="66">
        <v>15</v>
      </c>
      <c r="N350" s="4">
        <v>700</v>
      </c>
      <c r="O350" s="4">
        <v>15</v>
      </c>
      <c r="P350" s="4">
        <v>8925</v>
      </c>
      <c r="Q350" s="4">
        <v>3</v>
      </c>
      <c r="R350" s="67" t="s">
        <v>52</v>
      </c>
      <c r="S350" s="4" t="s">
        <v>119</v>
      </c>
      <c r="T350" s="4" t="s">
        <v>93</v>
      </c>
      <c r="U350" s="6" t="s">
        <v>1574</v>
      </c>
      <c r="V350" s="4" t="s">
        <v>42</v>
      </c>
      <c r="W350" s="4">
        <f t="shared" si="5"/>
        <v>7</v>
      </c>
    </row>
    <row r="351" spans="1:23">
      <c r="A351" s="7" t="s">
        <v>1575</v>
      </c>
      <c r="B351" s="8" t="s">
        <v>131</v>
      </c>
      <c r="C351" s="8" t="s">
        <v>28</v>
      </c>
      <c r="D351" s="32" t="s">
        <v>1576</v>
      </c>
      <c r="E351" s="8" t="s">
        <v>839</v>
      </c>
      <c r="F351" s="4" t="str">
        <f>PROPER(TRIM(Sales_data!F351))</f>
        <v>Pooja Shah</v>
      </c>
      <c r="G351" s="8" t="s">
        <v>80</v>
      </c>
      <c r="H351" s="70" t="s">
        <v>1577</v>
      </c>
      <c r="I351" s="8" t="s">
        <v>142</v>
      </c>
      <c r="J351" s="4" t="str">
        <f>PROPER(Sales_data!J351)</f>
        <v>North</v>
      </c>
      <c r="K351" s="4" t="str">
        <f>PROPER(Sales_data!K351)</f>
        <v>Home Appliances</v>
      </c>
      <c r="L351" s="8" t="s">
        <v>37</v>
      </c>
      <c r="M351" s="66">
        <v>5</v>
      </c>
      <c r="N351" s="8">
        <v>2200</v>
      </c>
      <c r="O351" s="8">
        <v>15</v>
      </c>
      <c r="P351" s="8">
        <v>9350</v>
      </c>
      <c r="Q351" s="8">
        <v>1</v>
      </c>
      <c r="R351" s="67" t="s">
        <v>52</v>
      </c>
      <c r="S351" s="8" t="s">
        <v>119</v>
      </c>
      <c r="T351" s="8" t="s">
        <v>136</v>
      </c>
      <c r="U351" s="9" t="s">
        <v>1578</v>
      </c>
      <c r="V351" s="8" t="s">
        <v>68</v>
      </c>
      <c r="W351" s="4">
        <f t="shared" si="5"/>
        <v>7</v>
      </c>
    </row>
    <row r="352" spans="1:23">
      <c r="A352" s="3" t="s">
        <v>1579</v>
      </c>
      <c r="B352" s="4" t="s">
        <v>87</v>
      </c>
      <c r="C352" s="4" t="s">
        <v>76</v>
      </c>
      <c r="D352" s="31" t="s">
        <v>558</v>
      </c>
      <c r="E352" s="4" t="s">
        <v>1484</v>
      </c>
      <c r="F352" s="4" t="str">
        <f>PROPER(TRIM(Sales_data!F352))</f>
        <v>Arjun Rao</v>
      </c>
      <c r="G352" s="4" t="s">
        <v>80</v>
      </c>
      <c r="H352" s="69" t="s">
        <v>1580</v>
      </c>
      <c r="I352" s="4" t="s">
        <v>142</v>
      </c>
      <c r="J352" s="4" t="str">
        <f>PROPER(Sales_data!J352)</f>
        <v>West</v>
      </c>
      <c r="K352" s="4" t="str">
        <f>PROPER(Sales_data!K352)</f>
        <v>Electronics</v>
      </c>
      <c r="L352" s="4" t="s">
        <v>82</v>
      </c>
      <c r="M352" s="66">
        <v>15</v>
      </c>
      <c r="N352" s="4">
        <v>1200</v>
      </c>
      <c r="O352" s="4">
        <v>0</v>
      </c>
      <c r="P352" s="4">
        <v>18000</v>
      </c>
      <c r="Q352" s="4">
        <v>3</v>
      </c>
      <c r="R352" s="67" t="s">
        <v>52</v>
      </c>
      <c r="S352" s="4" t="s">
        <v>65</v>
      </c>
      <c r="T352" s="4" t="s">
        <v>93</v>
      </c>
      <c r="U352" s="6" t="s">
        <v>1581</v>
      </c>
      <c r="V352" s="4" t="s">
        <v>73</v>
      </c>
      <c r="W352" s="4">
        <f t="shared" si="5"/>
        <v>3</v>
      </c>
    </row>
    <row r="353" spans="1:23">
      <c r="A353" s="7" t="s">
        <v>1582</v>
      </c>
      <c r="B353" s="8" t="s">
        <v>255</v>
      </c>
      <c r="C353" s="8" t="s">
        <v>76</v>
      </c>
      <c r="D353" s="32" t="s">
        <v>165</v>
      </c>
      <c r="E353" s="8" t="s">
        <v>661</v>
      </c>
      <c r="F353" s="4" t="str">
        <f>PROPER(TRIM(Sales_data!F353))</f>
        <v>Rohit Singh</v>
      </c>
      <c r="G353" s="8" t="s">
        <v>32</v>
      </c>
      <c r="H353" s="70" t="s">
        <v>1583</v>
      </c>
      <c r="I353" s="8" t="s">
        <v>109</v>
      </c>
      <c r="J353" s="4" t="str">
        <f>PROPER(Sales_data!J353)</f>
        <v>West</v>
      </c>
      <c r="K353" s="4" t="str">
        <f>PROPER(Sales_data!K353)</f>
        <v>Home Appliances</v>
      </c>
      <c r="L353" s="8" t="s">
        <v>82</v>
      </c>
      <c r="M353" s="66">
        <v>19</v>
      </c>
      <c r="N353" s="8">
        <v>1200</v>
      </c>
      <c r="O353" s="8">
        <v>0</v>
      </c>
      <c r="P353" s="8">
        <v>22800</v>
      </c>
      <c r="Q353" s="8">
        <v>1</v>
      </c>
      <c r="R353" s="67" t="s">
        <v>38</v>
      </c>
      <c r="S353" s="8" t="s">
        <v>53</v>
      </c>
      <c r="T353" s="8" t="s">
        <v>260</v>
      </c>
      <c r="U353" s="9" t="s">
        <v>1584</v>
      </c>
      <c r="V353" s="8" t="s">
        <v>73</v>
      </c>
      <c r="W353" s="4">
        <f t="shared" si="5"/>
        <v>4</v>
      </c>
    </row>
    <row r="354" spans="1:23">
      <c r="A354" s="3" t="s">
        <v>1585</v>
      </c>
      <c r="B354" s="4" t="s">
        <v>172</v>
      </c>
      <c r="C354" s="4" t="s">
        <v>44</v>
      </c>
      <c r="D354" s="31" t="s">
        <v>29</v>
      </c>
      <c r="E354" s="4" t="s">
        <v>1586</v>
      </c>
      <c r="F354" s="4" t="str">
        <f>PROPER(TRIM(Sales_data!F354))</f>
        <v>Arjun Rao</v>
      </c>
      <c r="G354" s="4" t="s">
        <v>32</v>
      </c>
      <c r="H354" s="69" t="s">
        <v>1587</v>
      </c>
      <c r="I354" s="4" t="s">
        <v>109</v>
      </c>
      <c r="J354" s="4" t="str">
        <f>PROPER(Sales_data!J354)</f>
        <v>West</v>
      </c>
      <c r="K354" s="4" t="str">
        <f>PROPER(Sales_data!K354)</f>
        <v>Electronics</v>
      </c>
      <c r="L354" s="4" t="s">
        <v>51</v>
      </c>
      <c r="M354" s="66">
        <v>9</v>
      </c>
      <c r="N354" s="4">
        <v>12000</v>
      </c>
      <c r="O354" s="4">
        <v>15</v>
      </c>
      <c r="P354" s="4">
        <v>91800</v>
      </c>
      <c r="Q354" s="4">
        <v>3</v>
      </c>
      <c r="R354" s="67" t="s">
        <v>92</v>
      </c>
      <c r="S354" s="4" t="s">
        <v>53</v>
      </c>
      <c r="T354" s="4" t="s">
        <v>179</v>
      </c>
      <c r="U354" s="6" t="s">
        <v>1588</v>
      </c>
      <c r="V354" s="4" t="s">
        <v>73</v>
      </c>
      <c r="W354" s="4">
        <f t="shared" si="5"/>
        <v>9</v>
      </c>
    </row>
    <row r="355" spans="1:23">
      <c r="A355" s="7" t="s">
        <v>1589</v>
      </c>
      <c r="B355" s="8" t="s">
        <v>27</v>
      </c>
      <c r="C355" s="8" t="s">
        <v>263</v>
      </c>
      <c r="D355" s="32" t="s">
        <v>349</v>
      </c>
      <c r="E355" s="8" t="s">
        <v>797</v>
      </c>
      <c r="F355" s="4" t="str">
        <f>PROPER(TRIM(Sales_data!F355))</f>
        <v>Sneha Joshi</v>
      </c>
      <c r="G355" s="8" t="s">
        <v>32</v>
      </c>
      <c r="H355" s="70" t="s">
        <v>1590</v>
      </c>
      <c r="I355" s="8" t="s">
        <v>216</v>
      </c>
      <c r="J355" s="4" t="str">
        <f>PROPER(Sales_data!J355)</f>
        <v>West</v>
      </c>
      <c r="K355" s="4" t="str">
        <f>PROPER(Sales_data!K355)</f>
        <v>Electronics</v>
      </c>
      <c r="L355" s="8" t="s">
        <v>267</v>
      </c>
      <c r="M355" s="66">
        <v>5</v>
      </c>
      <c r="N355" s="8">
        <v>45</v>
      </c>
      <c r="O355" s="8">
        <v>5</v>
      </c>
      <c r="P355" s="8">
        <v>213.75</v>
      </c>
      <c r="Q355" s="8">
        <v>1</v>
      </c>
      <c r="R355" s="67" t="s">
        <v>83</v>
      </c>
      <c r="S355" s="8" t="s">
        <v>119</v>
      </c>
      <c r="T355" s="8" t="s">
        <v>54</v>
      </c>
      <c r="U355" s="9" t="s">
        <v>1591</v>
      </c>
      <c r="V355" s="8" t="s">
        <v>42</v>
      </c>
      <c r="W355" s="4">
        <f t="shared" si="5"/>
        <v>10</v>
      </c>
    </row>
    <row r="356" spans="1:23">
      <c r="A356" s="3" t="s">
        <v>1592</v>
      </c>
      <c r="B356" s="4" t="s">
        <v>255</v>
      </c>
      <c r="C356" s="4" t="s">
        <v>188</v>
      </c>
      <c r="D356" s="31" t="s">
        <v>68</v>
      </c>
      <c r="E356" s="4" t="s">
        <v>1377</v>
      </c>
      <c r="F356" s="4" t="str">
        <f>PROPER(TRIM(Sales_data!F356))</f>
        <v>Anita Gupta</v>
      </c>
      <c r="G356" s="4" t="s">
        <v>32</v>
      </c>
      <c r="H356" s="69" t="s">
        <v>1594</v>
      </c>
      <c r="I356" s="4" t="s">
        <v>109</v>
      </c>
      <c r="J356" s="4" t="str">
        <f>PROPER(Sales_data!J356)</f>
        <v>West</v>
      </c>
      <c r="K356" s="4" t="str">
        <f>PROPER(Sales_data!K356)</f>
        <v>Electronics</v>
      </c>
      <c r="L356" s="4" t="s">
        <v>193</v>
      </c>
      <c r="M356" s="66">
        <v>3</v>
      </c>
      <c r="N356" s="4">
        <v>700</v>
      </c>
      <c r="O356" s="4">
        <v>15</v>
      </c>
      <c r="P356" s="4">
        <v>1785</v>
      </c>
      <c r="Q356" s="4">
        <v>4</v>
      </c>
      <c r="R356" s="67" t="s">
        <v>38</v>
      </c>
      <c r="S356" s="4" t="s">
        <v>155</v>
      </c>
      <c r="T356" s="4" t="s">
        <v>260</v>
      </c>
      <c r="U356" s="6" t="s">
        <v>1595</v>
      </c>
      <c r="V356" s="4" t="s">
        <v>42</v>
      </c>
      <c r="W356" s="4" t="str">
        <f t="shared" si="5"/>
        <v>0</v>
      </c>
    </row>
    <row r="357" spans="1:23">
      <c r="A357" s="7" t="s">
        <v>1596</v>
      </c>
      <c r="B357" s="8" t="s">
        <v>75</v>
      </c>
      <c r="C357" s="8" t="s">
        <v>173</v>
      </c>
      <c r="D357" s="32" t="s">
        <v>458</v>
      </c>
      <c r="E357" s="8" t="s">
        <v>965</v>
      </c>
      <c r="F357" s="4" t="str">
        <f>PROPER(TRIM(Sales_data!F357))</f>
        <v>Kavya Nair</v>
      </c>
      <c r="G357" s="8" t="s">
        <v>80</v>
      </c>
      <c r="H357" s="70" t="s">
        <v>1597</v>
      </c>
      <c r="I357" s="8" t="s">
        <v>216</v>
      </c>
      <c r="J357" s="4" t="str">
        <f>PROPER(Sales_data!J357)</f>
        <v>North</v>
      </c>
      <c r="K357" s="4" t="str">
        <f>PROPER(Sales_data!K357)</f>
        <v>Stationery</v>
      </c>
      <c r="L357" s="8" t="s">
        <v>178</v>
      </c>
      <c r="M357" s="66">
        <v>12</v>
      </c>
      <c r="N357" s="8">
        <v>8500</v>
      </c>
      <c r="O357" s="8">
        <v>5</v>
      </c>
      <c r="P357" s="8">
        <v>96900</v>
      </c>
      <c r="Q357" s="8">
        <v>3</v>
      </c>
      <c r="R357" s="67" t="s">
        <v>83</v>
      </c>
      <c r="S357" s="8" t="s">
        <v>65</v>
      </c>
      <c r="T357" s="8" t="s">
        <v>84</v>
      </c>
      <c r="U357" s="9" t="s">
        <v>1598</v>
      </c>
      <c r="V357" s="8" t="s">
        <v>68</v>
      </c>
      <c r="W357" s="4">
        <f t="shared" si="5"/>
        <v>12</v>
      </c>
    </row>
    <row r="358" spans="1:23">
      <c r="A358" s="3" t="s">
        <v>1599</v>
      </c>
      <c r="B358" s="4" t="s">
        <v>255</v>
      </c>
      <c r="C358" s="4" t="s">
        <v>173</v>
      </c>
      <c r="D358" s="31" t="s">
        <v>166</v>
      </c>
      <c r="E358" s="4" t="s">
        <v>360</v>
      </c>
      <c r="F358" s="4" t="str">
        <f>PROPER(TRIM(Sales_data!F358))</f>
        <v>Sneha Joshi</v>
      </c>
      <c r="G358" s="4" t="s">
        <v>32</v>
      </c>
      <c r="H358" s="69" t="s">
        <v>1600</v>
      </c>
      <c r="I358" s="4" t="s">
        <v>118</v>
      </c>
      <c r="J358" s="4" t="str">
        <f>PROPER(Sales_data!J358)</f>
        <v>West</v>
      </c>
      <c r="K358" s="4" t="str">
        <f>PROPER(Sales_data!K358)</f>
        <v>Electronics</v>
      </c>
      <c r="L358" s="4" t="s">
        <v>178</v>
      </c>
      <c r="M358" s="66">
        <v>4</v>
      </c>
      <c r="N358" s="4">
        <v>8500</v>
      </c>
      <c r="O358" s="4">
        <v>15</v>
      </c>
      <c r="P358" s="4">
        <v>28900</v>
      </c>
      <c r="Q358" s="4">
        <v>4</v>
      </c>
      <c r="R358" s="67" t="s">
        <v>52</v>
      </c>
      <c r="S358" s="4" t="s">
        <v>65</v>
      </c>
      <c r="T358" s="4" t="s">
        <v>260</v>
      </c>
      <c r="U358" s="6" t="s">
        <v>1601</v>
      </c>
      <c r="V358" s="4" t="s">
        <v>68</v>
      </c>
      <c r="W358" s="4">
        <f t="shared" si="5"/>
        <v>4</v>
      </c>
    </row>
    <row r="359" spans="1:23">
      <c r="A359" s="7" t="s">
        <v>1602</v>
      </c>
      <c r="B359" s="8" t="s">
        <v>131</v>
      </c>
      <c r="C359" s="8" t="s">
        <v>226</v>
      </c>
      <c r="D359" s="32" t="s">
        <v>106</v>
      </c>
      <c r="E359" s="8" t="s">
        <v>957</v>
      </c>
      <c r="F359" s="4" t="str">
        <f>PROPER(TRIM(Sales_data!F359))</f>
        <v>Mohit Verma</v>
      </c>
      <c r="G359" s="8" t="s">
        <v>80</v>
      </c>
      <c r="H359" s="70" t="s">
        <v>1603</v>
      </c>
      <c r="I359" s="8" t="s">
        <v>216</v>
      </c>
      <c r="J359" s="4" t="str">
        <f>PROPER(Sales_data!J359)</f>
        <v>North</v>
      </c>
      <c r="K359" s="4" t="str">
        <f>PROPER(Sales_data!K359)</f>
        <v>Home Appliances</v>
      </c>
      <c r="L359" s="8" t="s">
        <v>231</v>
      </c>
      <c r="M359" s="66">
        <v>16</v>
      </c>
      <c r="N359" s="8">
        <v>20</v>
      </c>
      <c r="O359" s="8">
        <v>10</v>
      </c>
      <c r="P359" s="8">
        <v>288</v>
      </c>
      <c r="Q359" s="8">
        <v>4</v>
      </c>
      <c r="R359" s="67" t="s">
        <v>38</v>
      </c>
      <c r="S359" s="8" t="s">
        <v>119</v>
      </c>
      <c r="T359" s="8" t="s">
        <v>136</v>
      </c>
      <c r="U359" s="9" t="s">
        <v>1604</v>
      </c>
      <c r="V359" s="8" t="s">
        <v>73</v>
      </c>
      <c r="W359" s="4">
        <f t="shared" si="5"/>
        <v>4</v>
      </c>
    </row>
    <row r="360" spans="1:23">
      <c r="A360" s="3" t="s">
        <v>1605</v>
      </c>
      <c r="B360" s="4" t="s">
        <v>131</v>
      </c>
      <c r="C360" s="4" t="s">
        <v>122</v>
      </c>
      <c r="D360" s="31" t="s">
        <v>605</v>
      </c>
      <c r="E360" s="4" t="s">
        <v>1606</v>
      </c>
      <c r="F360" s="4" t="str">
        <f>PROPER(TRIM(Sales_data!F360))</f>
        <v>Sneha Joshi</v>
      </c>
      <c r="G360" s="4" t="s">
        <v>80</v>
      </c>
      <c r="H360" s="69" t="s">
        <v>1607</v>
      </c>
      <c r="I360" s="4" t="s">
        <v>109</v>
      </c>
      <c r="J360" s="4" t="str">
        <f>PROPER(Sales_data!J360)</f>
        <v>West</v>
      </c>
      <c r="K360" s="4" t="str">
        <f>PROPER(Sales_data!K360)</f>
        <v>Home Appliances</v>
      </c>
      <c r="L360" s="4" t="s">
        <v>127</v>
      </c>
      <c r="M360" s="66">
        <v>3</v>
      </c>
      <c r="N360" s="4">
        <v>60</v>
      </c>
      <c r="O360" s="4">
        <v>20</v>
      </c>
      <c r="P360" s="4">
        <v>144</v>
      </c>
      <c r="Q360" s="4">
        <v>4</v>
      </c>
      <c r="R360" s="67" t="s">
        <v>92</v>
      </c>
      <c r="S360" s="4" t="s">
        <v>155</v>
      </c>
      <c r="T360" s="4" t="s">
        <v>136</v>
      </c>
      <c r="U360" s="6" t="s">
        <v>1608</v>
      </c>
      <c r="V360" s="4" t="s">
        <v>68</v>
      </c>
      <c r="W360" s="4">
        <f t="shared" si="5"/>
        <v>5</v>
      </c>
    </row>
    <row r="361" spans="1:23">
      <c r="A361" s="7" t="s">
        <v>1609</v>
      </c>
      <c r="B361" s="8" t="s">
        <v>75</v>
      </c>
      <c r="C361" s="8" t="s">
        <v>28</v>
      </c>
      <c r="D361" s="32" t="s">
        <v>1110</v>
      </c>
      <c r="E361" s="8" t="s">
        <v>159</v>
      </c>
      <c r="F361" s="4" t="str">
        <f>PROPER(TRIM(Sales_data!F361))</f>
        <v>Rohit Singh</v>
      </c>
      <c r="G361" s="8" t="s">
        <v>80</v>
      </c>
      <c r="H361" s="70" t="s">
        <v>1610</v>
      </c>
      <c r="I361" s="8" t="s">
        <v>109</v>
      </c>
      <c r="J361" s="4" t="str">
        <f>PROPER(Sales_data!J361)</f>
        <v>North</v>
      </c>
      <c r="K361" s="4" t="str">
        <f>PROPER(Sales_data!K361)</f>
        <v>Stationery</v>
      </c>
      <c r="L361" s="8" t="s">
        <v>37</v>
      </c>
      <c r="M361" s="66">
        <v>19</v>
      </c>
      <c r="N361" s="8">
        <v>2200</v>
      </c>
      <c r="O361" s="8">
        <v>10</v>
      </c>
      <c r="P361" s="8">
        <v>37620</v>
      </c>
      <c r="Q361" s="8">
        <v>2</v>
      </c>
      <c r="R361" s="67" t="s">
        <v>38</v>
      </c>
      <c r="S361" s="8" t="s">
        <v>155</v>
      </c>
      <c r="T361" s="8" t="s">
        <v>84</v>
      </c>
      <c r="U361" s="9" t="s">
        <v>1611</v>
      </c>
      <c r="V361" s="8" t="s">
        <v>68</v>
      </c>
      <c r="W361" s="4">
        <f t="shared" si="5"/>
        <v>7</v>
      </c>
    </row>
    <row r="362" spans="1:23">
      <c r="A362" s="3" t="s">
        <v>1612</v>
      </c>
      <c r="B362" s="4" t="s">
        <v>75</v>
      </c>
      <c r="C362" s="4" t="s">
        <v>76</v>
      </c>
      <c r="D362" s="31" t="s">
        <v>1613</v>
      </c>
      <c r="E362" s="4" t="s">
        <v>592</v>
      </c>
      <c r="F362" s="4" t="str">
        <f>PROPER(TRIM(Sales_data!F362))</f>
        <v>Rohit Singh</v>
      </c>
      <c r="G362" s="4" t="s">
        <v>80</v>
      </c>
      <c r="H362" s="69" t="s">
        <v>1614</v>
      </c>
      <c r="I362" s="4" t="s">
        <v>34</v>
      </c>
      <c r="J362" s="4" t="str">
        <f>PROPER(Sales_data!J362)</f>
        <v>West</v>
      </c>
      <c r="K362" s="4" t="str">
        <f>PROPER(Sales_data!K362)</f>
        <v>Stationery</v>
      </c>
      <c r="L362" s="4" t="s">
        <v>82</v>
      </c>
      <c r="M362" s="66">
        <v>7</v>
      </c>
      <c r="N362" s="4">
        <v>1200</v>
      </c>
      <c r="O362" s="4">
        <v>20</v>
      </c>
      <c r="P362" s="4">
        <v>6720</v>
      </c>
      <c r="Q362" s="4">
        <v>3</v>
      </c>
      <c r="R362" s="67" t="s">
        <v>83</v>
      </c>
      <c r="S362" s="4" t="s">
        <v>119</v>
      </c>
      <c r="T362" s="4" t="s">
        <v>84</v>
      </c>
      <c r="U362" s="6" t="s">
        <v>1615</v>
      </c>
      <c r="V362" s="4" t="s">
        <v>73</v>
      </c>
      <c r="W362" s="4">
        <f t="shared" si="5"/>
        <v>1</v>
      </c>
    </row>
    <row r="363" spans="1:23">
      <c r="A363" s="7" t="s">
        <v>1616</v>
      </c>
      <c r="B363" s="8" t="s">
        <v>57</v>
      </c>
      <c r="C363" s="8" t="s">
        <v>226</v>
      </c>
      <c r="D363" s="32" t="s">
        <v>547</v>
      </c>
      <c r="E363" s="8" t="s">
        <v>69</v>
      </c>
      <c r="F363" s="4" t="str">
        <f>PROPER(TRIM(Sales_data!F363))</f>
        <v>Mohit Verma</v>
      </c>
      <c r="G363" s="8" t="s">
        <v>32</v>
      </c>
      <c r="H363" s="70" t="s">
        <v>1617</v>
      </c>
      <c r="I363" s="8" t="s">
        <v>63</v>
      </c>
      <c r="J363" s="4" t="str">
        <f>PROPER(Sales_data!J363)</f>
        <v>West</v>
      </c>
      <c r="K363" s="4" t="str">
        <f>PROPER(Sales_data!K363)</f>
        <v>Home Appliances</v>
      </c>
      <c r="L363" s="8" t="s">
        <v>231</v>
      </c>
      <c r="M363" s="66">
        <v>20</v>
      </c>
      <c r="N363" s="8">
        <v>20</v>
      </c>
      <c r="O363" s="8">
        <v>20</v>
      </c>
      <c r="P363" s="8">
        <v>320</v>
      </c>
      <c r="Q363" s="8">
        <v>5</v>
      </c>
      <c r="R363" s="67" t="s">
        <v>83</v>
      </c>
      <c r="S363" s="8" t="s">
        <v>119</v>
      </c>
      <c r="T363" s="8" t="s">
        <v>66</v>
      </c>
      <c r="U363" s="9" t="s">
        <v>1618</v>
      </c>
      <c r="V363" s="8" t="s">
        <v>68</v>
      </c>
      <c r="W363" s="4">
        <f t="shared" si="5"/>
        <v>3</v>
      </c>
    </row>
    <row r="364" spans="1:23">
      <c r="A364" s="3" t="s">
        <v>1619</v>
      </c>
      <c r="B364" s="4" t="s">
        <v>104</v>
      </c>
      <c r="C364" s="4" t="s">
        <v>76</v>
      </c>
      <c r="D364" s="31" t="s">
        <v>214</v>
      </c>
      <c r="E364" s="4" t="s">
        <v>1620</v>
      </c>
      <c r="F364" s="4" t="str">
        <f>PROPER(TRIM(Sales_data!F364))</f>
        <v>Mohit Verma</v>
      </c>
      <c r="G364" s="4" t="s">
        <v>32</v>
      </c>
      <c r="H364" s="69" t="s">
        <v>1621</v>
      </c>
      <c r="I364" s="4" t="s">
        <v>34</v>
      </c>
      <c r="J364" s="4" t="str">
        <f>PROPER(Sales_data!J364)</f>
        <v>South</v>
      </c>
      <c r="K364" s="4" t="str">
        <f>PROPER(Sales_data!K364)</f>
        <v>Electronics</v>
      </c>
      <c r="L364" s="4" t="s">
        <v>82</v>
      </c>
      <c r="M364" s="66">
        <v>19</v>
      </c>
      <c r="N364" s="4">
        <v>1200</v>
      </c>
      <c r="O364" s="4">
        <v>5</v>
      </c>
      <c r="P364" s="4">
        <v>21660</v>
      </c>
      <c r="Q364" s="4">
        <v>3</v>
      </c>
      <c r="R364" s="67" t="s">
        <v>83</v>
      </c>
      <c r="S364" s="4" t="s">
        <v>39</v>
      </c>
      <c r="T364" s="4" t="s">
        <v>148</v>
      </c>
      <c r="U364" s="6" t="s">
        <v>1622</v>
      </c>
      <c r="V364" s="4" t="s">
        <v>68</v>
      </c>
      <c r="W364" s="4">
        <f t="shared" si="5"/>
        <v>4</v>
      </c>
    </row>
    <row r="365" spans="1:23">
      <c r="A365" s="7" t="s">
        <v>1623</v>
      </c>
      <c r="B365" s="8" t="s">
        <v>57</v>
      </c>
      <c r="C365" s="8" t="s">
        <v>226</v>
      </c>
      <c r="D365" s="32" t="s">
        <v>1624</v>
      </c>
      <c r="E365" s="8" t="s">
        <v>306</v>
      </c>
      <c r="F365" s="4" t="str">
        <f>PROPER(TRIM(Sales_data!F365))</f>
        <v>Pooja Shah</v>
      </c>
      <c r="G365" s="8" t="s">
        <v>32</v>
      </c>
      <c r="H365" s="70" t="s">
        <v>1625</v>
      </c>
      <c r="I365" s="8" t="s">
        <v>34</v>
      </c>
      <c r="J365" s="4" t="str">
        <f>PROPER(Sales_data!J365)</f>
        <v>South</v>
      </c>
      <c r="K365" s="4" t="str">
        <f>PROPER(Sales_data!K365)</f>
        <v>Stationery</v>
      </c>
      <c r="L365" s="8" t="s">
        <v>231</v>
      </c>
      <c r="M365" s="66">
        <v>5</v>
      </c>
      <c r="N365" s="8">
        <v>20</v>
      </c>
      <c r="O365" s="8">
        <v>0</v>
      </c>
      <c r="P365" s="8">
        <v>100</v>
      </c>
      <c r="Q365" s="8">
        <v>2</v>
      </c>
      <c r="R365" s="67" t="s">
        <v>92</v>
      </c>
      <c r="S365" s="8" t="s">
        <v>53</v>
      </c>
      <c r="T365" s="8" t="s">
        <v>66</v>
      </c>
      <c r="U365" s="9" t="s">
        <v>1626</v>
      </c>
      <c r="V365" s="8" t="s">
        <v>68</v>
      </c>
      <c r="W365" s="4">
        <f t="shared" si="5"/>
        <v>2</v>
      </c>
    </row>
    <row r="366" spans="1:23">
      <c r="A366" s="3" t="s">
        <v>1627</v>
      </c>
      <c r="B366" s="4" t="s">
        <v>104</v>
      </c>
      <c r="C366" s="4" t="s">
        <v>263</v>
      </c>
      <c r="D366" s="31" t="s">
        <v>801</v>
      </c>
      <c r="E366" s="4" t="s">
        <v>547</v>
      </c>
      <c r="F366" s="4" t="str">
        <f>PROPER(TRIM(Sales_data!F366))</f>
        <v>Priya Patel</v>
      </c>
      <c r="G366" s="4" t="s">
        <v>32</v>
      </c>
      <c r="H366" s="69" t="s">
        <v>1628</v>
      </c>
      <c r="I366" s="4" t="s">
        <v>216</v>
      </c>
      <c r="J366" s="4" t="str">
        <f>PROPER(Sales_data!J366)</f>
        <v>South</v>
      </c>
      <c r="K366" s="4" t="str">
        <f>PROPER(Sales_data!K366)</f>
        <v>Electronics</v>
      </c>
      <c r="L366" s="4" t="s">
        <v>267</v>
      </c>
      <c r="M366" s="66">
        <v>16</v>
      </c>
      <c r="N366" s="4">
        <v>45</v>
      </c>
      <c r="O366" s="4">
        <v>15</v>
      </c>
      <c r="P366" s="4">
        <v>612</v>
      </c>
      <c r="Q366" s="4">
        <v>5</v>
      </c>
      <c r="R366" s="67" t="s">
        <v>38</v>
      </c>
      <c r="S366" s="4" t="s">
        <v>65</v>
      </c>
      <c r="T366" s="4" t="s">
        <v>148</v>
      </c>
      <c r="U366" s="6" t="s">
        <v>1629</v>
      </c>
      <c r="V366" s="4" t="s">
        <v>73</v>
      </c>
      <c r="W366" s="4">
        <f t="shared" si="5"/>
        <v>3</v>
      </c>
    </row>
    <row r="367" spans="1:23">
      <c r="A367" s="7" t="s">
        <v>1630</v>
      </c>
      <c r="B367" s="8" t="s">
        <v>27</v>
      </c>
      <c r="C367" s="8" t="s">
        <v>28</v>
      </c>
      <c r="D367" s="32" t="s">
        <v>1267</v>
      </c>
      <c r="E367" s="8" t="s">
        <v>948</v>
      </c>
      <c r="F367" s="4" t="str">
        <f>PROPER(TRIM(Sales_data!F367))</f>
        <v>Pooja Shah</v>
      </c>
      <c r="G367" s="8" t="s">
        <v>32</v>
      </c>
      <c r="H367" s="70" t="s">
        <v>1631</v>
      </c>
      <c r="I367" s="8" t="s">
        <v>216</v>
      </c>
      <c r="J367" s="4" t="str">
        <f>PROPER(Sales_data!J367)</f>
        <v>South</v>
      </c>
      <c r="K367" s="4" t="str">
        <f>PROPER(Sales_data!K367)</f>
        <v>Stationery</v>
      </c>
      <c r="L367" s="8" t="s">
        <v>37</v>
      </c>
      <c r="M367" s="66">
        <v>1</v>
      </c>
      <c r="N367" s="8">
        <v>2200</v>
      </c>
      <c r="O367" s="8">
        <v>10</v>
      </c>
      <c r="P367" s="8">
        <v>1980</v>
      </c>
      <c r="Q367" s="8">
        <v>5</v>
      </c>
      <c r="R367" s="67" t="s">
        <v>83</v>
      </c>
      <c r="S367" s="8" t="s">
        <v>53</v>
      </c>
      <c r="T367" s="8" t="s">
        <v>54</v>
      </c>
      <c r="U367" s="9" t="s">
        <v>1632</v>
      </c>
      <c r="V367" s="8" t="s">
        <v>42</v>
      </c>
      <c r="W367" s="4">
        <f t="shared" si="5"/>
        <v>5</v>
      </c>
    </row>
    <row r="368" spans="1:23">
      <c r="A368" s="3" t="s">
        <v>1633</v>
      </c>
      <c r="B368" s="4" t="s">
        <v>57</v>
      </c>
      <c r="C368" s="4" t="s">
        <v>122</v>
      </c>
      <c r="D368" s="31" t="s">
        <v>895</v>
      </c>
      <c r="E368" s="4" t="s">
        <v>1634</v>
      </c>
      <c r="F368" s="4" t="str">
        <f>PROPER(TRIM(Sales_data!F368))</f>
        <v>Priya Patel</v>
      </c>
      <c r="G368" s="4" t="s">
        <v>32</v>
      </c>
      <c r="H368" s="69" t="s">
        <v>1635</v>
      </c>
      <c r="I368" s="4" t="s">
        <v>34</v>
      </c>
      <c r="J368" s="4" t="str">
        <f>PROPER(Sales_data!J368)</f>
        <v>North</v>
      </c>
      <c r="K368" s="4" t="str">
        <f>PROPER(Sales_data!K368)</f>
        <v>Stationery</v>
      </c>
      <c r="L368" s="4" t="s">
        <v>127</v>
      </c>
      <c r="M368" s="66">
        <v>19</v>
      </c>
      <c r="N368" s="4">
        <v>60</v>
      </c>
      <c r="O368" s="4">
        <v>15</v>
      </c>
      <c r="P368" s="4">
        <v>969</v>
      </c>
      <c r="Q368" s="4">
        <v>4</v>
      </c>
      <c r="R368" s="67" t="s">
        <v>52</v>
      </c>
      <c r="S368" s="4" t="s">
        <v>119</v>
      </c>
      <c r="T368" s="4" t="s">
        <v>66</v>
      </c>
      <c r="U368" s="6" t="s">
        <v>1636</v>
      </c>
      <c r="V368" s="4" t="s">
        <v>73</v>
      </c>
      <c r="W368" s="4">
        <f t="shared" si="5"/>
        <v>4</v>
      </c>
    </row>
    <row r="369" spans="1:23">
      <c r="A369" s="7" t="s">
        <v>1637</v>
      </c>
      <c r="B369" s="8" t="s">
        <v>331</v>
      </c>
      <c r="C369" s="8" t="s">
        <v>58</v>
      </c>
      <c r="D369" s="31" t="s">
        <v>68</v>
      </c>
      <c r="E369" s="8" t="s">
        <v>1638</v>
      </c>
      <c r="F369" s="4" t="str">
        <f>PROPER(TRIM(Sales_data!F369))</f>
        <v>Kavya Nair</v>
      </c>
      <c r="G369" s="8" t="s">
        <v>80</v>
      </c>
      <c r="H369" s="70" t="s">
        <v>1639</v>
      </c>
      <c r="I369" s="8" t="s">
        <v>48</v>
      </c>
      <c r="J369" s="4" t="str">
        <f>PROPER(Sales_data!J369)</f>
        <v>North</v>
      </c>
      <c r="K369" s="4" t="str">
        <f>PROPER(Sales_data!K369)</f>
        <v>Home Appliances</v>
      </c>
      <c r="L369" s="8" t="s">
        <v>64</v>
      </c>
      <c r="M369" s="66">
        <v>15</v>
      </c>
      <c r="N369" s="8">
        <v>55000</v>
      </c>
      <c r="O369" s="8">
        <v>0</v>
      </c>
      <c r="P369" s="8">
        <v>825000</v>
      </c>
      <c r="Q369" s="8">
        <v>5</v>
      </c>
      <c r="R369" s="67" t="s">
        <v>83</v>
      </c>
      <c r="S369" s="8" t="s">
        <v>119</v>
      </c>
      <c r="T369" s="8" t="s">
        <v>336</v>
      </c>
      <c r="U369" s="9" t="s">
        <v>1640</v>
      </c>
      <c r="V369" s="8" t="s">
        <v>73</v>
      </c>
      <c r="W369" s="4" t="str">
        <f t="shared" si="5"/>
        <v>0</v>
      </c>
    </row>
    <row r="370" spans="1:23">
      <c r="A370" s="3" t="s">
        <v>1641</v>
      </c>
      <c r="B370" s="4" t="s">
        <v>75</v>
      </c>
      <c r="C370" s="4" t="s">
        <v>263</v>
      </c>
      <c r="D370" s="31" t="s">
        <v>945</v>
      </c>
      <c r="E370" s="4" t="s">
        <v>1642</v>
      </c>
      <c r="F370" s="4" t="str">
        <f>PROPER(TRIM(Sales_data!F370))</f>
        <v>Pooja Shah</v>
      </c>
      <c r="G370" s="4" t="s">
        <v>80</v>
      </c>
      <c r="H370" s="69" t="s">
        <v>1643</v>
      </c>
      <c r="I370" s="4" t="s">
        <v>63</v>
      </c>
      <c r="J370" s="4" t="str">
        <f>PROPER(Sales_data!J370)</f>
        <v>South</v>
      </c>
      <c r="K370" s="4" t="str">
        <f>PROPER(Sales_data!K370)</f>
        <v>Stationery</v>
      </c>
      <c r="L370" s="4" t="s">
        <v>267</v>
      </c>
      <c r="M370" s="66">
        <v>11</v>
      </c>
      <c r="N370" s="4">
        <v>45</v>
      </c>
      <c r="O370" s="4">
        <v>5</v>
      </c>
      <c r="P370" s="4">
        <v>470.25</v>
      </c>
      <c r="Q370" s="4">
        <v>5</v>
      </c>
      <c r="R370" s="67" t="s">
        <v>52</v>
      </c>
      <c r="S370" s="4" t="s">
        <v>155</v>
      </c>
      <c r="T370" s="4" t="s">
        <v>84</v>
      </c>
      <c r="U370" s="6" t="s">
        <v>1644</v>
      </c>
      <c r="V370" s="4" t="s">
        <v>42</v>
      </c>
      <c r="W370" s="4">
        <f t="shared" si="5"/>
        <v>10</v>
      </c>
    </row>
    <row r="371" spans="1:23">
      <c r="A371" s="7" t="s">
        <v>1645</v>
      </c>
      <c r="B371" s="8" t="s">
        <v>255</v>
      </c>
      <c r="C371" s="8" t="s">
        <v>226</v>
      </c>
      <c r="D371" s="32" t="s">
        <v>1646</v>
      </c>
      <c r="E371" s="8" t="s">
        <v>1647</v>
      </c>
      <c r="F371" s="4" t="str">
        <f>PROPER(TRIM(Sales_data!F371))</f>
        <v>Amit Sharma</v>
      </c>
      <c r="G371" s="8" t="s">
        <v>32</v>
      </c>
      <c r="H371" s="70" t="s">
        <v>1648</v>
      </c>
      <c r="I371" s="8" t="s">
        <v>216</v>
      </c>
      <c r="J371" s="4" t="str">
        <f>PROPER(Sales_data!J371)</f>
        <v>North</v>
      </c>
      <c r="K371" s="4" t="str">
        <f>PROPER(Sales_data!K371)</f>
        <v>Electronics</v>
      </c>
      <c r="L371" s="8" t="s">
        <v>231</v>
      </c>
      <c r="M371" s="66">
        <v>9</v>
      </c>
      <c r="N371" s="8">
        <v>20</v>
      </c>
      <c r="O371" s="8">
        <v>10</v>
      </c>
      <c r="P371" s="8">
        <v>162</v>
      </c>
      <c r="Q371" s="8">
        <v>1</v>
      </c>
      <c r="R371" s="67" t="s">
        <v>83</v>
      </c>
      <c r="S371" s="8" t="s">
        <v>53</v>
      </c>
      <c r="T371" s="8" t="s">
        <v>260</v>
      </c>
      <c r="U371" s="9" t="s">
        <v>1649</v>
      </c>
      <c r="V371" s="8" t="s">
        <v>73</v>
      </c>
      <c r="W371" s="4">
        <f t="shared" si="5"/>
        <v>6</v>
      </c>
    </row>
    <row r="372" spans="1:23">
      <c r="A372" s="3" t="s">
        <v>1650</v>
      </c>
      <c r="B372" s="4" t="s">
        <v>172</v>
      </c>
      <c r="C372" s="4" t="s">
        <v>263</v>
      </c>
      <c r="D372" s="31" t="s">
        <v>649</v>
      </c>
      <c r="E372" s="4" t="s">
        <v>984</v>
      </c>
      <c r="F372" s="4" t="str">
        <f>PROPER(TRIM(Sales_data!F372))</f>
        <v>Mohit Verma</v>
      </c>
      <c r="G372" s="4" t="s">
        <v>32</v>
      </c>
      <c r="H372" s="69" t="s">
        <v>1651</v>
      </c>
      <c r="I372" s="4" t="s">
        <v>63</v>
      </c>
      <c r="J372" s="4" t="str">
        <f>PROPER(Sales_data!J372)</f>
        <v>South</v>
      </c>
      <c r="K372" s="4" t="str">
        <f>PROPER(Sales_data!K372)</f>
        <v>Stationery</v>
      </c>
      <c r="L372" s="4" t="s">
        <v>267</v>
      </c>
      <c r="M372" s="66">
        <v>5</v>
      </c>
      <c r="N372" s="4">
        <v>45</v>
      </c>
      <c r="O372" s="4">
        <v>5</v>
      </c>
      <c r="P372" s="4">
        <v>213.75</v>
      </c>
      <c r="Q372" s="4">
        <v>3</v>
      </c>
      <c r="R372" s="67" t="s">
        <v>83</v>
      </c>
      <c r="S372" s="4" t="s">
        <v>119</v>
      </c>
      <c r="T372" s="4" t="s">
        <v>179</v>
      </c>
      <c r="U372" s="6" t="s">
        <v>1652</v>
      </c>
      <c r="V372" s="4" t="s">
        <v>68</v>
      </c>
      <c r="W372" s="4">
        <f t="shared" si="5"/>
        <v>11</v>
      </c>
    </row>
    <row r="373" spans="1:23">
      <c r="A373" s="7" t="s">
        <v>1653</v>
      </c>
      <c r="B373" s="8" t="s">
        <v>87</v>
      </c>
      <c r="C373" s="8" t="s">
        <v>188</v>
      </c>
      <c r="D373" s="32" t="s">
        <v>1654</v>
      </c>
      <c r="E373" s="8" t="s">
        <v>1106</v>
      </c>
      <c r="F373" s="4" t="str">
        <f>PROPER(TRIM(Sales_data!F373))</f>
        <v>Sneha Joshi</v>
      </c>
      <c r="G373" s="8" t="s">
        <v>80</v>
      </c>
      <c r="H373" s="70" t="s">
        <v>1655</v>
      </c>
      <c r="I373" s="8" t="s">
        <v>34</v>
      </c>
      <c r="J373" s="4" t="str">
        <f>PROPER(Sales_data!J373)</f>
        <v>North</v>
      </c>
      <c r="K373" s="4" t="str">
        <f>PROPER(Sales_data!K373)</f>
        <v>Stationery</v>
      </c>
      <c r="L373" s="8" t="s">
        <v>193</v>
      </c>
      <c r="M373" s="66">
        <v>5</v>
      </c>
      <c r="N373" s="8">
        <v>700</v>
      </c>
      <c r="O373" s="8">
        <v>10</v>
      </c>
      <c r="P373" s="8">
        <v>3150</v>
      </c>
      <c r="Q373" s="8">
        <v>2</v>
      </c>
      <c r="R373" s="67" t="s">
        <v>92</v>
      </c>
      <c r="S373" s="8" t="s">
        <v>53</v>
      </c>
      <c r="T373" s="8" t="s">
        <v>93</v>
      </c>
      <c r="U373" s="9" t="s">
        <v>1656</v>
      </c>
      <c r="V373" s="8" t="s">
        <v>42</v>
      </c>
      <c r="W373" s="4">
        <f t="shared" si="5"/>
        <v>11</v>
      </c>
    </row>
    <row r="374" spans="1:23">
      <c r="A374" s="3" t="s">
        <v>1657</v>
      </c>
      <c r="B374" s="4" t="s">
        <v>225</v>
      </c>
      <c r="C374" s="4" t="s">
        <v>188</v>
      </c>
      <c r="D374" s="31" t="s">
        <v>961</v>
      </c>
      <c r="E374" s="4" t="s">
        <v>1658</v>
      </c>
      <c r="F374" s="4" t="str">
        <f>PROPER(TRIM(Sales_data!F374))</f>
        <v>Anita Gupta</v>
      </c>
      <c r="G374" s="4" t="s">
        <v>80</v>
      </c>
      <c r="H374" s="69" t="s">
        <v>1659</v>
      </c>
      <c r="I374" s="4" t="s">
        <v>298</v>
      </c>
      <c r="J374" s="4" t="str">
        <f>PROPER(Sales_data!J374)</f>
        <v>South</v>
      </c>
      <c r="K374" s="4" t="str">
        <f>PROPER(Sales_data!K374)</f>
        <v>Stationery</v>
      </c>
      <c r="L374" s="4" t="s">
        <v>193</v>
      </c>
      <c r="M374" s="66">
        <v>1</v>
      </c>
      <c r="N374" s="4">
        <v>700</v>
      </c>
      <c r="O374" s="4">
        <v>0</v>
      </c>
      <c r="P374" s="4">
        <v>700</v>
      </c>
      <c r="Q374" s="4">
        <v>1</v>
      </c>
      <c r="R374" s="67" t="s">
        <v>92</v>
      </c>
      <c r="S374" s="4" t="s">
        <v>155</v>
      </c>
      <c r="T374" s="4" t="s">
        <v>232</v>
      </c>
      <c r="U374" s="6" t="s">
        <v>1660</v>
      </c>
      <c r="V374" s="4" t="s">
        <v>42</v>
      </c>
      <c r="W374" s="4">
        <f t="shared" si="5"/>
        <v>1</v>
      </c>
    </row>
    <row r="375" spans="1:23">
      <c r="A375" s="7" t="s">
        <v>1661</v>
      </c>
      <c r="B375" s="8" t="s">
        <v>27</v>
      </c>
      <c r="C375" s="8" t="s">
        <v>188</v>
      </c>
      <c r="D375" s="32" t="s">
        <v>1372</v>
      </c>
      <c r="E375" s="8" t="s">
        <v>927</v>
      </c>
      <c r="F375" s="4" t="str">
        <f>PROPER(TRIM(Sales_data!F375))</f>
        <v>Arjun Rao</v>
      </c>
      <c r="G375" s="8" t="s">
        <v>32</v>
      </c>
      <c r="H375" s="70" t="s">
        <v>1662</v>
      </c>
      <c r="I375" s="8" t="s">
        <v>109</v>
      </c>
      <c r="J375" s="4" t="str">
        <f>PROPER(Sales_data!J375)</f>
        <v>South</v>
      </c>
      <c r="K375" s="4" t="str">
        <f>PROPER(Sales_data!K375)</f>
        <v>Electronics</v>
      </c>
      <c r="L375" s="8" t="s">
        <v>193</v>
      </c>
      <c r="M375" s="66">
        <v>13</v>
      </c>
      <c r="N375" s="8">
        <v>700</v>
      </c>
      <c r="O375" s="8">
        <v>20</v>
      </c>
      <c r="P375" s="8">
        <v>7280</v>
      </c>
      <c r="Q375" s="8">
        <v>2</v>
      </c>
      <c r="R375" s="67" t="s">
        <v>83</v>
      </c>
      <c r="S375" s="8" t="s">
        <v>39</v>
      </c>
      <c r="T375" s="8" t="s">
        <v>54</v>
      </c>
      <c r="U375" s="9" t="s">
        <v>1663</v>
      </c>
      <c r="V375" s="8" t="s">
        <v>42</v>
      </c>
      <c r="W375" s="4">
        <f t="shared" si="5"/>
        <v>2</v>
      </c>
    </row>
    <row r="376" spans="1:23">
      <c r="A376" s="3" t="s">
        <v>1664</v>
      </c>
      <c r="B376" s="4" t="s">
        <v>75</v>
      </c>
      <c r="C376" s="4" t="s">
        <v>44</v>
      </c>
      <c r="D376" s="31" t="s">
        <v>1157</v>
      </c>
      <c r="E376" s="4" t="s">
        <v>307</v>
      </c>
      <c r="F376" s="4" t="str">
        <f>PROPER(TRIM(Sales_data!F376))</f>
        <v>Vikas Mehta</v>
      </c>
      <c r="G376" s="4" t="s">
        <v>80</v>
      </c>
      <c r="H376" s="69" t="s">
        <v>1665</v>
      </c>
      <c r="I376" s="4" t="s">
        <v>118</v>
      </c>
      <c r="J376" s="4" t="str">
        <f>PROPER(Sales_data!J376)</f>
        <v>East</v>
      </c>
      <c r="K376" s="4" t="str">
        <f>PROPER(Sales_data!K376)</f>
        <v>Electronics</v>
      </c>
      <c r="L376" s="4" t="s">
        <v>51</v>
      </c>
      <c r="M376" s="66">
        <v>20</v>
      </c>
      <c r="N376" s="4">
        <v>12000</v>
      </c>
      <c r="O376" s="4">
        <v>0</v>
      </c>
      <c r="P376" s="4">
        <v>240000</v>
      </c>
      <c r="Q376" s="4">
        <v>2</v>
      </c>
      <c r="R376" s="67" t="s">
        <v>83</v>
      </c>
      <c r="S376" s="4" t="s">
        <v>119</v>
      </c>
      <c r="T376" s="4" t="s">
        <v>84</v>
      </c>
      <c r="U376" s="6" t="s">
        <v>1666</v>
      </c>
      <c r="V376" s="4" t="s">
        <v>42</v>
      </c>
      <c r="W376" s="4">
        <f t="shared" si="5"/>
        <v>2</v>
      </c>
    </row>
    <row r="377" spans="1:23">
      <c r="A377" s="7" t="s">
        <v>1667</v>
      </c>
      <c r="B377" s="8" t="s">
        <v>87</v>
      </c>
      <c r="C377" s="8" t="s">
        <v>76</v>
      </c>
      <c r="D377" s="32" t="s">
        <v>1202</v>
      </c>
      <c r="E377" s="8" t="s">
        <v>716</v>
      </c>
      <c r="F377" s="4" t="str">
        <f>PROPER(TRIM(Sales_data!F377))</f>
        <v>Kavya Nair</v>
      </c>
      <c r="G377" s="8" t="s">
        <v>80</v>
      </c>
      <c r="H377" s="70" t="s">
        <v>1668</v>
      </c>
      <c r="I377" s="8" t="s">
        <v>298</v>
      </c>
      <c r="J377" s="4" t="str">
        <f>PROPER(Sales_data!J377)</f>
        <v>West</v>
      </c>
      <c r="K377" s="4" t="str">
        <f>PROPER(Sales_data!K377)</f>
        <v>Electronics</v>
      </c>
      <c r="L377" s="8" t="s">
        <v>82</v>
      </c>
      <c r="M377" s="66">
        <v>9</v>
      </c>
      <c r="N377" s="8">
        <v>1200</v>
      </c>
      <c r="O377" s="8">
        <v>15</v>
      </c>
      <c r="P377" s="8">
        <v>9180</v>
      </c>
      <c r="Q377" s="8">
        <v>1</v>
      </c>
      <c r="R377" s="67" t="s">
        <v>92</v>
      </c>
      <c r="S377" s="8" t="s">
        <v>39</v>
      </c>
      <c r="T377" s="8" t="s">
        <v>93</v>
      </c>
      <c r="U377" s="9" t="s">
        <v>1669</v>
      </c>
      <c r="V377" s="8" t="s">
        <v>68</v>
      </c>
      <c r="W377" s="4">
        <f t="shared" si="5"/>
        <v>12</v>
      </c>
    </row>
    <row r="378" spans="1:23">
      <c r="A378" s="3" t="s">
        <v>1670</v>
      </c>
      <c r="B378" s="4" t="s">
        <v>87</v>
      </c>
      <c r="C378" s="4" t="s">
        <v>226</v>
      </c>
      <c r="D378" s="31" t="s">
        <v>1225</v>
      </c>
      <c r="E378" s="4" t="s">
        <v>1671</v>
      </c>
      <c r="F378" s="4" t="str">
        <f>PROPER(TRIM(Sales_data!F378))</f>
        <v>Mohit Verma</v>
      </c>
      <c r="G378" s="4" t="s">
        <v>80</v>
      </c>
      <c r="H378" s="69" t="s">
        <v>1672</v>
      </c>
      <c r="I378" s="4" t="s">
        <v>216</v>
      </c>
      <c r="J378" s="4" t="str">
        <f>PROPER(Sales_data!J378)</f>
        <v>West</v>
      </c>
      <c r="K378" s="4" t="str">
        <f>PROPER(Sales_data!K378)</f>
        <v>Electronics</v>
      </c>
      <c r="L378" s="4" t="s">
        <v>231</v>
      </c>
      <c r="M378" s="66">
        <v>3</v>
      </c>
      <c r="N378" s="4">
        <v>20</v>
      </c>
      <c r="O378" s="4">
        <v>15</v>
      </c>
      <c r="P378" s="4">
        <v>51</v>
      </c>
      <c r="Q378" s="4">
        <v>3</v>
      </c>
      <c r="R378" s="67" t="s">
        <v>38</v>
      </c>
      <c r="S378" s="4" t="s">
        <v>119</v>
      </c>
      <c r="T378" s="4" t="s">
        <v>93</v>
      </c>
      <c r="U378" s="6" t="s">
        <v>1673</v>
      </c>
      <c r="V378" s="4" t="s">
        <v>68</v>
      </c>
      <c r="W378" s="4">
        <f t="shared" si="5"/>
        <v>10</v>
      </c>
    </row>
    <row r="379" spans="1:23">
      <c r="A379" s="7" t="s">
        <v>1674</v>
      </c>
      <c r="B379" s="8" t="s">
        <v>255</v>
      </c>
      <c r="C379" s="8" t="s">
        <v>58</v>
      </c>
      <c r="D379" s="32" t="s">
        <v>792</v>
      </c>
      <c r="E379" s="8" t="s">
        <v>459</v>
      </c>
      <c r="F379" s="4" t="str">
        <f>PROPER(TRIM(Sales_data!F379))</f>
        <v>Arjun Rao</v>
      </c>
      <c r="G379" s="8" t="s">
        <v>32</v>
      </c>
      <c r="H379" s="70" t="s">
        <v>1675</v>
      </c>
      <c r="I379" s="8" t="s">
        <v>48</v>
      </c>
      <c r="J379" s="4" t="str">
        <f>PROPER(Sales_data!J379)</f>
        <v>East</v>
      </c>
      <c r="K379" s="4" t="str">
        <f>PROPER(Sales_data!K379)</f>
        <v>Electronics</v>
      </c>
      <c r="L379" s="8" t="s">
        <v>64</v>
      </c>
      <c r="M379" s="66">
        <v>8</v>
      </c>
      <c r="N379" s="8">
        <v>55000</v>
      </c>
      <c r="O379" s="8">
        <v>20</v>
      </c>
      <c r="P379" s="8">
        <v>352000</v>
      </c>
      <c r="Q379" s="8">
        <v>5</v>
      </c>
      <c r="R379" s="67" t="s">
        <v>83</v>
      </c>
      <c r="S379" s="8" t="s">
        <v>155</v>
      </c>
      <c r="T379" s="8" t="s">
        <v>260</v>
      </c>
      <c r="U379" s="9" t="s">
        <v>1676</v>
      </c>
      <c r="V379" s="8" t="s">
        <v>68</v>
      </c>
      <c r="W379" s="4">
        <f t="shared" si="5"/>
        <v>12</v>
      </c>
    </row>
    <row r="380" spans="1:23">
      <c r="A380" s="3" t="s">
        <v>1677</v>
      </c>
      <c r="B380" s="4" t="s">
        <v>255</v>
      </c>
      <c r="C380" s="4" t="s">
        <v>122</v>
      </c>
      <c r="D380" s="31" t="s">
        <v>1315</v>
      </c>
      <c r="E380" s="4" t="s">
        <v>78</v>
      </c>
      <c r="F380" s="4" t="str">
        <f>PROPER(TRIM(Sales_data!F380))</f>
        <v>Arjun Rao</v>
      </c>
      <c r="G380" s="4" t="s">
        <v>32</v>
      </c>
      <c r="H380" s="69" t="s">
        <v>1678</v>
      </c>
      <c r="I380" s="4" t="s">
        <v>48</v>
      </c>
      <c r="J380" s="4" t="str">
        <f>PROPER(Sales_data!J380)</f>
        <v>North</v>
      </c>
      <c r="K380" s="4" t="str">
        <f>PROPER(Sales_data!K380)</f>
        <v>Stationery</v>
      </c>
      <c r="L380" s="4" t="s">
        <v>127</v>
      </c>
      <c r="M380" s="66">
        <v>17</v>
      </c>
      <c r="N380" s="4">
        <v>60</v>
      </c>
      <c r="O380" s="4">
        <v>20</v>
      </c>
      <c r="P380" s="4">
        <v>816</v>
      </c>
      <c r="Q380" s="4">
        <v>1</v>
      </c>
      <c r="R380" s="67" t="s">
        <v>92</v>
      </c>
      <c r="S380" s="4" t="s">
        <v>39</v>
      </c>
      <c r="T380" s="4" t="s">
        <v>260</v>
      </c>
      <c r="U380" s="6" t="s">
        <v>1679</v>
      </c>
      <c r="V380" s="4" t="s">
        <v>68</v>
      </c>
      <c r="W380" s="4">
        <f t="shared" si="5"/>
        <v>9</v>
      </c>
    </row>
    <row r="381" spans="1:23">
      <c r="A381" s="7" t="s">
        <v>1680</v>
      </c>
      <c r="B381" s="8" t="s">
        <v>131</v>
      </c>
      <c r="C381" s="8" t="s">
        <v>226</v>
      </c>
      <c r="D381" s="32" t="s">
        <v>1681</v>
      </c>
      <c r="E381" s="8" t="s">
        <v>240</v>
      </c>
      <c r="F381" s="4" t="str">
        <f>PROPER(TRIM(Sales_data!F381))</f>
        <v>Sneha Joshi</v>
      </c>
      <c r="G381" s="8" t="s">
        <v>80</v>
      </c>
      <c r="H381" s="70" t="s">
        <v>1682</v>
      </c>
      <c r="I381" s="8" t="s">
        <v>63</v>
      </c>
      <c r="J381" s="4" t="str">
        <f>PROPER(Sales_data!J381)</f>
        <v>North</v>
      </c>
      <c r="K381" s="4" t="str">
        <f>PROPER(Sales_data!K381)</f>
        <v>Electronics</v>
      </c>
      <c r="L381" s="8" t="s">
        <v>231</v>
      </c>
      <c r="M381" s="66">
        <v>4</v>
      </c>
      <c r="N381" s="8">
        <v>20</v>
      </c>
      <c r="O381" s="8">
        <v>15</v>
      </c>
      <c r="P381" s="8">
        <v>68</v>
      </c>
      <c r="Q381" s="8">
        <v>3</v>
      </c>
      <c r="R381" s="67" t="s">
        <v>52</v>
      </c>
      <c r="S381" s="8" t="s">
        <v>65</v>
      </c>
      <c r="T381" s="8" t="s">
        <v>136</v>
      </c>
      <c r="U381" s="9" t="s">
        <v>1683</v>
      </c>
      <c r="V381" s="8" t="s">
        <v>68</v>
      </c>
      <c r="W381" s="4">
        <f t="shared" si="5"/>
        <v>5</v>
      </c>
    </row>
    <row r="382" spans="1:23">
      <c r="A382" s="3" t="s">
        <v>1684</v>
      </c>
      <c r="B382" s="4" t="s">
        <v>131</v>
      </c>
      <c r="C382" s="4" t="s">
        <v>28</v>
      </c>
      <c r="D382" s="31" t="s">
        <v>1364</v>
      </c>
      <c r="E382" s="4" t="s">
        <v>779</v>
      </c>
      <c r="F382" s="4" t="str">
        <f>PROPER(TRIM(Sales_data!F382))</f>
        <v>Sneha Joshi</v>
      </c>
      <c r="G382" s="4" t="s">
        <v>80</v>
      </c>
      <c r="H382" s="69" t="s">
        <v>1686</v>
      </c>
      <c r="I382" s="4" t="s">
        <v>298</v>
      </c>
      <c r="J382" s="4" t="str">
        <f>PROPER(Sales_data!J382)</f>
        <v>North</v>
      </c>
      <c r="K382" s="4" t="str">
        <f>PROPER(Sales_data!K382)</f>
        <v>Stationery</v>
      </c>
      <c r="L382" s="4" t="s">
        <v>37</v>
      </c>
      <c r="M382" s="66">
        <v>2</v>
      </c>
      <c r="N382" s="4">
        <v>2200</v>
      </c>
      <c r="O382" s="4">
        <v>10</v>
      </c>
      <c r="P382" s="4">
        <v>3960</v>
      </c>
      <c r="Q382" s="4">
        <v>2</v>
      </c>
      <c r="R382" s="67" t="s">
        <v>92</v>
      </c>
      <c r="S382" s="4" t="s">
        <v>53</v>
      </c>
      <c r="T382" s="4" t="s">
        <v>136</v>
      </c>
      <c r="U382" s="6" t="s">
        <v>1687</v>
      </c>
      <c r="V382" s="4" t="s">
        <v>68</v>
      </c>
      <c r="W382" s="4">
        <f t="shared" si="5"/>
        <v>4</v>
      </c>
    </row>
    <row r="383" spans="1:23">
      <c r="A383" s="7" t="s">
        <v>1688</v>
      </c>
      <c r="B383" s="8" t="s">
        <v>225</v>
      </c>
      <c r="C383" s="8" t="s">
        <v>122</v>
      </c>
      <c r="D383" s="32" t="s">
        <v>370</v>
      </c>
      <c r="E383" s="8" t="s">
        <v>543</v>
      </c>
      <c r="F383" s="4" t="str">
        <f>PROPER(TRIM(Sales_data!F383))</f>
        <v>Rohit Singh</v>
      </c>
      <c r="G383" s="8" t="s">
        <v>80</v>
      </c>
      <c r="H383" s="70" t="s">
        <v>1689</v>
      </c>
      <c r="I383" s="8" t="s">
        <v>63</v>
      </c>
      <c r="J383" s="4" t="str">
        <f>PROPER(Sales_data!J383)</f>
        <v>South</v>
      </c>
      <c r="K383" s="4" t="str">
        <f>PROPER(Sales_data!K383)</f>
        <v>Stationery</v>
      </c>
      <c r="L383" s="8" t="s">
        <v>127</v>
      </c>
      <c r="M383" s="66">
        <v>5</v>
      </c>
      <c r="N383" s="8">
        <v>60</v>
      </c>
      <c r="O383" s="8">
        <v>5</v>
      </c>
      <c r="P383" s="8">
        <v>285</v>
      </c>
      <c r="Q383" s="8">
        <v>1</v>
      </c>
      <c r="R383" s="67" t="s">
        <v>92</v>
      </c>
      <c r="S383" s="8" t="s">
        <v>39</v>
      </c>
      <c r="T383" s="8" t="s">
        <v>232</v>
      </c>
      <c r="U383" s="9" t="s">
        <v>1690</v>
      </c>
      <c r="V383" s="8" t="s">
        <v>73</v>
      </c>
      <c r="W383" s="4">
        <f t="shared" si="5"/>
        <v>4</v>
      </c>
    </row>
    <row r="384" spans="1:23">
      <c r="A384" s="3" t="s">
        <v>1691</v>
      </c>
      <c r="B384" s="4" t="s">
        <v>131</v>
      </c>
      <c r="C384" s="4" t="s">
        <v>28</v>
      </c>
      <c r="D384" s="31" t="s">
        <v>1692</v>
      </c>
      <c r="E384" s="4" t="s">
        <v>1693</v>
      </c>
      <c r="F384" s="4" t="str">
        <f>PROPER(TRIM(Sales_data!F384))</f>
        <v>Rohit Singh</v>
      </c>
      <c r="G384" s="4" t="s">
        <v>80</v>
      </c>
      <c r="H384" s="69" t="s">
        <v>1694</v>
      </c>
      <c r="I384" s="4" t="s">
        <v>48</v>
      </c>
      <c r="J384" s="4" t="str">
        <f>PROPER(Sales_data!J384)</f>
        <v>East</v>
      </c>
      <c r="K384" s="4" t="str">
        <f>PROPER(Sales_data!K384)</f>
        <v>Home Appliances</v>
      </c>
      <c r="L384" s="4" t="s">
        <v>37</v>
      </c>
      <c r="M384" s="66">
        <v>17</v>
      </c>
      <c r="N384" s="4">
        <v>2200</v>
      </c>
      <c r="O384" s="4">
        <v>0</v>
      </c>
      <c r="P384" s="4">
        <v>37400</v>
      </c>
      <c r="Q384" s="4">
        <v>2</v>
      </c>
      <c r="R384" s="67" t="s">
        <v>92</v>
      </c>
      <c r="S384" s="4" t="s">
        <v>155</v>
      </c>
      <c r="T384" s="4" t="s">
        <v>136</v>
      </c>
      <c r="U384" s="6" t="s">
        <v>1695</v>
      </c>
      <c r="V384" s="4" t="s">
        <v>73</v>
      </c>
      <c r="W384" s="4">
        <f t="shared" si="5"/>
        <v>2</v>
      </c>
    </row>
    <row r="385" spans="1:23">
      <c r="A385" s="7" t="s">
        <v>1696</v>
      </c>
      <c r="B385" s="8" t="s">
        <v>172</v>
      </c>
      <c r="C385" s="8" t="s">
        <v>122</v>
      </c>
      <c r="D385" s="32" t="s">
        <v>190</v>
      </c>
      <c r="E385" s="8" t="s">
        <v>614</v>
      </c>
      <c r="F385" s="4" t="str">
        <f>PROPER(TRIM(Sales_data!F385))</f>
        <v>Vikas Mehta</v>
      </c>
      <c r="G385" s="8" t="s">
        <v>32</v>
      </c>
      <c r="H385" s="70" t="s">
        <v>1697</v>
      </c>
      <c r="I385" s="8" t="s">
        <v>142</v>
      </c>
      <c r="J385" s="4" t="str">
        <f>PROPER(Sales_data!J385)</f>
        <v>South</v>
      </c>
      <c r="K385" s="4" t="str">
        <f>PROPER(Sales_data!K385)</f>
        <v>Stationery</v>
      </c>
      <c r="L385" s="8" t="s">
        <v>127</v>
      </c>
      <c r="M385" s="66">
        <v>7</v>
      </c>
      <c r="N385" s="8">
        <v>60</v>
      </c>
      <c r="O385" s="8">
        <v>0</v>
      </c>
      <c r="P385" s="8">
        <v>420</v>
      </c>
      <c r="Q385" s="8">
        <v>2</v>
      </c>
      <c r="R385" s="67" t="s">
        <v>92</v>
      </c>
      <c r="S385" s="8" t="s">
        <v>65</v>
      </c>
      <c r="T385" s="8" t="s">
        <v>179</v>
      </c>
      <c r="U385" s="9" t="s">
        <v>1698</v>
      </c>
      <c r="V385" s="8" t="s">
        <v>68</v>
      </c>
      <c r="W385" s="4">
        <f t="shared" si="5"/>
        <v>12</v>
      </c>
    </row>
    <row r="386" spans="1:23">
      <c r="A386" s="3" t="s">
        <v>1699</v>
      </c>
      <c r="B386" s="4" t="s">
        <v>225</v>
      </c>
      <c r="C386" s="4" t="s">
        <v>58</v>
      </c>
      <c r="D386" s="31" t="s">
        <v>706</v>
      </c>
      <c r="E386" s="4" t="s">
        <v>1700</v>
      </c>
      <c r="F386" s="4" t="str">
        <f>PROPER(TRIM(Sales_data!F386))</f>
        <v>Rohit Singh</v>
      </c>
      <c r="G386" s="4" t="s">
        <v>80</v>
      </c>
      <c r="H386" s="69" t="s">
        <v>1701</v>
      </c>
      <c r="I386" s="4" t="s">
        <v>34</v>
      </c>
      <c r="J386" s="4" t="str">
        <f>PROPER(Sales_data!J386)</f>
        <v>North</v>
      </c>
      <c r="K386" s="4" t="str">
        <f>PROPER(Sales_data!K386)</f>
        <v>Home Appliances</v>
      </c>
      <c r="L386" s="4" t="s">
        <v>64</v>
      </c>
      <c r="M386" s="66">
        <v>6</v>
      </c>
      <c r="N386" s="4">
        <v>55000</v>
      </c>
      <c r="O386" s="4">
        <v>5</v>
      </c>
      <c r="P386" s="4">
        <v>313500</v>
      </c>
      <c r="Q386" s="4">
        <v>4</v>
      </c>
      <c r="R386" s="67" t="s">
        <v>83</v>
      </c>
      <c r="S386" s="4" t="s">
        <v>65</v>
      </c>
      <c r="T386" s="4" t="s">
        <v>232</v>
      </c>
      <c r="U386" s="6" t="s">
        <v>1702</v>
      </c>
      <c r="V386" s="4" t="s">
        <v>42</v>
      </c>
      <c r="W386" s="4">
        <f t="shared" si="5"/>
        <v>10</v>
      </c>
    </row>
    <row r="387" spans="1:23">
      <c r="A387" s="7" t="s">
        <v>1703</v>
      </c>
      <c r="B387" s="8" t="s">
        <v>75</v>
      </c>
      <c r="C387" s="8" t="s">
        <v>226</v>
      </c>
      <c r="D387" s="32" t="s">
        <v>1310</v>
      </c>
      <c r="E387" s="8" t="s">
        <v>1704</v>
      </c>
      <c r="F387" s="4" t="str">
        <f>PROPER(TRIM(Sales_data!F387))</f>
        <v>Anita Gupta</v>
      </c>
      <c r="G387" s="8" t="s">
        <v>80</v>
      </c>
      <c r="H387" s="70" t="s">
        <v>1705</v>
      </c>
      <c r="I387" s="8" t="s">
        <v>34</v>
      </c>
      <c r="J387" s="4" t="str">
        <f>PROPER(Sales_data!J387)</f>
        <v>West</v>
      </c>
      <c r="K387" s="4" t="str">
        <f>PROPER(Sales_data!K387)</f>
        <v>Stationery</v>
      </c>
      <c r="L387" s="8" t="s">
        <v>231</v>
      </c>
      <c r="M387" s="66">
        <v>16</v>
      </c>
      <c r="N387" s="8">
        <v>20</v>
      </c>
      <c r="O387" s="8">
        <v>5</v>
      </c>
      <c r="P387" s="8">
        <v>304</v>
      </c>
      <c r="Q387" s="8">
        <v>1</v>
      </c>
      <c r="R387" s="67" t="s">
        <v>83</v>
      </c>
      <c r="S387" s="8" t="s">
        <v>53</v>
      </c>
      <c r="T387" s="8" t="s">
        <v>84</v>
      </c>
      <c r="U387" s="9" t="s">
        <v>1706</v>
      </c>
      <c r="V387" s="8" t="s">
        <v>42</v>
      </c>
      <c r="W387" s="4">
        <f t="shared" ref="W387:W450" si="6">IF(D387="Pending", "0", MONTH(D387))</f>
        <v>1</v>
      </c>
    </row>
    <row r="388" spans="1:23">
      <c r="A388" s="3" t="s">
        <v>1707</v>
      </c>
      <c r="B388" s="4" t="s">
        <v>27</v>
      </c>
      <c r="C388" s="4" t="s">
        <v>28</v>
      </c>
      <c r="D388" s="31" t="s">
        <v>1708</v>
      </c>
      <c r="E388" s="4" t="s">
        <v>1709</v>
      </c>
      <c r="F388" s="4" t="str">
        <f>PROPER(TRIM(Sales_data!F388))</f>
        <v>Vikas Mehta</v>
      </c>
      <c r="G388" s="4" t="s">
        <v>32</v>
      </c>
      <c r="H388" s="69" t="s">
        <v>1710</v>
      </c>
      <c r="I388" s="4" t="s">
        <v>298</v>
      </c>
      <c r="J388" s="4" t="str">
        <f>PROPER(Sales_data!J388)</f>
        <v>South</v>
      </c>
      <c r="K388" s="4" t="str">
        <f>PROPER(Sales_data!K388)</f>
        <v>Electronics</v>
      </c>
      <c r="L388" s="4" t="s">
        <v>37</v>
      </c>
      <c r="M388" s="66">
        <v>11</v>
      </c>
      <c r="N388" s="4">
        <v>2200</v>
      </c>
      <c r="O388" s="4">
        <v>15</v>
      </c>
      <c r="P388" s="4">
        <v>20570</v>
      </c>
      <c r="Q388" s="4">
        <v>1</v>
      </c>
      <c r="R388" s="67" t="s">
        <v>52</v>
      </c>
      <c r="S388" s="4" t="s">
        <v>119</v>
      </c>
      <c r="T388" s="4" t="s">
        <v>54</v>
      </c>
      <c r="U388" s="6" t="s">
        <v>1711</v>
      </c>
      <c r="V388" s="4" t="s">
        <v>73</v>
      </c>
      <c r="W388" s="4">
        <f t="shared" si="6"/>
        <v>1</v>
      </c>
    </row>
    <row r="389" spans="1:23">
      <c r="A389" s="7" t="s">
        <v>1712</v>
      </c>
      <c r="B389" s="8" t="s">
        <v>104</v>
      </c>
      <c r="C389" s="8" t="s">
        <v>226</v>
      </c>
      <c r="D389" s="32" t="s">
        <v>1073</v>
      </c>
      <c r="E389" s="8" t="s">
        <v>1413</v>
      </c>
      <c r="F389" s="4" t="str">
        <f>PROPER(TRIM(Sales_data!F389))</f>
        <v>Mohit Verma</v>
      </c>
      <c r="G389" s="8" t="s">
        <v>32</v>
      </c>
      <c r="H389" s="70" t="s">
        <v>1713</v>
      </c>
      <c r="I389" s="8" t="s">
        <v>118</v>
      </c>
      <c r="J389" s="4" t="str">
        <f>PROPER(Sales_data!J389)</f>
        <v>South</v>
      </c>
      <c r="K389" s="4" t="str">
        <f>PROPER(Sales_data!K389)</f>
        <v>Stationery</v>
      </c>
      <c r="L389" s="8" t="s">
        <v>231</v>
      </c>
      <c r="M389" s="66">
        <v>19</v>
      </c>
      <c r="N389" s="8">
        <v>20</v>
      </c>
      <c r="O389" s="8">
        <v>5</v>
      </c>
      <c r="P389" s="8">
        <v>361</v>
      </c>
      <c r="Q389" s="8">
        <v>4</v>
      </c>
      <c r="R389" s="67" t="s">
        <v>92</v>
      </c>
      <c r="S389" s="8" t="s">
        <v>39</v>
      </c>
      <c r="T389" s="8" t="s">
        <v>148</v>
      </c>
      <c r="U389" s="9" t="s">
        <v>1714</v>
      </c>
      <c r="V389" s="8" t="s">
        <v>68</v>
      </c>
      <c r="W389" s="4">
        <f t="shared" si="6"/>
        <v>2</v>
      </c>
    </row>
    <row r="390" spans="1:23">
      <c r="A390" s="3" t="s">
        <v>1715</v>
      </c>
      <c r="B390" s="4" t="s">
        <v>104</v>
      </c>
      <c r="C390" s="4" t="s">
        <v>76</v>
      </c>
      <c r="D390" s="31" t="s">
        <v>1716</v>
      </c>
      <c r="E390" s="4" t="s">
        <v>1717</v>
      </c>
      <c r="F390" s="4" t="str">
        <f>PROPER(TRIM(Sales_data!F390))</f>
        <v>Kavya Nair</v>
      </c>
      <c r="G390" s="4" t="s">
        <v>32</v>
      </c>
      <c r="H390" s="69" t="s">
        <v>1718</v>
      </c>
      <c r="I390" s="4" t="s">
        <v>118</v>
      </c>
      <c r="J390" s="4" t="str">
        <f>PROPER(Sales_data!J390)</f>
        <v>East</v>
      </c>
      <c r="K390" s="4" t="str">
        <f>PROPER(Sales_data!K390)</f>
        <v>Home Appliances</v>
      </c>
      <c r="L390" s="4" t="s">
        <v>82</v>
      </c>
      <c r="M390" s="66">
        <v>20</v>
      </c>
      <c r="N390" s="4">
        <v>1200</v>
      </c>
      <c r="O390" s="4">
        <v>15</v>
      </c>
      <c r="P390" s="4">
        <v>20400</v>
      </c>
      <c r="Q390" s="4">
        <v>4</v>
      </c>
      <c r="R390" s="67" t="s">
        <v>83</v>
      </c>
      <c r="S390" s="4" t="s">
        <v>39</v>
      </c>
      <c r="T390" s="4" t="s">
        <v>148</v>
      </c>
      <c r="U390" s="6" t="s">
        <v>1719</v>
      </c>
      <c r="V390" s="4" t="s">
        <v>68</v>
      </c>
      <c r="W390" s="4">
        <f t="shared" si="6"/>
        <v>6</v>
      </c>
    </row>
    <row r="391" spans="1:23">
      <c r="A391" s="7" t="s">
        <v>1720</v>
      </c>
      <c r="B391" s="8" t="s">
        <v>57</v>
      </c>
      <c r="C391" s="8" t="s">
        <v>226</v>
      </c>
      <c r="D391" s="32" t="s">
        <v>1721</v>
      </c>
      <c r="E391" s="8" t="s">
        <v>1722</v>
      </c>
      <c r="F391" s="4" t="str">
        <f>PROPER(TRIM(Sales_data!F391))</f>
        <v>Priya Patel</v>
      </c>
      <c r="G391" s="8" t="s">
        <v>32</v>
      </c>
      <c r="H391" s="70" t="s">
        <v>1723</v>
      </c>
      <c r="I391" s="8" t="s">
        <v>34</v>
      </c>
      <c r="J391" s="4" t="str">
        <f>PROPER(Sales_data!J391)</f>
        <v>West</v>
      </c>
      <c r="K391" s="4" t="str">
        <f>PROPER(Sales_data!K391)</f>
        <v>Stationery</v>
      </c>
      <c r="L391" s="8" t="s">
        <v>231</v>
      </c>
      <c r="M391" s="66">
        <v>13</v>
      </c>
      <c r="N391" s="8">
        <v>20</v>
      </c>
      <c r="O391" s="8">
        <v>15</v>
      </c>
      <c r="P391" s="8">
        <v>221</v>
      </c>
      <c r="Q391" s="8">
        <v>4</v>
      </c>
      <c r="R391" s="67" t="s">
        <v>38</v>
      </c>
      <c r="S391" s="8" t="s">
        <v>39</v>
      </c>
      <c r="T391" s="8" t="s">
        <v>66</v>
      </c>
      <c r="U391" s="9" t="s">
        <v>1724</v>
      </c>
      <c r="V391" s="8" t="s">
        <v>68</v>
      </c>
      <c r="W391" s="4">
        <f t="shared" si="6"/>
        <v>5</v>
      </c>
    </row>
    <row r="392" spans="1:23">
      <c r="A392" s="3" t="s">
        <v>1725</v>
      </c>
      <c r="B392" s="4" t="s">
        <v>255</v>
      </c>
      <c r="C392" s="4" t="s">
        <v>76</v>
      </c>
      <c r="D392" s="31" t="s">
        <v>209</v>
      </c>
      <c r="E392" s="4" t="s">
        <v>210</v>
      </c>
      <c r="F392" s="4" t="str">
        <f>PROPER(TRIM(Sales_data!F392))</f>
        <v>Priya Patel</v>
      </c>
      <c r="G392" s="4" t="s">
        <v>32</v>
      </c>
      <c r="H392" s="69" t="s">
        <v>1726</v>
      </c>
      <c r="I392" s="4" t="s">
        <v>48</v>
      </c>
      <c r="J392" s="4" t="str">
        <f>PROPER(Sales_data!J392)</f>
        <v>West</v>
      </c>
      <c r="K392" s="4" t="str">
        <f>PROPER(Sales_data!K392)</f>
        <v>Electronics</v>
      </c>
      <c r="L392" s="4" t="s">
        <v>82</v>
      </c>
      <c r="M392" s="66">
        <v>12</v>
      </c>
      <c r="N392" s="4">
        <v>1200</v>
      </c>
      <c r="O392" s="4">
        <v>10</v>
      </c>
      <c r="P392" s="4">
        <v>12960</v>
      </c>
      <c r="Q392" s="4">
        <v>3</v>
      </c>
      <c r="R392" s="67" t="s">
        <v>52</v>
      </c>
      <c r="S392" s="4" t="s">
        <v>39</v>
      </c>
      <c r="T392" s="4" t="s">
        <v>260</v>
      </c>
      <c r="U392" s="6" t="s">
        <v>1727</v>
      </c>
      <c r="V392" s="4" t="s">
        <v>68</v>
      </c>
      <c r="W392" s="4">
        <f t="shared" si="6"/>
        <v>1</v>
      </c>
    </row>
    <row r="393" spans="1:23">
      <c r="A393" s="7" t="s">
        <v>1728</v>
      </c>
      <c r="B393" s="8" t="s">
        <v>104</v>
      </c>
      <c r="C393" s="8" t="s">
        <v>173</v>
      </c>
      <c r="D393" s="32" t="s">
        <v>1709</v>
      </c>
      <c r="E393" s="8" t="s">
        <v>787</v>
      </c>
      <c r="F393" s="4" t="str">
        <f>PROPER(TRIM(Sales_data!F393))</f>
        <v>Pooja Shah</v>
      </c>
      <c r="G393" s="8" t="s">
        <v>32</v>
      </c>
      <c r="H393" s="70" t="s">
        <v>1729</v>
      </c>
      <c r="I393" s="8" t="s">
        <v>298</v>
      </c>
      <c r="J393" s="4" t="str">
        <f>PROPER(Sales_data!J393)</f>
        <v>South</v>
      </c>
      <c r="K393" s="4" t="str">
        <f>PROPER(Sales_data!K393)</f>
        <v>Stationery</v>
      </c>
      <c r="L393" s="8" t="s">
        <v>178</v>
      </c>
      <c r="M393" s="66">
        <v>6</v>
      </c>
      <c r="N393" s="8">
        <v>8500</v>
      </c>
      <c r="O393" s="8">
        <v>5</v>
      </c>
      <c r="P393" s="8">
        <v>48450</v>
      </c>
      <c r="Q393" s="8">
        <v>5</v>
      </c>
      <c r="R393" s="67" t="s">
        <v>38</v>
      </c>
      <c r="S393" s="8" t="s">
        <v>119</v>
      </c>
      <c r="T393" s="8" t="s">
        <v>148</v>
      </c>
      <c r="U393" s="9" t="s">
        <v>1730</v>
      </c>
      <c r="V393" s="8" t="s">
        <v>73</v>
      </c>
      <c r="W393" s="4">
        <f t="shared" si="6"/>
        <v>1</v>
      </c>
    </row>
    <row r="394" spans="1:23">
      <c r="A394" s="3" t="s">
        <v>1731</v>
      </c>
      <c r="B394" s="4" t="s">
        <v>27</v>
      </c>
      <c r="C394" s="4" t="s">
        <v>173</v>
      </c>
      <c r="D394" s="31" t="s">
        <v>1306</v>
      </c>
      <c r="E394" s="4" t="s">
        <v>1732</v>
      </c>
      <c r="F394" s="4" t="str">
        <f>PROPER(TRIM(Sales_data!F394))</f>
        <v>Sneha Joshi</v>
      </c>
      <c r="G394" s="4" t="s">
        <v>32</v>
      </c>
      <c r="H394" s="69" t="s">
        <v>1733</v>
      </c>
      <c r="I394" s="4" t="s">
        <v>142</v>
      </c>
      <c r="J394" s="4" t="str">
        <f>PROPER(Sales_data!J394)</f>
        <v>North</v>
      </c>
      <c r="K394" s="4" t="str">
        <f>PROPER(Sales_data!K394)</f>
        <v>Electronics</v>
      </c>
      <c r="L394" s="4" t="s">
        <v>178</v>
      </c>
      <c r="M394" s="66">
        <v>15</v>
      </c>
      <c r="N394" s="4">
        <v>8500</v>
      </c>
      <c r="O394" s="4">
        <v>10</v>
      </c>
      <c r="P394" s="4">
        <v>114750</v>
      </c>
      <c r="Q394" s="4">
        <v>1</v>
      </c>
      <c r="R394" s="67" t="s">
        <v>38</v>
      </c>
      <c r="S394" s="4" t="s">
        <v>119</v>
      </c>
      <c r="T394" s="4" t="s">
        <v>54</v>
      </c>
      <c r="U394" s="6" t="s">
        <v>1734</v>
      </c>
      <c r="V394" s="4" t="s">
        <v>42</v>
      </c>
      <c r="W394" s="4">
        <f t="shared" si="6"/>
        <v>2</v>
      </c>
    </row>
    <row r="395" spans="1:23">
      <c r="A395" s="7" t="s">
        <v>1735</v>
      </c>
      <c r="B395" s="8" t="s">
        <v>131</v>
      </c>
      <c r="C395" s="8" t="s">
        <v>44</v>
      </c>
      <c r="D395" s="32" t="s">
        <v>1736</v>
      </c>
      <c r="E395" s="8" t="s">
        <v>1737</v>
      </c>
      <c r="F395" s="4" t="str">
        <f>PROPER(TRIM(Sales_data!F395))</f>
        <v>Priya Patel</v>
      </c>
      <c r="G395" s="8" t="s">
        <v>80</v>
      </c>
      <c r="H395" s="70" t="s">
        <v>1738</v>
      </c>
      <c r="I395" s="8" t="s">
        <v>34</v>
      </c>
      <c r="J395" s="4" t="str">
        <f>PROPER(Sales_data!J395)</f>
        <v>East</v>
      </c>
      <c r="K395" s="4" t="str">
        <f>PROPER(Sales_data!K395)</f>
        <v>Home Appliances</v>
      </c>
      <c r="L395" s="8" t="s">
        <v>51</v>
      </c>
      <c r="M395" s="66">
        <v>19</v>
      </c>
      <c r="N395" s="8">
        <v>12000</v>
      </c>
      <c r="O395" s="8">
        <v>20</v>
      </c>
      <c r="P395" s="8">
        <v>182400</v>
      </c>
      <c r="Q395" s="8">
        <v>5</v>
      </c>
      <c r="R395" s="67" t="s">
        <v>38</v>
      </c>
      <c r="S395" s="8" t="s">
        <v>119</v>
      </c>
      <c r="T395" s="8" t="s">
        <v>136</v>
      </c>
      <c r="U395" s="9" t="s">
        <v>1739</v>
      </c>
      <c r="V395" s="8" t="s">
        <v>42</v>
      </c>
      <c r="W395" s="4">
        <f t="shared" si="6"/>
        <v>8</v>
      </c>
    </row>
    <row r="396" spans="1:23">
      <c r="A396" s="3" t="s">
        <v>1740</v>
      </c>
      <c r="B396" s="4" t="s">
        <v>87</v>
      </c>
      <c r="C396" s="4" t="s">
        <v>188</v>
      </c>
      <c r="D396" s="31" t="s">
        <v>146</v>
      </c>
      <c r="E396" s="4" t="s">
        <v>1741</v>
      </c>
      <c r="F396" s="4" t="str">
        <f>PROPER(TRIM(Sales_data!F396))</f>
        <v>Kavya Nair</v>
      </c>
      <c r="G396" s="4" t="s">
        <v>80</v>
      </c>
      <c r="H396" s="69" t="s">
        <v>1742</v>
      </c>
      <c r="I396" s="4" t="s">
        <v>48</v>
      </c>
      <c r="J396" s="4" t="str">
        <f>PROPER(Sales_data!J396)</f>
        <v>West</v>
      </c>
      <c r="K396" s="4" t="str">
        <f>PROPER(Sales_data!K396)</f>
        <v>Home Appliances</v>
      </c>
      <c r="L396" s="4" t="s">
        <v>193</v>
      </c>
      <c r="M396" s="66">
        <v>5</v>
      </c>
      <c r="N396" s="4">
        <v>700</v>
      </c>
      <c r="O396" s="4">
        <v>0</v>
      </c>
      <c r="P396" s="4">
        <v>3500</v>
      </c>
      <c r="Q396" s="4">
        <v>2</v>
      </c>
      <c r="R396" s="67" t="s">
        <v>83</v>
      </c>
      <c r="S396" s="4" t="s">
        <v>65</v>
      </c>
      <c r="T396" s="4" t="s">
        <v>93</v>
      </c>
      <c r="U396" s="6" t="s">
        <v>1743</v>
      </c>
      <c r="V396" s="4" t="s">
        <v>73</v>
      </c>
      <c r="W396" s="4">
        <f t="shared" si="6"/>
        <v>1</v>
      </c>
    </row>
    <row r="397" spans="1:23">
      <c r="A397" s="7" t="s">
        <v>1744</v>
      </c>
      <c r="B397" s="8" t="s">
        <v>87</v>
      </c>
      <c r="C397" s="8" t="s">
        <v>44</v>
      </c>
      <c r="D397" s="32" t="s">
        <v>1658</v>
      </c>
      <c r="E397" s="8" t="s">
        <v>769</v>
      </c>
      <c r="F397" s="4" t="str">
        <f>PROPER(TRIM(Sales_data!F397))</f>
        <v>Rohit Singh</v>
      </c>
      <c r="G397" s="8" t="s">
        <v>80</v>
      </c>
      <c r="H397" s="70" t="s">
        <v>1745</v>
      </c>
      <c r="I397" s="8" t="s">
        <v>298</v>
      </c>
      <c r="J397" s="4" t="str">
        <f>PROPER(Sales_data!J397)</f>
        <v>South</v>
      </c>
      <c r="K397" s="4" t="str">
        <f>PROPER(Sales_data!K397)</f>
        <v>Electronics</v>
      </c>
      <c r="L397" s="8" t="s">
        <v>51</v>
      </c>
      <c r="M397" s="66">
        <v>19</v>
      </c>
      <c r="N397" s="8">
        <v>12000</v>
      </c>
      <c r="O397" s="8">
        <v>0</v>
      </c>
      <c r="P397" s="8">
        <v>228000</v>
      </c>
      <c r="Q397" s="8">
        <v>4</v>
      </c>
      <c r="R397" s="67" t="s">
        <v>92</v>
      </c>
      <c r="S397" s="8" t="s">
        <v>65</v>
      </c>
      <c r="T397" s="8" t="s">
        <v>93</v>
      </c>
      <c r="U397" s="9" t="s">
        <v>1746</v>
      </c>
      <c r="V397" s="8" t="s">
        <v>68</v>
      </c>
      <c r="W397" s="4">
        <f t="shared" si="6"/>
        <v>1</v>
      </c>
    </row>
    <row r="398" spans="1:23">
      <c r="A398" s="3" t="s">
        <v>1747</v>
      </c>
      <c r="B398" s="4" t="s">
        <v>331</v>
      </c>
      <c r="C398" s="4" t="s">
        <v>188</v>
      </c>
      <c r="D398" s="31" t="s">
        <v>68</v>
      </c>
      <c r="E398" s="4" t="s">
        <v>1229</v>
      </c>
      <c r="F398" s="4" t="str">
        <f>PROPER(TRIM(Sales_data!F398))</f>
        <v>Arjun Rao</v>
      </c>
      <c r="G398" s="4" t="s">
        <v>80</v>
      </c>
      <c r="H398" s="69" t="s">
        <v>1748</v>
      </c>
      <c r="I398" s="4" t="s">
        <v>63</v>
      </c>
      <c r="J398" s="4" t="str">
        <f>PROPER(Sales_data!J398)</f>
        <v>North</v>
      </c>
      <c r="K398" s="4" t="str">
        <f>PROPER(Sales_data!K398)</f>
        <v>Electronics</v>
      </c>
      <c r="L398" s="4" t="s">
        <v>193</v>
      </c>
      <c r="M398" s="66">
        <v>12</v>
      </c>
      <c r="N398" s="4">
        <v>700</v>
      </c>
      <c r="O398" s="4">
        <v>15</v>
      </c>
      <c r="P398" s="4">
        <v>7140</v>
      </c>
      <c r="Q398" s="4">
        <v>3</v>
      </c>
      <c r="R398" s="67" t="s">
        <v>83</v>
      </c>
      <c r="S398" s="4" t="s">
        <v>39</v>
      </c>
      <c r="T398" s="4" t="s">
        <v>336</v>
      </c>
      <c r="U398" s="6" t="s">
        <v>1749</v>
      </c>
      <c r="V398" s="4" t="s">
        <v>42</v>
      </c>
      <c r="W398" s="4" t="str">
        <f t="shared" si="6"/>
        <v>0</v>
      </c>
    </row>
    <row r="399" spans="1:23">
      <c r="A399" s="7" t="s">
        <v>1750</v>
      </c>
      <c r="B399" s="8" t="s">
        <v>27</v>
      </c>
      <c r="C399" s="8" t="s">
        <v>76</v>
      </c>
      <c r="D399" s="32" t="s">
        <v>1751</v>
      </c>
      <c r="E399" s="8" t="s">
        <v>711</v>
      </c>
      <c r="F399" s="4" t="str">
        <f>PROPER(TRIM(Sales_data!F399))</f>
        <v>Arjun Rao</v>
      </c>
      <c r="G399" s="8" t="s">
        <v>32</v>
      </c>
      <c r="H399" s="70" t="s">
        <v>1752</v>
      </c>
      <c r="I399" s="8" t="s">
        <v>48</v>
      </c>
      <c r="J399" s="4" t="str">
        <f>PROPER(Sales_data!J399)</f>
        <v>East</v>
      </c>
      <c r="K399" s="4" t="str">
        <f>PROPER(Sales_data!K399)</f>
        <v>Electronics</v>
      </c>
      <c r="L399" s="8" t="s">
        <v>82</v>
      </c>
      <c r="M399" s="66">
        <v>16</v>
      </c>
      <c r="N399" s="8">
        <v>1200</v>
      </c>
      <c r="O399" s="8">
        <v>20</v>
      </c>
      <c r="P399" s="8">
        <v>15360</v>
      </c>
      <c r="Q399" s="8">
        <v>1</v>
      </c>
      <c r="R399" s="67" t="s">
        <v>38</v>
      </c>
      <c r="S399" s="8" t="s">
        <v>53</v>
      </c>
      <c r="T399" s="8" t="s">
        <v>54</v>
      </c>
      <c r="U399" s="9" t="s">
        <v>1753</v>
      </c>
      <c r="V399" s="8" t="s">
        <v>68</v>
      </c>
      <c r="W399" s="4">
        <f t="shared" si="6"/>
        <v>5</v>
      </c>
    </row>
    <row r="400" spans="1:23">
      <c r="A400" s="3" t="s">
        <v>1754</v>
      </c>
      <c r="B400" s="4" t="s">
        <v>75</v>
      </c>
      <c r="C400" s="4" t="s">
        <v>173</v>
      </c>
      <c r="D400" s="31" t="s">
        <v>1056</v>
      </c>
      <c r="E400" s="4" t="s">
        <v>88</v>
      </c>
      <c r="F400" s="4" t="str">
        <f>PROPER(TRIM(Sales_data!F400))</f>
        <v>Amit Sharma</v>
      </c>
      <c r="G400" s="4" t="s">
        <v>80</v>
      </c>
      <c r="H400" s="69" t="s">
        <v>1755</v>
      </c>
      <c r="I400" s="4" t="s">
        <v>34</v>
      </c>
      <c r="J400" s="4" t="str">
        <f>PROPER(Sales_data!J400)</f>
        <v>South</v>
      </c>
      <c r="K400" s="4" t="str">
        <f>PROPER(Sales_data!K400)</f>
        <v>Electronics</v>
      </c>
      <c r="L400" s="4" t="s">
        <v>178</v>
      </c>
      <c r="M400" s="66">
        <v>10</v>
      </c>
      <c r="N400" s="4">
        <v>8500</v>
      </c>
      <c r="O400" s="4">
        <v>5</v>
      </c>
      <c r="P400" s="4">
        <v>80750</v>
      </c>
      <c r="Q400" s="4">
        <v>5</v>
      </c>
      <c r="R400" s="67" t="s">
        <v>52</v>
      </c>
      <c r="S400" s="4" t="s">
        <v>39</v>
      </c>
      <c r="T400" s="4" t="s">
        <v>84</v>
      </c>
      <c r="U400" s="6" t="s">
        <v>1756</v>
      </c>
      <c r="V400" s="4" t="s">
        <v>42</v>
      </c>
      <c r="W400" s="4">
        <f t="shared" si="6"/>
        <v>12</v>
      </c>
    </row>
    <row r="401" spans="1:23">
      <c r="A401" s="7" t="s">
        <v>1757</v>
      </c>
      <c r="B401" s="8" t="s">
        <v>27</v>
      </c>
      <c r="C401" s="8" t="s">
        <v>226</v>
      </c>
      <c r="D401" s="32" t="s">
        <v>1377</v>
      </c>
      <c r="E401" s="8" t="s">
        <v>390</v>
      </c>
      <c r="F401" s="4" t="str">
        <f>PROPER(TRIM(Sales_data!F401))</f>
        <v>Kavya Nair</v>
      </c>
      <c r="G401" s="8" t="s">
        <v>32</v>
      </c>
      <c r="H401" s="70" t="s">
        <v>1758</v>
      </c>
      <c r="I401" s="8" t="s">
        <v>142</v>
      </c>
      <c r="J401" s="4" t="str">
        <f>PROPER(Sales_data!J401)</f>
        <v>North</v>
      </c>
      <c r="K401" s="4" t="str">
        <f>PROPER(Sales_data!K401)</f>
        <v>Electronics</v>
      </c>
      <c r="L401" s="8" t="s">
        <v>231</v>
      </c>
      <c r="M401" s="66">
        <v>18</v>
      </c>
      <c r="N401" s="8">
        <v>20</v>
      </c>
      <c r="O401" s="8">
        <v>20</v>
      </c>
      <c r="P401" s="8">
        <v>288</v>
      </c>
      <c r="Q401" s="8">
        <v>1</v>
      </c>
      <c r="R401" s="67" t="s">
        <v>92</v>
      </c>
      <c r="S401" s="8" t="s">
        <v>39</v>
      </c>
      <c r="T401" s="8" t="s">
        <v>54</v>
      </c>
      <c r="U401" s="9" t="s">
        <v>1759</v>
      </c>
      <c r="V401" s="8" t="s">
        <v>68</v>
      </c>
      <c r="W401" s="4">
        <f t="shared" si="6"/>
        <v>2</v>
      </c>
    </row>
    <row r="402" spans="1:23">
      <c r="A402" s="3" t="s">
        <v>1760</v>
      </c>
      <c r="B402" s="4" t="s">
        <v>75</v>
      </c>
      <c r="C402" s="4" t="s">
        <v>173</v>
      </c>
      <c r="D402" s="31" t="s">
        <v>245</v>
      </c>
      <c r="E402" s="4" t="s">
        <v>408</v>
      </c>
      <c r="F402" s="4" t="str">
        <f>PROPER(TRIM(Sales_data!F402))</f>
        <v>Mohit Verma</v>
      </c>
      <c r="G402" s="4" t="s">
        <v>80</v>
      </c>
      <c r="H402" s="69" t="s">
        <v>1761</v>
      </c>
      <c r="I402" s="4" t="s">
        <v>109</v>
      </c>
      <c r="J402" s="4" t="str">
        <f>PROPER(Sales_data!J402)</f>
        <v>South</v>
      </c>
      <c r="K402" s="4" t="str">
        <f>PROPER(Sales_data!K402)</f>
        <v>Home Appliances</v>
      </c>
      <c r="L402" s="4" t="s">
        <v>178</v>
      </c>
      <c r="M402" s="66">
        <v>9</v>
      </c>
      <c r="N402" s="4">
        <v>8500</v>
      </c>
      <c r="O402" s="4">
        <v>0</v>
      </c>
      <c r="P402" s="4">
        <v>76500</v>
      </c>
      <c r="Q402" s="4">
        <v>2</v>
      </c>
      <c r="R402" s="67" t="s">
        <v>83</v>
      </c>
      <c r="S402" s="4" t="s">
        <v>39</v>
      </c>
      <c r="T402" s="4" t="s">
        <v>84</v>
      </c>
      <c r="U402" s="6" t="s">
        <v>1762</v>
      </c>
      <c r="V402" s="4" t="s">
        <v>68</v>
      </c>
      <c r="W402" s="4">
        <f t="shared" si="6"/>
        <v>3</v>
      </c>
    </row>
    <row r="403" spans="1:23">
      <c r="A403" s="7" t="s">
        <v>1763</v>
      </c>
      <c r="B403" s="8" t="s">
        <v>27</v>
      </c>
      <c r="C403" s="8" t="s">
        <v>173</v>
      </c>
      <c r="D403" s="32" t="s">
        <v>1225</v>
      </c>
      <c r="E403" s="8" t="s">
        <v>1764</v>
      </c>
      <c r="F403" s="4" t="str">
        <f>PROPER(TRIM(Sales_data!F403))</f>
        <v>Kavya Nair</v>
      </c>
      <c r="G403" s="8" t="s">
        <v>32</v>
      </c>
      <c r="H403" s="70" t="s">
        <v>1765</v>
      </c>
      <c r="I403" s="8" t="s">
        <v>109</v>
      </c>
      <c r="J403" s="4" t="str">
        <f>PROPER(Sales_data!J403)</f>
        <v>West</v>
      </c>
      <c r="K403" s="4" t="str">
        <f>PROPER(Sales_data!K403)</f>
        <v>Stationery</v>
      </c>
      <c r="L403" s="8" t="s">
        <v>178</v>
      </c>
      <c r="M403" s="66">
        <v>8</v>
      </c>
      <c r="N403" s="8">
        <v>8500</v>
      </c>
      <c r="O403" s="8">
        <v>10</v>
      </c>
      <c r="P403" s="8">
        <v>61200</v>
      </c>
      <c r="Q403" s="8">
        <v>4</v>
      </c>
      <c r="R403" s="67" t="s">
        <v>38</v>
      </c>
      <c r="S403" s="8" t="s">
        <v>119</v>
      </c>
      <c r="T403" s="8" t="s">
        <v>54</v>
      </c>
      <c r="U403" s="9" t="s">
        <v>1766</v>
      </c>
      <c r="V403" s="8" t="s">
        <v>73</v>
      </c>
      <c r="W403" s="4">
        <f t="shared" si="6"/>
        <v>10</v>
      </c>
    </row>
    <row r="404" spans="1:23">
      <c r="A404" s="3" t="s">
        <v>1767</v>
      </c>
      <c r="B404" s="4" t="s">
        <v>57</v>
      </c>
      <c r="C404" s="4" t="s">
        <v>226</v>
      </c>
      <c r="D404" s="31" t="s">
        <v>487</v>
      </c>
      <c r="E404" s="4" t="s">
        <v>1768</v>
      </c>
      <c r="F404" s="4" t="str">
        <f>PROPER(TRIM(Sales_data!F404))</f>
        <v>Mohit Verma</v>
      </c>
      <c r="G404" s="4" t="s">
        <v>32</v>
      </c>
      <c r="H404" s="69" t="s">
        <v>1769</v>
      </c>
      <c r="I404" s="4" t="s">
        <v>118</v>
      </c>
      <c r="J404" s="4" t="str">
        <f>PROPER(Sales_data!J404)</f>
        <v>West</v>
      </c>
      <c r="K404" s="4" t="str">
        <f>PROPER(Sales_data!K404)</f>
        <v>Home Appliances</v>
      </c>
      <c r="L404" s="4" t="s">
        <v>231</v>
      </c>
      <c r="M404" s="66">
        <v>3</v>
      </c>
      <c r="N404" s="4">
        <v>20</v>
      </c>
      <c r="O404" s="4">
        <v>10</v>
      </c>
      <c r="P404" s="4">
        <v>54</v>
      </c>
      <c r="Q404" s="4">
        <v>3</v>
      </c>
      <c r="R404" s="67" t="s">
        <v>83</v>
      </c>
      <c r="S404" s="4" t="s">
        <v>155</v>
      </c>
      <c r="T404" s="4" t="s">
        <v>66</v>
      </c>
      <c r="U404" s="6" t="s">
        <v>1770</v>
      </c>
      <c r="V404" s="4" t="s">
        <v>68</v>
      </c>
      <c r="W404" s="4">
        <f t="shared" si="6"/>
        <v>1</v>
      </c>
    </row>
    <row r="405" spans="1:23">
      <c r="A405" s="7" t="s">
        <v>1771</v>
      </c>
      <c r="B405" s="8" t="s">
        <v>172</v>
      </c>
      <c r="C405" s="8" t="s">
        <v>173</v>
      </c>
      <c r="D405" s="32" t="s">
        <v>236</v>
      </c>
      <c r="E405" s="8" t="s">
        <v>645</v>
      </c>
      <c r="F405" s="4" t="str">
        <f>PROPER(TRIM(Sales_data!F405))</f>
        <v>Kavya Nair</v>
      </c>
      <c r="G405" s="8" t="s">
        <v>32</v>
      </c>
      <c r="H405" s="70" t="s">
        <v>1772</v>
      </c>
      <c r="I405" s="8" t="s">
        <v>298</v>
      </c>
      <c r="J405" s="4" t="str">
        <f>PROPER(Sales_data!J405)</f>
        <v>West</v>
      </c>
      <c r="K405" s="4" t="str">
        <f>PROPER(Sales_data!K405)</f>
        <v>Home Appliances</v>
      </c>
      <c r="L405" s="8" t="s">
        <v>178</v>
      </c>
      <c r="M405" s="66">
        <v>18</v>
      </c>
      <c r="N405" s="8">
        <v>8500</v>
      </c>
      <c r="O405" s="8">
        <v>10</v>
      </c>
      <c r="P405" s="8">
        <v>137700</v>
      </c>
      <c r="Q405" s="8">
        <v>4</v>
      </c>
      <c r="R405" s="67" t="s">
        <v>38</v>
      </c>
      <c r="S405" s="8" t="s">
        <v>53</v>
      </c>
      <c r="T405" s="8" t="s">
        <v>179</v>
      </c>
      <c r="U405" s="9" t="s">
        <v>1773</v>
      </c>
      <c r="V405" s="8" t="s">
        <v>73</v>
      </c>
      <c r="W405" s="4">
        <f t="shared" si="6"/>
        <v>7</v>
      </c>
    </row>
    <row r="406" spans="1:23">
      <c r="A406" s="3" t="s">
        <v>1774</v>
      </c>
      <c r="B406" s="4" t="s">
        <v>57</v>
      </c>
      <c r="C406" s="4" t="s">
        <v>263</v>
      </c>
      <c r="D406" s="31" t="s">
        <v>312</v>
      </c>
      <c r="E406" s="4" t="s">
        <v>285</v>
      </c>
      <c r="F406" s="4" t="str">
        <f>PROPER(TRIM(Sales_data!F406))</f>
        <v>Pooja Shah</v>
      </c>
      <c r="G406" s="4" t="s">
        <v>32</v>
      </c>
      <c r="H406" s="69" t="s">
        <v>1775</v>
      </c>
      <c r="I406" s="4" t="s">
        <v>118</v>
      </c>
      <c r="J406" s="4" t="str">
        <f>PROPER(Sales_data!J406)</f>
        <v>West</v>
      </c>
      <c r="K406" s="4" t="str">
        <f>PROPER(Sales_data!K406)</f>
        <v>Stationery</v>
      </c>
      <c r="L406" s="4" t="s">
        <v>267</v>
      </c>
      <c r="M406" s="66">
        <v>5</v>
      </c>
      <c r="N406" s="4">
        <v>45</v>
      </c>
      <c r="O406" s="4">
        <v>10</v>
      </c>
      <c r="P406" s="4">
        <v>202.5</v>
      </c>
      <c r="Q406" s="4">
        <v>3</v>
      </c>
      <c r="R406" s="67" t="s">
        <v>38</v>
      </c>
      <c r="S406" s="4" t="s">
        <v>119</v>
      </c>
      <c r="T406" s="4" t="s">
        <v>66</v>
      </c>
      <c r="U406" s="6" t="s">
        <v>1776</v>
      </c>
      <c r="V406" s="4" t="s">
        <v>68</v>
      </c>
      <c r="W406" s="4">
        <f t="shared" si="6"/>
        <v>10</v>
      </c>
    </row>
    <row r="407" spans="1:23">
      <c r="A407" s="7" t="s">
        <v>1777</v>
      </c>
      <c r="B407" s="8" t="s">
        <v>75</v>
      </c>
      <c r="C407" s="8" t="s">
        <v>263</v>
      </c>
      <c r="D407" s="32" t="s">
        <v>687</v>
      </c>
      <c r="E407" s="8" t="s">
        <v>688</v>
      </c>
      <c r="F407" s="4" t="str">
        <f>PROPER(TRIM(Sales_data!F407))</f>
        <v>Anita Gupta</v>
      </c>
      <c r="G407" s="8" t="s">
        <v>80</v>
      </c>
      <c r="H407" s="70" t="s">
        <v>1778</v>
      </c>
      <c r="I407" s="8" t="s">
        <v>109</v>
      </c>
      <c r="J407" s="4" t="str">
        <f>PROPER(Sales_data!J407)</f>
        <v>East</v>
      </c>
      <c r="K407" s="4" t="str">
        <f>PROPER(Sales_data!K407)</f>
        <v>Home Appliances</v>
      </c>
      <c r="L407" s="8" t="s">
        <v>267</v>
      </c>
      <c r="M407" s="66">
        <v>2</v>
      </c>
      <c r="N407" s="8">
        <v>45</v>
      </c>
      <c r="O407" s="8">
        <v>20</v>
      </c>
      <c r="P407" s="8">
        <v>72</v>
      </c>
      <c r="Q407" s="8">
        <v>5</v>
      </c>
      <c r="R407" s="67" t="s">
        <v>92</v>
      </c>
      <c r="S407" s="8" t="s">
        <v>65</v>
      </c>
      <c r="T407" s="8" t="s">
        <v>84</v>
      </c>
      <c r="U407" s="9" t="s">
        <v>1779</v>
      </c>
      <c r="V407" s="8" t="s">
        <v>73</v>
      </c>
      <c r="W407" s="4">
        <f t="shared" si="6"/>
        <v>5</v>
      </c>
    </row>
    <row r="408" spans="1:23">
      <c r="A408" s="3" t="s">
        <v>1780</v>
      </c>
      <c r="B408" s="4" t="s">
        <v>104</v>
      </c>
      <c r="C408" s="4" t="s">
        <v>263</v>
      </c>
      <c r="D408" s="31" t="s">
        <v>1383</v>
      </c>
      <c r="E408" s="4" t="s">
        <v>904</v>
      </c>
      <c r="F408" s="4" t="str">
        <f>PROPER(TRIM(Sales_data!F408))</f>
        <v>Pooja Shah</v>
      </c>
      <c r="G408" s="4" t="s">
        <v>32</v>
      </c>
      <c r="H408" s="69" t="s">
        <v>1781</v>
      </c>
      <c r="I408" s="4" t="s">
        <v>34</v>
      </c>
      <c r="J408" s="4" t="str">
        <f>PROPER(Sales_data!J408)</f>
        <v>West</v>
      </c>
      <c r="K408" s="4" t="str">
        <f>PROPER(Sales_data!K408)</f>
        <v>Stationery</v>
      </c>
      <c r="L408" s="4" t="s">
        <v>267</v>
      </c>
      <c r="M408" s="66">
        <v>18</v>
      </c>
      <c r="N408" s="4">
        <v>45</v>
      </c>
      <c r="O408" s="4">
        <v>10</v>
      </c>
      <c r="P408" s="4">
        <v>729</v>
      </c>
      <c r="Q408" s="4">
        <v>2</v>
      </c>
      <c r="R408" s="67" t="s">
        <v>52</v>
      </c>
      <c r="S408" s="4" t="s">
        <v>119</v>
      </c>
      <c r="T408" s="4" t="s">
        <v>148</v>
      </c>
      <c r="U408" s="6" t="s">
        <v>1782</v>
      </c>
      <c r="V408" s="4" t="s">
        <v>68</v>
      </c>
      <c r="W408" s="4">
        <f t="shared" si="6"/>
        <v>1</v>
      </c>
    </row>
    <row r="409" spans="1:23">
      <c r="A409" s="7" t="s">
        <v>1783</v>
      </c>
      <c r="B409" s="8" t="s">
        <v>131</v>
      </c>
      <c r="C409" s="8" t="s">
        <v>76</v>
      </c>
      <c r="D409" s="32" t="s">
        <v>467</v>
      </c>
      <c r="E409" s="8" t="s">
        <v>220</v>
      </c>
      <c r="F409" s="4" t="str">
        <f>PROPER(TRIM(Sales_data!F409))</f>
        <v>Mohit Verma</v>
      </c>
      <c r="G409" s="8" t="s">
        <v>80</v>
      </c>
      <c r="H409" s="70" t="s">
        <v>1784</v>
      </c>
      <c r="I409" s="8" t="s">
        <v>298</v>
      </c>
      <c r="J409" s="4" t="str">
        <f>PROPER(Sales_data!J409)</f>
        <v>West</v>
      </c>
      <c r="K409" s="4" t="str">
        <f>PROPER(Sales_data!K409)</f>
        <v>Stationery</v>
      </c>
      <c r="L409" s="8" t="s">
        <v>82</v>
      </c>
      <c r="M409" s="66">
        <v>13</v>
      </c>
      <c r="N409" s="8">
        <v>1200</v>
      </c>
      <c r="O409" s="8">
        <v>5</v>
      </c>
      <c r="P409" s="8">
        <v>14820</v>
      </c>
      <c r="Q409" s="8">
        <v>4</v>
      </c>
      <c r="R409" s="67" t="s">
        <v>83</v>
      </c>
      <c r="S409" s="8" t="s">
        <v>119</v>
      </c>
      <c r="T409" s="8" t="s">
        <v>136</v>
      </c>
      <c r="U409" s="9" t="s">
        <v>1785</v>
      </c>
      <c r="V409" s="8" t="s">
        <v>42</v>
      </c>
      <c r="W409" s="4">
        <f t="shared" si="6"/>
        <v>12</v>
      </c>
    </row>
    <row r="410" spans="1:23">
      <c r="A410" s="3" t="s">
        <v>1786</v>
      </c>
      <c r="B410" s="4" t="s">
        <v>27</v>
      </c>
      <c r="C410" s="4" t="s">
        <v>226</v>
      </c>
      <c r="D410" s="31" t="s">
        <v>1348</v>
      </c>
      <c r="E410" s="4" t="s">
        <v>1787</v>
      </c>
      <c r="F410" s="4" t="str">
        <f>PROPER(TRIM(Sales_data!F410))</f>
        <v>Priya Patel</v>
      </c>
      <c r="G410" s="4" t="s">
        <v>32</v>
      </c>
      <c r="H410" s="69" t="s">
        <v>1788</v>
      </c>
      <c r="I410" s="4" t="s">
        <v>34</v>
      </c>
      <c r="J410" s="4" t="str">
        <f>PROPER(Sales_data!J410)</f>
        <v>South</v>
      </c>
      <c r="K410" s="4" t="str">
        <f>PROPER(Sales_data!K410)</f>
        <v>Stationery</v>
      </c>
      <c r="L410" s="4" t="s">
        <v>231</v>
      </c>
      <c r="M410" s="66">
        <v>14</v>
      </c>
      <c r="N410" s="4">
        <v>20</v>
      </c>
      <c r="O410" s="4">
        <v>20</v>
      </c>
      <c r="P410" s="4">
        <v>224</v>
      </c>
      <c r="Q410" s="4">
        <v>5</v>
      </c>
      <c r="R410" s="67" t="s">
        <v>92</v>
      </c>
      <c r="S410" s="4" t="s">
        <v>53</v>
      </c>
      <c r="T410" s="4" t="s">
        <v>54</v>
      </c>
      <c r="U410" s="6" t="s">
        <v>1789</v>
      </c>
      <c r="V410" s="4" t="s">
        <v>68</v>
      </c>
      <c r="W410" s="4">
        <f t="shared" si="6"/>
        <v>5</v>
      </c>
    </row>
    <row r="411" spans="1:23">
      <c r="A411" s="7" t="s">
        <v>1790</v>
      </c>
      <c r="B411" s="8" t="s">
        <v>104</v>
      </c>
      <c r="C411" s="8" t="s">
        <v>96</v>
      </c>
      <c r="D411" s="32" t="s">
        <v>1791</v>
      </c>
      <c r="E411" s="8" t="s">
        <v>1693</v>
      </c>
      <c r="F411" s="4" t="str">
        <f>PROPER(TRIM(Sales_data!F411))</f>
        <v>Rohit Singh</v>
      </c>
      <c r="G411" s="8" t="s">
        <v>32</v>
      </c>
      <c r="H411" s="70" t="s">
        <v>1792</v>
      </c>
      <c r="I411" s="8" t="s">
        <v>34</v>
      </c>
      <c r="J411" s="4" t="str">
        <f>PROPER(Sales_data!J411)</f>
        <v>East</v>
      </c>
      <c r="K411" s="4" t="str">
        <f>PROPER(Sales_data!K411)</f>
        <v>Electronics</v>
      </c>
      <c r="L411" s="8" t="s">
        <v>101</v>
      </c>
      <c r="M411" s="66">
        <v>16</v>
      </c>
      <c r="N411" s="8">
        <v>3500</v>
      </c>
      <c r="O411" s="8">
        <v>15</v>
      </c>
      <c r="P411" s="8">
        <v>47600</v>
      </c>
      <c r="Q411" s="8">
        <v>3</v>
      </c>
      <c r="R411" s="67" t="s">
        <v>92</v>
      </c>
      <c r="S411" s="8" t="s">
        <v>65</v>
      </c>
      <c r="T411" s="8" t="s">
        <v>148</v>
      </c>
      <c r="U411" s="9" t="s">
        <v>1793</v>
      </c>
      <c r="V411" s="8" t="s">
        <v>73</v>
      </c>
      <c r="W411" s="4">
        <f t="shared" si="6"/>
        <v>2</v>
      </c>
    </row>
    <row r="412" spans="1:23">
      <c r="A412" s="3" t="s">
        <v>1794</v>
      </c>
      <c r="B412" s="4" t="s">
        <v>255</v>
      </c>
      <c r="C412" s="4" t="s">
        <v>226</v>
      </c>
      <c r="D412" s="31" t="s">
        <v>991</v>
      </c>
      <c r="E412" s="4" t="s">
        <v>1114</v>
      </c>
      <c r="F412" s="4" t="str">
        <f>PROPER(TRIM(Sales_data!F412))</f>
        <v>Kavya Nair</v>
      </c>
      <c r="G412" s="4" t="s">
        <v>32</v>
      </c>
      <c r="H412" s="69" t="s">
        <v>1795</v>
      </c>
      <c r="I412" s="4" t="s">
        <v>63</v>
      </c>
      <c r="J412" s="4" t="str">
        <f>PROPER(Sales_data!J412)</f>
        <v>South</v>
      </c>
      <c r="K412" s="4" t="str">
        <f>PROPER(Sales_data!K412)</f>
        <v>Stationery</v>
      </c>
      <c r="L412" s="4" t="s">
        <v>231</v>
      </c>
      <c r="M412" s="66">
        <v>20</v>
      </c>
      <c r="N412" s="4">
        <v>20</v>
      </c>
      <c r="O412" s="4">
        <v>15</v>
      </c>
      <c r="P412" s="4">
        <v>340</v>
      </c>
      <c r="Q412" s="4">
        <v>1</v>
      </c>
      <c r="R412" s="67" t="s">
        <v>52</v>
      </c>
      <c r="S412" s="4" t="s">
        <v>65</v>
      </c>
      <c r="T412" s="4" t="s">
        <v>260</v>
      </c>
      <c r="U412" s="6" t="s">
        <v>1796</v>
      </c>
      <c r="V412" s="4" t="s">
        <v>73</v>
      </c>
      <c r="W412" s="4">
        <f t="shared" si="6"/>
        <v>2</v>
      </c>
    </row>
    <row r="413" spans="1:23">
      <c r="A413" s="7" t="s">
        <v>1797</v>
      </c>
      <c r="B413" s="8" t="s">
        <v>172</v>
      </c>
      <c r="C413" s="8" t="s">
        <v>58</v>
      </c>
      <c r="D413" s="32" t="s">
        <v>656</v>
      </c>
      <c r="E413" s="8" t="s">
        <v>670</v>
      </c>
      <c r="F413" s="4" t="str">
        <f>PROPER(TRIM(Sales_data!F413))</f>
        <v>Priya Patel</v>
      </c>
      <c r="G413" s="8" t="s">
        <v>32</v>
      </c>
      <c r="H413" s="70" t="s">
        <v>1798</v>
      </c>
      <c r="I413" s="8" t="s">
        <v>142</v>
      </c>
      <c r="J413" s="4" t="str">
        <f>PROPER(Sales_data!J413)</f>
        <v>South</v>
      </c>
      <c r="K413" s="4" t="str">
        <f>PROPER(Sales_data!K413)</f>
        <v>Home Appliances</v>
      </c>
      <c r="L413" s="8" t="s">
        <v>64</v>
      </c>
      <c r="M413" s="66">
        <v>1</v>
      </c>
      <c r="N413" s="8">
        <v>55000</v>
      </c>
      <c r="O413" s="8">
        <v>15</v>
      </c>
      <c r="P413" s="8">
        <v>46750</v>
      </c>
      <c r="Q413" s="8">
        <v>2</v>
      </c>
      <c r="R413" s="67" t="s">
        <v>92</v>
      </c>
      <c r="S413" s="8" t="s">
        <v>119</v>
      </c>
      <c r="T413" s="8" t="s">
        <v>179</v>
      </c>
      <c r="U413" s="9" t="s">
        <v>1799</v>
      </c>
      <c r="V413" s="8" t="s">
        <v>73</v>
      </c>
      <c r="W413" s="4">
        <f t="shared" si="6"/>
        <v>4</v>
      </c>
    </row>
    <row r="414" spans="1:23">
      <c r="A414" s="3" t="s">
        <v>1800</v>
      </c>
      <c r="B414" s="4" t="s">
        <v>104</v>
      </c>
      <c r="C414" s="4" t="s">
        <v>122</v>
      </c>
      <c r="D414" s="31" t="s">
        <v>146</v>
      </c>
      <c r="E414" s="4" t="s">
        <v>624</v>
      </c>
      <c r="F414" s="4" t="str">
        <f>PROPER(TRIM(Sales_data!F414))</f>
        <v>Sneha Joshi</v>
      </c>
      <c r="G414" s="4" t="s">
        <v>32</v>
      </c>
      <c r="H414" s="69" t="s">
        <v>1801</v>
      </c>
      <c r="I414" s="4" t="s">
        <v>142</v>
      </c>
      <c r="J414" s="4" t="str">
        <f>PROPER(Sales_data!J414)</f>
        <v>South</v>
      </c>
      <c r="K414" s="4" t="str">
        <f>PROPER(Sales_data!K414)</f>
        <v>Stationery</v>
      </c>
      <c r="L414" s="4" t="s">
        <v>127</v>
      </c>
      <c r="M414" s="66">
        <v>15</v>
      </c>
      <c r="N414" s="4">
        <v>60</v>
      </c>
      <c r="O414" s="4">
        <v>5</v>
      </c>
      <c r="P414" s="4">
        <v>855</v>
      </c>
      <c r="Q414" s="4">
        <v>4</v>
      </c>
      <c r="R414" s="67" t="s">
        <v>52</v>
      </c>
      <c r="S414" s="4" t="s">
        <v>65</v>
      </c>
      <c r="T414" s="4" t="s">
        <v>148</v>
      </c>
      <c r="U414" s="6" t="s">
        <v>1802</v>
      </c>
      <c r="V414" s="4" t="s">
        <v>42</v>
      </c>
      <c r="W414" s="4">
        <f t="shared" si="6"/>
        <v>1</v>
      </c>
    </row>
    <row r="415" spans="1:23">
      <c r="A415" s="7" t="s">
        <v>1803</v>
      </c>
      <c r="B415" s="8" t="s">
        <v>87</v>
      </c>
      <c r="C415" s="8" t="s">
        <v>188</v>
      </c>
      <c r="D415" s="32" t="s">
        <v>1804</v>
      </c>
      <c r="E415" s="8" t="s">
        <v>70</v>
      </c>
      <c r="F415" s="4" t="str">
        <f>PROPER(TRIM(Sales_data!F415))</f>
        <v>Anita Gupta</v>
      </c>
      <c r="G415" s="8" t="s">
        <v>80</v>
      </c>
      <c r="H415" s="70" t="s">
        <v>1805</v>
      </c>
      <c r="I415" s="8" t="s">
        <v>109</v>
      </c>
      <c r="J415" s="4" t="str">
        <f>PROPER(Sales_data!J415)</f>
        <v>West</v>
      </c>
      <c r="K415" s="4" t="str">
        <f>PROPER(Sales_data!K415)</f>
        <v>Electronics</v>
      </c>
      <c r="L415" s="8" t="s">
        <v>193</v>
      </c>
      <c r="M415" s="66">
        <v>15</v>
      </c>
      <c r="N415" s="8">
        <v>700</v>
      </c>
      <c r="O415" s="8">
        <v>0</v>
      </c>
      <c r="P415" s="8">
        <v>10500</v>
      </c>
      <c r="Q415" s="8">
        <v>5</v>
      </c>
      <c r="R415" s="67" t="s">
        <v>52</v>
      </c>
      <c r="S415" s="8" t="s">
        <v>119</v>
      </c>
      <c r="T415" s="8" t="s">
        <v>93</v>
      </c>
      <c r="U415" s="9" t="s">
        <v>1806</v>
      </c>
      <c r="V415" s="8" t="s">
        <v>42</v>
      </c>
      <c r="W415" s="4">
        <f t="shared" si="6"/>
        <v>3</v>
      </c>
    </row>
    <row r="416" spans="1:23">
      <c r="A416" s="3" t="s">
        <v>1807</v>
      </c>
      <c r="B416" s="4" t="s">
        <v>225</v>
      </c>
      <c r="C416" s="4" t="s">
        <v>44</v>
      </c>
      <c r="D416" s="31" t="s">
        <v>1203</v>
      </c>
      <c r="E416" s="4" t="s">
        <v>444</v>
      </c>
      <c r="F416" s="4" t="str">
        <f>PROPER(TRIM(Sales_data!F416))</f>
        <v>Priya Patel</v>
      </c>
      <c r="G416" s="4" t="s">
        <v>80</v>
      </c>
      <c r="H416" s="69" t="s">
        <v>1808</v>
      </c>
      <c r="I416" s="4" t="s">
        <v>298</v>
      </c>
      <c r="J416" s="4" t="str">
        <f>PROPER(Sales_data!J416)</f>
        <v>West</v>
      </c>
      <c r="K416" s="4" t="str">
        <f>PROPER(Sales_data!K416)</f>
        <v>Stationery</v>
      </c>
      <c r="L416" s="4" t="s">
        <v>51</v>
      </c>
      <c r="M416" s="66">
        <v>13</v>
      </c>
      <c r="N416" s="4">
        <v>12000</v>
      </c>
      <c r="O416" s="4">
        <v>10</v>
      </c>
      <c r="P416" s="4">
        <v>140400</v>
      </c>
      <c r="Q416" s="4">
        <v>1</v>
      </c>
      <c r="R416" s="67" t="s">
        <v>38</v>
      </c>
      <c r="S416" s="4" t="s">
        <v>155</v>
      </c>
      <c r="T416" s="4" t="s">
        <v>232</v>
      </c>
      <c r="U416" s="6" t="s">
        <v>1809</v>
      </c>
      <c r="V416" s="4" t="s">
        <v>73</v>
      </c>
      <c r="W416" s="4">
        <f t="shared" si="6"/>
        <v>1</v>
      </c>
    </row>
    <row r="417" spans="1:23">
      <c r="A417" s="7" t="s">
        <v>1810</v>
      </c>
      <c r="B417" s="8" t="s">
        <v>87</v>
      </c>
      <c r="C417" s="8" t="s">
        <v>44</v>
      </c>
      <c r="D417" s="32" t="s">
        <v>1811</v>
      </c>
      <c r="E417" s="8" t="s">
        <v>1085</v>
      </c>
      <c r="F417" s="4" t="str">
        <f>PROPER(TRIM(Sales_data!F417))</f>
        <v>Arjun Rao</v>
      </c>
      <c r="G417" s="8" t="s">
        <v>80</v>
      </c>
      <c r="H417" s="70" t="s">
        <v>1812</v>
      </c>
      <c r="I417" s="8" t="s">
        <v>34</v>
      </c>
      <c r="J417" s="4" t="str">
        <f>PROPER(Sales_data!J417)</f>
        <v>West</v>
      </c>
      <c r="K417" s="4" t="str">
        <f>PROPER(Sales_data!K417)</f>
        <v>Electronics</v>
      </c>
      <c r="L417" s="8" t="s">
        <v>51</v>
      </c>
      <c r="M417" s="66">
        <v>12</v>
      </c>
      <c r="N417" s="8">
        <v>12000</v>
      </c>
      <c r="O417" s="8">
        <v>20</v>
      </c>
      <c r="P417" s="8">
        <v>115200</v>
      </c>
      <c r="Q417" s="8">
        <v>2</v>
      </c>
      <c r="R417" s="67" t="s">
        <v>38</v>
      </c>
      <c r="S417" s="8" t="s">
        <v>39</v>
      </c>
      <c r="T417" s="8" t="s">
        <v>93</v>
      </c>
      <c r="U417" s="9" t="s">
        <v>1813</v>
      </c>
      <c r="V417" s="8" t="s">
        <v>42</v>
      </c>
      <c r="W417" s="4">
        <f t="shared" si="6"/>
        <v>4</v>
      </c>
    </row>
    <row r="418" spans="1:23">
      <c r="A418" s="3" t="s">
        <v>1814</v>
      </c>
      <c r="B418" s="4" t="s">
        <v>87</v>
      </c>
      <c r="C418" s="4" t="s">
        <v>263</v>
      </c>
      <c r="D418" s="31" t="s">
        <v>123</v>
      </c>
      <c r="E418" s="4" t="s">
        <v>1302</v>
      </c>
      <c r="F418" s="4" t="str">
        <f>PROPER(TRIM(Sales_data!F418))</f>
        <v>Vikas Mehta</v>
      </c>
      <c r="G418" s="4" t="s">
        <v>80</v>
      </c>
      <c r="H418" s="69" t="s">
        <v>1815</v>
      </c>
      <c r="I418" s="4" t="s">
        <v>109</v>
      </c>
      <c r="J418" s="4" t="str">
        <f>PROPER(Sales_data!J418)</f>
        <v>East</v>
      </c>
      <c r="K418" s="4" t="str">
        <f>PROPER(Sales_data!K418)</f>
        <v>Electronics</v>
      </c>
      <c r="L418" s="4" t="s">
        <v>267</v>
      </c>
      <c r="M418" s="66">
        <v>10</v>
      </c>
      <c r="N418" s="4">
        <v>45</v>
      </c>
      <c r="O418" s="4">
        <v>0</v>
      </c>
      <c r="P418" s="4">
        <v>450</v>
      </c>
      <c r="Q418" s="4">
        <v>5</v>
      </c>
      <c r="R418" s="67" t="s">
        <v>83</v>
      </c>
      <c r="S418" s="4" t="s">
        <v>119</v>
      </c>
      <c r="T418" s="4" t="s">
        <v>93</v>
      </c>
      <c r="U418" s="6" t="s">
        <v>1816</v>
      </c>
      <c r="V418" s="4" t="s">
        <v>73</v>
      </c>
      <c r="W418" s="4">
        <f t="shared" si="6"/>
        <v>3</v>
      </c>
    </row>
    <row r="419" spans="1:23">
      <c r="A419" s="7" t="s">
        <v>1817</v>
      </c>
      <c r="B419" s="8" t="s">
        <v>131</v>
      </c>
      <c r="C419" s="8" t="s">
        <v>76</v>
      </c>
      <c r="D419" s="32" t="s">
        <v>45</v>
      </c>
      <c r="E419" s="8" t="s">
        <v>600</v>
      </c>
      <c r="F419" s="4" t="str">
        <f>PROPER(TRIM(Sales_data!F419))</f>
        <v>Arjun Rao</v>
      </c>
      <c r="G419" s="8" t="s">
        <v>80</v>
      </c>
      <c r="H419" s="70" t="s">
        <v>1818</v>
      </c>
      <c r="I419" s="8" t="s">
        <v>109</v>
      </c>
      <c r="J419" s="4" t="str">
        <f>PROPER(Sales_data!J419)</f>
        <v>South</v>
      </c>
      <c r="K419" s="4" t="str">
        <f>PROPER(Sales_data!K419)</f>
        <v>Electronics</v>
      </c>
      <c r="L419" s="8" t="s">
        <v>82</v>
      </c>
      <c r="M419" s="66">
        <v>20</v>
      </c>
      <c r="N419" s="8">
        <v>1200</v>
      </c>
      <c r="O419" s="8">
        <v>20</v>
      </c>
      <c r="P419" s="8">
        <v>19200</v>
      </c>
      <c r="Q419" s="8">
        <v>5</v>
      </c>
      <c r="R419" s="67" t="s">
        <v>52</v>
      </c>
      <c r="S419" s="8" t="s">
        <v>65</v>
      </c>
      <c r="T419" s="8" t="s">
        <v>136</v>
      </c>
      <c r="U419" s="9" t="s">
        <v>1819</v>
      </c>
      <c r="V419" s="8" t="s">
        <v>73</v>
      </c>
      <c r="W419" s="4">
        <f t="shared" si="6"/>
        <v>4</v>
      </c>
    </row>
    <row r="420" spans="1:23">
      <c r="A420" s="3" t="s">
        <v>1820</v>
      </c>
      <c r="B420" s="4" t="s">
        <v>75</v>
      </c>
      <c r="C420" s="4" t="s">
        <v>76</v>
      </c>
      <c r="D420" s="31" t="s">
        <v>132</v>
      </c>
      <c r="E420" s="4" t="s">
        <v>1821</v>
      </c>
      <c r="F420" s="4" t="str">
        <f>PROPER(TRIM(Sales_data!F420))</f>
        <v>Arjun Rao</v>
      </c>
      <c r="G420" s="4" t="s">
        <v>80</v>
      </c>
      <c r="H420" s="69" t="s">
        <v>1822</v>
      </c>
      <c r="I420" s="4" t="s">
        <v>118</v>
      </c>
      <c r="J420" s="4" t="str">
        <f>PROPER(Sales_data!J420)</f>
        <v>West</v>
      </c>
      <c r="K420" s="4" t="str">
        <f>PROPER(Sales_data!K420)</f>
        <v>Stationery</v>
      </c>
      <c r="L420" s="4" t="s">
        <v>82</v>
      </c>
      <c r="M420" s="66">
        <v>8</v>
      </c>
      <c r="N420" s="4">
        <v>1200</v>
      </c>
      <c r="O420" s="4">
        <v>10</v>
      </c>
      <c r="P420" s="4">
        <v>8640</v>
      </c>
      <c r="Q420" s="4">
        <v>4</v>
      </c>
      <c r="R420" s="67" t="s">
        <v>52</v>
      </c>
      <c r="S420" s="4" t="s">
        <v>65</v>
      </c>
      <c r="T420" s="4" t="s">
        <v>84</v>
      </c>
      <c r="U420" s="6" t="s">
        <v>1823</v>
      </c>
      <c r="V420" s="4" t="s">
        <v>42</v>
      </c>
      <c r="W420" s="4">
        <f t="shared" si="6"/>
        <v>9</v>
      </c>
    </row>
    <row r="421" spans="1:23">
      <c r="A421" s="7" t="s">
        <v>1824</v>
      </c>
      <c r="B421" s="8" t="s">
        <v>131</v>
      </c>
      <c r="C421" s="8" t="s">
        <v>76</v>
      </c>
      <c r="D421" s="32" t="s">
        <v>1089</v>
      </c>
      <c r="E421" s="8" t="s">
        <v>1090</v>
      </c>
      <c r="F421" s="4" t="str">
        <f>PROPER(TRIM(Sales_data!F421))</f>
        <v>Rohit Singh</v>
      </c>
      <c r="G421" s="8" t="s">
        <v>80</v>
      </c>
      <c r="H421" s="70" t="s">
        <v>1825</v>
      </c>
      <c r="I421" s="8" t="s">
        <v>216</v>
      </c>
      <c r="J421" s="4" t="str">
        <f>PROPER(Sales_data!J421)</f>
        <v>West</v>
      </c>
      <c r="K421" s="4" t="str">
        <f>PROPER(Sales_data!K421)</f>
        <v>Electronics</v>
      </c>
      <c r="L421" s="8" t="s">
        <v>82</v>
      </c>
      <c r="M421" s="66">
        <v>8</v>
      </c>
      <c r="N421" s="8">
        <v>1200</v>
      </c>
      <c r="O421" s="8">
        <v>10</v>
      </c>
      <c r="P421" s="8">
        <v>8640</v>
      </c>
      <c r="Q421" s="8">
        <v>5</v>
      </c>
      <c r="R421" s="67" t="s">
        <v>83</v>
      </c>
      <c r="S421" s="8" t="s">
        <v>53</v>
      </c>
      <c r="T421" s="8" t="s">
        <v>136</v>
      </c>
      <c r="U421" s="9" t="s">
        <v>1826</v>
      </c>
      <c r="V421" s="8" t="s">
        <v>73</v>
      </c>
      <c r="W421" s="4">
        <f t="shared" si="6"/>
        <v>5</v>
      </c>
    </row>
    <row r="422" spans="1:23">
      <c r="A422" s="3" t="s">
        <v>1827</v>
      </c>
      <c r="B422" s="4" t="s">
        <v>331</v>
      </c>
      <c r="C422" s="4" t="s">
        <v>28</v>
      </c>
      <c r="D422" s="31" t="s">
        <v>1828</v>
      </c>
      <c r="E422" s="4" t="s">
        <v>1448</v>
      </c>
      <c r="F422" s="4" t="str">
        <f>PROPER(TRIM(Sales_data!F422))</f>
        <v>Mohit Verma</v>
      </c>
      <c r="G422" s="4" t="s">
        <v>80</v>
      </c>
      <c r="H422" s="69" t="s">
        <v>1829</v>
      </c>
      <c r="I422" s="4" t="s">
        <v>216</v>
      </c>
      <c r="J422" s="4" t="str">
        <f>PROPER(Sales_data!J422)</f>
        <v>West</v>
      </c>
      <c r="K422" s="4" t="str">
        <f>PROPER(Sales_data!K422)</f>
        <v>Electronics</v>
      </c>
      <c r="L422" s="4" t="s">
        <v>37</v>
      </c>
      <c r="M422" s="66">
        <v>9</v>
      </c>
      <c r="N422" s="4">
        <v>2200</v>
      </c>
      <c r="O422" s="4">
        <v>20</v>
      </c>
      <c r="P422" s="4">
        <v>15840</v>
      </c>
      <c r="Q422" s="4">
        <v>1</v>
      </c>
      <c r="R422" s="67" t="s">
        <v>52</v>
      </c>
      <c r="S422" s="4" t="s">
        <v>119</v>
      </c>
      <c r="T422" s="4" t="s">
        <v>336</v>
      </c>
      <c r="U422" s="6" t="s">
        <v>1830</v>
      </c>
      <c r="V422" s="4" t="s">
        <v>42</v>
      </c>
      <c r="W422" s="4">
        <f t="shared" si="6"/>
        <v>12</v>
      </c>
    </row>
    <row r="423" spans="1:23">
      <c r="A423" s="7" t="s">
        <v>1831</v>
      </c>
      <c r="B423" s="8" t="s">
        <v>131</v>
      </c>
      <c r="C423" s="8" t="s">
        <v>226</v>
      </c>
      <c r="D423" s="32" t="s">
        <v>1272</v>
      </c>
      <c r="E423" s="8" t="s">
        <v>764</v>
      </c>
      <c r="F423" s="4" t="str">
        <f>PROPER(TRIM(Sales_data!F423))</f>
        <v>Rohit Singh</v>
      </c>
      <c r="G423" s="8" t="s">
        <v>80</v>
      </c>
      <c r="H423" s="70" t="s">
        <v>1832</v>
      </c>
      <c r="I423" s="8" t="s">
        <v>298</v>
      </c>
      <c r="J423" s="4" t="str">
        <f>PROPER(Sales_data!J423)</f>
        <v>North</v>
      </c>
      <c r="K423" s="4" t="str">
        <f>PROPER(Sales_data!K423)</f>
        <v>Electronics</v>
      </c>
      <c r="L423" s="8" t="s">
        <v>231</v>
      </c>
      <c r="M423" s="66">
        <v>8</v>
      </c>
      <c r="N423" s="8">
        <v>20</v>
      </c>
      <c r="O423" s="8">
        <v>20</v>
      </c>
      <c r="P423" s="8">
        <v>128</v>
      </c>
      <c r="Q423" s="8">
        <v>4</v>
      </c>
      <c r="R423" s="67" t="s">
        <v>38</v>
      </c>
      <c r="S423" s="8" t="s">
        <v>39</v>
      </c>
      <c r="T423" s="8" t="s">
        <v>136</v>
      </c>
      <c r="U423" s="9" t="s">
        <v>1833</v>
      </c>
      <c r="V423" s="8" t="s">
        <v>73</v>
      </c>
      <c r="W423" s="4">
        <f t="shared" si="6"/>
        <v>1</v>
      </c>
    </row>
    <row r="424" spans="1:23">
      <c r="A424" s="3" t="s">
        <v>1834</v>
      </c>
      <c r="B424" s="4" t="s">
        <v>225</v>
      </c>
      <c r="C424" s="4" t="s">
        <v>58</v>
      </c>
      <c r="D424" s="31" t="s">
        <v>1180</v>
      </c>
      <c r="E424" s="4" t="s">
        <v>1835</v>
      </c>
      <c r="F424" s="4" t="str">
        <f>PROPER(TRIM(Sales_data!F424))</f>
        <v>Amit Sharma</v>
      </c>
      <c r="G424" s="4" t="s">
        <v>80</v>
      </c>
      <c r="H424" s="69" t="s">
        <v>1010</v>
      </c>
      <c r="I424" s="4" t="s">
        <v>118</v>
      </c>
      <c r="J424" s="4" t="str">
        <f>PROPER(Sales_data!J424)</f>
        <v>North</v>
      </c>
      <c r="K424" s="4" t="str">
        <f>PROPER(Sales_data!K424)</f>
        <v>Home Appliances</v>
      </c>
      <c r="L424" s="4" t="s">
        <v>64</v>
      </c>
      <c r="M424" s="66">
        <v>5</v>
      </c>
      <c r="N424" s="4">
        <v>55000</v>
      </c>
      <c r="O424" s="4">
        <v>0</v>
      </c>
      <c r="P424" s="4">
        <v>275000</v>
      </c>
      <c r="Q424" s="4">
        <v>1</v>
      </c>
      <c r="R424" s="67" t="s">
        <v>83</v>
      </c>
      <c r="S424" s="4" t="s">
        <v>119</v>
      </c>
      <c r="T424" s="4" t="s">
        <v>232</v>
      </c>
      <c r="U424" s="6" t="s">
        <v>1836</v>
      </c>
      <c r="V424" s="4" t="s">
        <v>42</v>
      </c>
      <c r="W424" s="4">
        <f t="shared" si="6"/>
        <v>1</v>
      </c>
    </row>
    <row r="425" spans="1:23">
      <c r="A425" s="7" t="s">
        <v>1837</v>
      </c>
      <c r="B425" s="8" t="s">
        <v>104</v>
      </c>
      <c r="C425" s="8" t="s">
        <v>76</v>
      </c>
      <c r="D425" s="32" t="s">
        <v>1838</v>
      </c>
      <c r="E425" s="8" t="s">
        <v>640</v>
      </c>
      <c r="F425" s="4" t="str">
        <f>PROPER(TRIM(Sales_data!F425))</f>
        <v>Rohit Singh</v>
      </c>
      <c r="G425" s="8" t="s">
        <v>32</v>
      </c>
      <c r="H425" s="70" t="s">
        <v>1839</v>
      </c>
      <c r="I425" s="8" t="s">
        <v>109</v>
      </c>
      <c r="J425" s="4" t="str">
        <f>PROPER(Sales_data!J425)</f>
        <v>East</v>
      </c>
      <c r="K425" s="4" t="str">
        <f>PROPER(Sales_data!K425)</f>
        <v>Stationery</v>
      </c>
      <c r="L425" s="8" t="s">
        <v>82</v>
      </c>
      <c r="M425" s="66">
        <v>13</v>
      </c>
      <c r="N425" s="8">
        <v>1200</v>
      </c>
      <c r="O425" s="8">
        <v>5</v>
      </c>
      <c r="P425" s="8">
        <v>14820</v>
      </c>
      <c r="Q425" s="8">
        <v>2</v>
      </c>
      <c r="R425" s="67" t="s">
        <v>83</v>
      </c>
      <c r="S425" s="8" t="s">
        <v>39</v>
      </c>
      <c r="T425" s="8" t="s">
        <v>148</v>
      </c>
      <c r="U425" s="9" t="s">
        <v>1840</v>
      </c>
      <c r="V425" s="8" t="s">
        <v>73</v>
      </c>
      <c r="W425" s="4">
        <f t="shared" si="6"/>
        <v>3</v>
      </c>
    </row>
    <row r="426" spans="1:23">
      <c r="A426" s="3" t="s">
        <v>1841</v>
      </c>
      <c r="B426" s="4" t="s">
        <v>87</v>
      </c>
      <c r="C426" s="4" t="s">
        <v>173</v>
      </c>
      <c r="D426" s="31" t="s">
        <v>1488</v>
      </c>
      <c r="E426" s="4" t="s">
        <v>1842</v>
      </c>
      <c r="F426" s="4" t="str">
        <f>PROPER(TRIM(Sales_data!F426))</f>
        <v>Vikas Mehta</v>
      </c>
      <c r="G426" s="4" t="s">
        <v>80</v>
      </c>
      <c r="H426" s="69" t="s">
        <v>1843</v>
      </c>
      <c r="I426" s="4" t="s">
        <v>216</v>
      </c>
      <c r="J426" s="4" t="str">
        <f>PROPER(Sales_data!J426)</f>
        <v>West</v>
      </c>
      <c r="K426" s="4" t="str">
        <f>PROPER(Sales_data!K426)</f>
        <v>Electronics</v>
      </c>
      <c r="L426" s="4" t="s">
        <v>178</v>
      </c>
      <c r="M426" s="66">
        <v>13</v>
      </c>
      <c r="N426" s="4">
        <v>8500</v>
      </c>
      <c r="O426" s="4">
        <v>20</v>
      </c>
      <c r="P426" s="4">
        <v>88400</v>
      </c>
      <c r="Q426" s="4">
        <v>5</v>
      </c>
      <c r="R426" s="67" t="s">
        <v>38</v>
      </c>
      <c r="S426" s="4" t="s">
        <v>53</v>
      </c>
      <c r="T426" s="4" t="s">
        <v>93</v>
      </c>
      <c r="U426" s="6" t="s">
        <v>1844</v>
      </c>
      <c r="V426" s="4" t="s">
        <v>68</v>
      </c>
      <c r="W426" s="4">
        <f t="shared" si="6"/>
        <v>11</v>
      </c>
    </row>
    <row r="427" spans="1:23">
      <c r="A427" s="7" t="s">
        <v>1845</v>
      </c>
      <c r="B427" s="8" t="s">
        <v>75</v>
      </c>
      <c r="C427" s="8" t="s">
        <v>122</v>
      </c>
      <c r="D427" s="32" t="s">
        <v>769</v>
      </c>
      <c r="E427" s="8" t="s">
        <v>1846</v>
      </c>
      <c r="F427" s="4" t="str">
        <f>PROPER(TRIM(Sales_data!F427))</f>
        <v>Priya Patel</v>
      </c>
      <c r="G427" s="8" t="s">
        <v>80</v>
      </c>
      <c r="H427" s="70" t="s">
        <v>1847</v>
      </c>
      <c r="I427" s="8" t="s">
        <v>118</v>
      </c>
      <c r="J427" s="4" t="str">
        <f>PROPER(Sales_data!J427)</f>
        <v>West</v>
      </c>
      <c r="K427" s="4" t="str">
        <f>PROPER(Sales_data!K427)</f>
        <v>Electronics</v>
      </c>
      <c r="L427" s="8" t="s">
        <v>127</v>
      </c>
      <c r="M427" s="66">
        <v>14</v>
      </c>
      <c r="N427" s="8">
        <v>60</v>
      </c>
      <c r="O427" s="8">
        <v>10</v>
      </c>
      <c r="P427" s="8">
        <v>756</v>
      </c>
      <c r="Q427" s="8">
        <v>1</v>
      </c>
      <c r="R427" s="67" t="s">
        <v>38</v>
      </c>
      <c r="S427" s="8" t="s">
        <v>65</v>
      </c>
      <c r="T427" s="8" t="s">
        <v>84</v>
      </c>
      <c r="U427" s="9" t="s">
        <v>1848</v>
      </c>
      <c r="V427" s="8" t="s">
        <v>73</v>
      </c>
      <c r="W427" s="4">
        <f t="shared" si="6"/>
        <v>2</v>
      </c>
    </row>
    <row r="428" spans="1:23">
      <c r="A428" s="3" t="s">
        <v>1849</v>
      </c>
      <c r="B428" s="4" t="s">
        <v>255</v>
      </c>
      <c r="C428" s="4" t="s">
        <v>28</v>
      </c>
      <c r="D428" s="31" t="s">
        <v>340</v>
      </c>
      <c r="E428" s="4" t="s">
        <v>610</v>
      </c>
      <c r="F428" s="4" t="str">
        <f>PROPER(TRIM(Sales_data!F428))</f>
        <v>Arjun Rao</v>
      </c>
      <c r="G428" s="4" t="s">
        <v>32</v>
      </c>
      <c r="H428" s="69" t="s">
        <v>1850</v>
      </c>
      <c r="I428" s="4" t="s">
        <v>63</v>
      </c>
      <c r="J428" s="4" t="str">
        <f>PROPER(Sales_data!J428)</f>
        <v>North</v>
      </c>
      <c r="K428" s="4" t="str">
        <f>PROPER(Sales_data!K428)</f>
        <v>Home Appliances</v>
      </c>
      <c r="L428" s="4" t="s">
        <v>37</v>
      </c>
      <c r="M428" s="66">
        <v>15</v>
      </c>
      <c r="N428" s="4">
        <v>2200</v>
      </c>
      <c r="O428" s="4">
        <v>0</v>
      </c>
      <c r="P428" s="4">
        <v>33000</v>
      </c>
      <c r="Q428" s="4">
        <v>1</v>
      </c>
      <c r="R428" s="67" t="s">
        <v>38</v>
      </c>
      <c r="S428" s="4" t="s">
        <v>65</v>
      </c>
      <c r="T428" s="4" t="s">
        <v>260</v>
      </c>
      <c r="U428" s="6" t="s">
        <v>1851</v>
      </c>
      <c r="V428" s="4" t="s">
        <v>42</v>
      </c>
      <c r="W428" s="4">
        <f t="shared" si="6"/>
        <v>4</v>
      </c>
    </row>
    <row r="429" spans="1:23">
      <c r="A429" s="7" t="s">
        <v>1852</v>
      </c>
      <c r="B429" s="8" t="s">
        <v>87</v>
      </c>
      <c r="C429" s="8" t="s">
        <v>122</v>
      </c>
      <c r="D429" s="32" t="s">
        <v>1853</v>
      </c>
      <c r="E429" s="8" t="s">
        <v>1854</v>
      </c>
      <c r="F429" s="4" t="str">
        <f>PROPER(TRIM(Sales_data!F429))</f>
        <v>Mohit Verma</v>
      </c>
      <c r="G429" s="8" t="s">
        <v>80</v>
      </c>
      <c r="H429" s="70" t="s">
        <v>1855</v>
      </c>
      <c r="I429" s="8" t="s">
        <v>216</v>
      </c>
      <c r="J429" s="4" t="str">
        <f>PROPER(Sales_data!J429)</f>
        <v>West</v>
      </c>
      <c r="K429" s="4" t="str">
        <f>PROPER(Sales_data!K429)</f>
        <v>Stationery</v>
      </c>
      <c r="L429" s="8" t="s">
        <v>127</v>
      </c>
      <c r="M429" s="66">
        <v>19</v>
      </c>
      <c r="N429" s="8">
        <v>60</v>
      </c>
      <c r="O429" s="8">
        <v>20</v>
      </c>
      <c r="P429" s="8">
        <v>912</v>
      </c>
      <c r="Q429" s="8">
        <v>3</v>
      </c>
      <c r="R429" s="67" t="s">
        <v>38</v>
      </c>
      <c r="S429" s="8" t="s">
        <v>155</v>
      </c>
      <c r="T429" s="8" t="s">
        <v>93</v>
      </c>
      <c r="U429" s="9" t="s">
        <v>1856</v>
      </c>
      <c r="V429" s="8" t="s">
        <v>68</v>
      </c>
      <c r="W429" s="4">
        <f t="shared" si="6"/>
        <v>8</v>
      </c>
    </row>
    <row r="430" spans="1:23">
      <c r="A430" s="3" t="s">
        <v>1857</v>
      </c>
      <c r="B430" s="4" t="s">
        <v>57</v>
      </c>
      <c r="C430" s="4" t="s">
        <v>263</v>
      </c>
      <c r="D430" s="31" t="s">
        <v>1764</v>
      </c>
      <c r="E430" s="4" t="s">
        <v>345</v>
      </c>
      <c r="F430" s="4" t="str">
        <f>PROPER(TRIM(Sales_data!F430))</f>
        <v>Sneha Joshi</v>
      </c>
      <c r="G430" s="4" t="s">
        <v>32</v>
      </c>
      <c r="H430" s="69" t="s">
        <v>1858</v>
      </c>
      <c r="I430" s="4" t="s">
        <v>216</v>
      </c>
      <c r="J430" s="4" t="str">
        <f>PROPER(Sales_data!J430)</f>
        <v>South</v>
      </c>
      <c r="K430" s="4" t="str">
        <f>PROPER(Sales_data!K430)</f>
        <v>Home Appliances</v>
      </c>
      <c r="L430" s="4" t="s">
        <v>267</v>
      </c>
      <c r="M430" s="66">
        <v>13</v>
      </c>
      <c r="N430" s="4">
        <v>45</v>
      </c>
      <c r="O430" s="4">
        <v>15</v>
      </c>
      <c r="P430" s="4">
        <v>497.25</v>
      </c>
      <c r="Q430" s="4">
        <v>2</v>
      </c>
      <c r="R430" s="67" t="s">
        <v>38</v>
      </c>
      <c r="S430" s="4" t="s">
        <v>53</v>
      </c>
      <c r="T430" s="4" t="s">
        <v>66</v>
      </c>
      <c r="U430" s="6" t="s">
        <v>1859</v>
      </c>
      <c r="V430" s="4" t="s">
        <v>42</v>
      </c>
      <c r="W430" s="4">
        <f t="shared" si="6"/>
        <v>10</v>
      </c>
    </row>
    <row r="431" spans="1:23">
      <c r="A431" s="7" t="s">
        <v>1860</v>
      </c>
      <c r="B431" s="8" t="s">
        <v>255</v>
      </c>
      <c r="C431" s="8" t="s">
        <v>44</v>
      </c>
      <c r="D431" s="32" t="s">
        <v>1002</v>
      </c>
      <c r="E431" s="8" t="s">
        <v>1132</v>
      </c>
      <c r="F431" s="4" t="str">
        <f>PROPER(TRIM(Sales_data!F431))</f>
        <v>Arjun Rao</v>
      </c>
      <c r="G431" s="8" t="s">
        <v>32</v>
      </c>
      <c r="H431" s="70" t="s">
        <v>1861</v>
      </c>
      <c r="I431" s="8" t="s">
        <v>109</v>
      </c>
      <c r="J431" s="4" t="str">
        <f>PROPER(Sales_data!J431)</f>
        <v>North</v>
      </c>
      <c r="K431" s="4" t="str">
        <f>PROPER(Sales_data!K431)</f>
        <v>Stationery</v>
      </c>
      <c r="L431" s="8" t="s">
        <v>51</v>
      </c>
      <c r="M431" s="66">
        <v>7</v>
      </c>
      <c r="N431" s="8">
        <v>12000</v>
      </c>
      <c r="O431" s="8">
        <v>5</v>
      </c>
      <c r="P431" s="8">
        <v>79800</v>
      </c>
      <c r="Q431" s="8">
        <v>4</v>
      </c>
      <c r="R431" s="67" t="s">
        <v>83</v>
      </c>
      <c r="S431" s="8" t="s">
        <v>155</v>
      </c>
      <c r="T431" s="8" t="s">
        <v>260</v>
      </c>
      <c r="U431" s="9" t="s">
        <v>1862</v>
      </c>
      <c r="V431" s="8" t="s">
        <v>73</v>
      </c>
      <c r="W431" s="4">
        <f t="shared" si="6"/>
        <v>1</v>
      </c>
    </row>
    <row r="432" spans="1:23">
      <c r="A432" s="3" t="s">
        <v>1863</v>
      </c>
      <c r="B432" s="4" t="s">
        <v>331</v>
      </c>
      <c r="C432" s="4" t="s">
        <v>226</v>
      </c>
      <c r="D432" s="31" t="s">
        <v>605</v>
      </c>
      <c r="E432" s="4" t="s">
        <v>68</v>
      </c>
      <c r="F432" s="4" t="str">
        <f>PROPER(TRIM(Sales_data!F432))</f>
        <v>Pooja Shah</v>
      </c>
      <c r="G432" s="4" t="s">
        <v>80</v>
      </c>
      <c r="H432" s="69" t="s">
        <v>1864</v>
      </c>
      <c r="I432" s="4" t="s">
        <v>298</v>
      </c>
      <c r="J432" s="4" t="str">
        <f>PROPER(Sales_data!J432)</f>
        <v>North</v>
      </c>
      <c r="K432" s="4" t="str">
        <f>PROPER(Sales_data!K432)</f>
        <v>Stationery</v>
      </c>
      <c r="L432" s="4" t="s">
        <v>231</v>
      </c>
      <c r="M432" s="66">
        <v>8</v>
      </c>
      <c r="N432" s="4">
        <v>20</v>
      </c>
      <c r="O432" s="4">
        <v>0</v>
      </c>
      <c r="P432" s="4">
        <v>160</v>
      </c>
      <c r="Q432" s="4">
        <v>4</v>
      </c>
      <c r="R432" s="67" t="s">
        <v>83</v>
      </c>
      <c r="S432" s="4" t="s">
        <v>65</v>
      </c>
      <c r="T432" s="4" t="s">
        <v>336</v>
      </c>
      <c r="U432" s="6" t="s">
        <v>1865</v>
      </c>
      <c r="V432" s="4" t="s">
        <v>68</v>
      </c>
      <c r="W432" s="4">
        <f t="shared" si="6"/>
        <v>5</v>
      </c>
    </row>
    <row r="433" spans="1:23">
      <c r="A433" s="7" t="s">
        <v>1866</v>
      </c>
      <c r="B433" s="8" t="s">
        <v>27</v>
      </c>
      <c r="C433" s="8" t="s">
        <v>96</v>
      </c>
      <c r="D433" s="32" t="s">
        <v>1867</v>
      </c>
      <c r="E433" s="8" t="s">
        <v>904</v>
      </c>
      <c r="F433" s="4" t="str">
        <f>PROPER(TRIM(Sales_data!F433))</f>
        <v>Sneha Joshi</v>
      </c>
      <c r="G433" s="8" t="s">
        <v>32</v>
      </c>
      <c r="H433" s="70" t="s">
        <v>1868</v>
      </c>
      <c r="I433" s="8" t="s">
        <v>298</v>
      </c>
      <c r="J433" s="4" t="str">
        <f>PROPER(Sales_data!J433)</f>
        <v>West</v>
      </c>
      <c r="K433" s="4" t="str">
        <f>PROPER(Sales_data!K433)</f>
        <v>Electronics</v>
      </c>
      <c r="L433" s="8" t="s">
        <v>101</v>
      </c>
      <c r="M433" s="66">
        <v>16</v>
      </c>
      <c r="N433" s="8">
        <v>3500</v>
      </c>
      <c r="O433" s="8">
        <v>5</v>
      </c>
      <c r="P433" s="8">
        <v>53200</v>
      </c>
      <c r="Q433" s="8">
        <v>1</v>
      </c>
      <c r="R433" s="67" t="s">
        <v>83</v>
      </c>
      <c r="S433" s="8" t="s">
        <v>65</v>
      </c>
      <c r="T433" s="8" t="s">
        <v>54</v>
      </c>
      <c r="U433" s="9" t="s">
        <v>1869</v>
      </c>
      <c r="V433" s="8" t="s">
        <v>73</v>
      </c>
      <c r="W433" s="4">
        <f t="shared" si="6"/>
        <v>2</v>
      </c>
    </row>
    <row r="434" spans="1:23">
      <c r="A434" s="3" t="s">
        <v>1870</v>
      </c>
      <c r="B434" s="4" t="s">
        <v>331</v>
      </c>
      <c r="C434" s="4" t="s">
        <v>173</v>
      </c>
      <c r="D434" s="31" t="s">
        <v>1871</v>
      </c>
      <c r="E434" s="4" t="s">
        <v>1161</v>
      </c>
      <c r="F434" s="4" t="str">
        <f>PROPER(TRIM(Sales_data!F434))</f>
        <v>Amit Sharma</v>
      </c>
      <c r="G434" s="4" t="s">
        <v>80</v>
      </c>
      <c r="H434" s="69" t="s">
        <v>1872</v>
      </c>
      <c r="I434" s="4" t="s">
        <v>109</v>
      </c>
      <c r="J434" s="4" t="str">
        <f>PROPER(Sales_data!J434)</f>
        <v>East</v>
      </c>
      <c r="K434" s="4" t="str">
        <f>PROPER(Sales_data!K434)</f>
        <v>Stationery</v>
      </c>
      <c r="L434" s="4" t="s">
        <v>178</v>
      </c>
      <c r="M434" s="66">
        <v>12</v>
      </c>
      <c r="N434" s="4">
        <v>8500</v>
      </c>
      <c r="O434" s="4">
        <v>10</v>
      </c>
      <c r="P434" s="4">
        <v>91800</v>
      </c>
      <c r="Q434" s="4">
        <v>3</v>
      </c>
      <c r="R434" s="67" t="s">
        <v>83</v>
      </c>
      <c r="S434" s="4" t="s">
        <v>39</v>
      </c>
      <c r="T434" s="4" t="s">
        <v>336</v>
      </c>
      <c r="U434" s="6" t="s">
        <v>1873</v>
      </c>
      <c r="V434" s="4" t="s">
        <v>42</v>
      </c>
      <c r="W434" s="4">
        <f t="shared" si="6"/>
        <v>2</v>
      </c>
    </row>
    <row r="435" spans="1:23">
      <c r="A435" s="7" t="s">
        <v>1874</v>
      </c>
      <c r="B435" s="8" t="s">
        <v>27</v>
      </c>
      <c r="C435" s="8" t="s">
        <v>122</v>
      </c>
      <c r="D435" s="32" t="s">
        <v>543</v>
      </c>
      <c r="E435" s="8" t="s">
        <v>1118</v>
      </c>
      <c r="F435" s="4" t="str">
        <f>PROPER(TRIM(Sales_data!F435))</f>
        <v>Kavya Nair</v>
      </c>
      <c r="G435" s="8" t="s">
        <v>32</v>
      </c>
      <c r="H435" s="70" t="s">
        <v>1875</v>
      </c>
      <c r="I435" s="8" t="s">
        <v>142</v>
      </c>
      <c r="J435" s="4" t="str">
        <f>PROPER(Sales_data!J435)</f>
        <v>East</v>
      </c>
      <c r="K435" s="4" t="str">
        <f>PROPER(Sales_data!K435)</f>
        <v>Home Appliances</v>
      </c>
      <c r="L435" s="8" t="s">
        <v>127</v>
      </c>
      <c r="M435" s="66">
        <v>1</v>
      </c>
      <c r="N435" s="8">
        <v>60</v>
      </c>
      <c r="O435" s="8">
        <v>20</v>
      </c>
      <c r="P435" s="8">
        <v>48</v>
      </c>
      <c r="Q435" s="8">
        <v>2</v>
      </c>
      <c r="R435" s="67" t="s">
        <v>83</v>
      </c>
      <c r="S435" s="8" t="s">
        <v>155</v>
      </c>
      <c r="T435" s="8" t="s">
        <v>54</v>
      </c>
      <c r="U435" s="9" t="s">
        <v>1876</v>
      </c>
      <c r="V435" s="8" t="s">
        <v>42</v>
      </c>
      <c r="W435" s="4">
        <f t="shared" si="6"/>
        <v>4</v>
      </c>
    </row>
    <row r="436" spans="1:23">
      <c r="A436" s="3" t="s">
        <v>1877</v>
      </c>
      <c r="B436" s="4" t="s">
        <v>131</v>
      </c>
      <c r="C436" s="4" t="s">
        <v>122</v>
      </c>
      <c r="D436" s="31" t="s">
        <v>511</v>
      </c>
      <c r="E436" s="4" t="s">
        <v>539</v>
      </c>
      <c r="F436" s="4" t="str">
        <f>PROPER(TRIM(Sales_data!F436))</f>
        <v>Amit Sharma</v>
      </c>
      <c r="G436" s="4" t="s">
        <v>80</v>
      </c>
      <c r="H436" s="69" t="s">
        <v>1878</v>
      </c>
      <c r="I436" s="4" t="s">
        <v>34</v>
      </c>
      <c r="J436" s="4" t="str">
        <f>PROPER(Sales_data!J436)</f>
        <v>West</v>
      </c>
      <c r="K436" s="4" t="str">
        <f>PROPER(Sales_data!K436)</f>
        <v>Home Appliances</v>
      </c>
      <c r="L436" s="4" t="s">
        <v>127</v>
      </c>
      <c r="M436" s="66">
        <v>3</v>
      </c>
      <c r="N436" s="4">
        <v>60</v>
      </c>
      <c r="O436" s="4">
        <v>15</v>
      </c>
      <c r="P436" s="4">
        <v>153</v>
      </c>
      <c r="Q436" s="4">
        <v>4</v>
      </c>
      <c r="R436" s="67" t="s">
        <v>83</v>
      </c>
      <c r="S436" s="4" t="s">
        <v>39</v>
      </c>
      <c r="T436" s="4" t="s">
        <v>136</v>
      </c>
      <c r="U436" s="6" t="s">
        <v>1879</v>
      </c>
      <c r="V436" s="4" t="s">
        <v>42</v>
      </c>
      <c r="W436" s="4">
        <f t="shared" si="6"/>
        <v>11</v>
      </c>
    </row>
    <row r="437" spans="1:23">
      <c r="A437" s="7" t="s">
        <v>1880</v>
      </c>
      <c r="B437" s="8" t="s">
        <v>104</v>
      </c>
      <c r="C437" s="8" t="s">
        <v>188</v>
      </c>
      <c r="D437" s="32" t="s">
        <v>572</v>
      </c>
      <c r="E437" s="8" t="s">
        <v>123</v>
      </c>
      <c r="F437" s="4" t="str">
        <f>PROPER(TRIM(Sales_data!F437))</f>
        <v>Kavya Nair</v>
      </c>
      <c r="G437" s="8" t="s">
        <v>32</v>
      </c>
      <c r="H437" s="70" t="s">
        <v>1881</v>
      </c>
      <c r="I437" s="8" t="s">
        <v>298</v>
      </c>
      <c r="J437" s="4" t="str">
        <f>PROPER(Sales_data!J437)</f>
        <v>West</v>
      </c>
      <c r="K437" s="4" t="str">
        <f>PROPER(Sales_data!K437)</f>
        <v>Stationery</v>
      </c>
      <c r="L437" s="8" t="s">
        <v>193</v>
      </c>
      <c r="M437" s="66">
        <v>10</v>
      </c>
      <c r="N437" s="8">
        <v>700</v>
      </c>
      <c r="O437" s="8">
        <v>15</v>
      </c>
      <c r="P437" s="8">
        <v>5950</v>
      </c>
      <c r="Q437" s="8">
        <v>3</v>
      </c>
      <c r="R437" s="67" t="s">
        <v>52</v>
      </c>
      <c r="S437" s="8" t="s">
        <v>39</v>
      </c>
      <c r="T437" s="8" t="s">
        <v>148</v>
      </c>
      <c r="U437" s="9" t="s">
        <v>1882</v>
      </c>
      <c r="V437" s="8" t="s">
        <v>68</v>
      </c>
      <c r="W437" s="4">
        <f t="shared" si="6"/>
        <v>3</v>
      </c>
    </row>
    <row r="438" spans="1:23">
      <c r="A438" s="3" t="s">
        <v>1883</v>
      </c>
      <c r="B438" s="4" t="s">
        <v>87</v>
      </c>
      <c r="C438" s="4" t="s">
        <v>226</v>
      </c>
      <c r="D438" s="31" t="s">
        <v>1884</v>
      </c>
      <c r="E438" s="4" t="s">
        <v>1885</v>
      </c>
      <c r="F438" s="4" t="str">
        <f>PROPER(TRIM(Sales_data!F438))</f>
        <v>Rohit Singh</v>
      </c>
      <c r="G438" s="4" t="s">
        <v>80</v>
      </c>
      <c r="H438" s="69" t="s">
        <v>1886</v>
      </c>
      <c r="I438" s="4" t="s">
        <v>142</v>
      </c>
      <c r="J438" s="4" t="str">
        <f>PROPER(Sales_data!J438)</f>
        <v>South</v>
      </c>
      <c r="K438" s="4" t="str">
        <f>PROPER(Sales_data!K438)</f>
        <v>Stationery</v>
      </c>
      <c r="L438" s="4" t="s">
        <v>231</v>
      </c>
      <c r="M438" s="66">
        <v>2</v>
      </c>
      <c r="N438" s="4">
        <v>20</v>
      </c>
      <c r="O438" s="4">
        <v>10</v>
      </c>
      <c r="P438" s="4">
        <v>36</v>
      </c>
      <c r="Q438" s="4">
        <v>2</v>
      </c>
      <c r="R438" s="67" t="s">
        <v>92</v>
      </c>
      <c r="S438" s="4" t="s">
        <v>65</v>
      </c>
      <c r="T438" s="4" t="s">
        <v>93</v>
      </c>
      <c r="U438" s="6" t="s">
        <v>1887</v>
      </c>
      <c r="V438" s="4" t="s">
        <v>42</v>
      </c>
      <c r="W438" s="4">
        <f t="shared" si="6"/>
        <v>10</v>
      </c>
    </row>
    <row r="439" spans="1:23">
      <c r="A439" s="7" t="s">
        <v>1888</v>
      </c>
      <c r="B439" s="8" t="s">
        <v>87</v>
      </c>
      <c r="C439" s="8" t="s">
        <v>226</v>
      </c>
      <c r="D439" s="32" t="s">
        <v>1889</v>
      </c>
      <c r="E439" s="8" t="s">
        <v>1203</v>
      </c>
      <c r="F439" s="4" t="str">
        <f>PROPER(TRIM(Sales_data!F439))</f>
        <v>Priya Patel</v>
      </c>
      <c r="G439" s="8" t="s">
        <v>80</v>
      </c>
      <c r="H439" s="70" t="s">
        <v>1890</v>
      </c>
      <c r="I439" s="8" t="s">
        <v>48</v>
      </c>
      <c r="J439" s="4" t="str">
        <f>PROPER(Sales_data!J439)</f>
        <v>East</v>
      </c>
      <c r="K439" s="4" t="str">
        <f>PROPER(Sales_data!K439)</f>
        <v>Electronics</v>
      </c>
      <c r="L439" s="8" t="s">
        <v>231</v>
      </c>
      <c r="M439" s="66">
        <v>14</v>
      </c>
      <c r="N439" s="8">
        <v>20</v>
      </c>
      <c r="O439" s="8">
        <v>20</v>
      </c>
      <c r="P439" s="8">
        <v>224</v>
      </c>
      <c r="Q439" s="8">
        <v>5</v>
      </c>
      <c r="R439" s="67" t="s">
        <v>38</v>
      </c>
      <c r="S439" s="8" t="s">
        <v>155</v>
      </c>
      <c r="T439" s="8" t="s">
        <v>93</v>
      </c>
      <c r="U439" s="9" t="s">
        <v>1891</v>
      </c>
      <c r="V439" s="8" t="s">
        <v>68</v>
      </c>
      <c r="W439" s="4">
        <f t="shared" si="6"/>
        <v>12</v>
      </c>
    </row>
    <row r="440" spans="1:23">
      <c r="A440" s="3" t="s">
        <v>1892</v>
      </c>
      <c r="B440" s="4" t="s">
        <v>331</v>
      </c>
      <c r="C440" s="4" t="s">
        <v>96</v>
      </c>
      <c r="D440" s="31" t="s">
        <v>1717</v>
      </c>
      <c r="E440" s="4" t="s">
        <v>197</v>
      </c>
      <c r="F440" s="4" t="str">
        <f>PROPER(TRIM(Sales_data!F440))</f>
        <v>Arjun Rao</v>
      </c>
      <c r="G440" s="4" t="s">
        <v>80</v>
      </c>
      <c r="H440" s="69" t="s">
        <v>1893</v>
      </c>
      <c r="I440" s="4" t="s">
        <v>142</v>
      </c>
      <c r="J440" s="4" t="str">
        <f>PROPER(Sales_data!J440)</f>
        <v>West</v>
      </c>
      <c r="K440" s="4" t="str">
        <f>PROPER(Sales_data!K440)</f>
        <v>Stationery</v>
      </c>
      <c r="L440" s="4" t="s">
        <v>101</v>
      </c>
      <c r="M440" s="66">
        <v>4</v>
      </c>
      <c r="N440" s="4">
        <v>3500</v>
      </c>
      <c r="O440" s="4">
        <v>0</v>
      </c>
      <c r="P440" s="4">
        <v>14000</v>
      </c>
      <c r="Q440" s="4">
        <v>2</v>
      </c>
      <c r="R440" s="67" t="s">
        <v>92</v>
      </c>
      <c r="S440" s="4" t="s">
        <v>39</v>
      </c>
      <c r="T440" s="4" t="s">
        <v>336</v>
      </c>
      <c r="U440" s="6" t="s">
        <v>1894</v>
      </c>
      <c r="V440" s="4" t="s">
        <v>73</v>
      </c>
      <c r="W440" s="4">
        <f t="shared" si="6"/>
        <v>6</v>
      </c>
    </row>
    <row r="441" spans="1:23">
      <c r="A441" s="7" t="s">
        <v>1895</v>
      </c>
      <c r="B441" s="8" t="s">
        <v>87</v>
      </c>
      <c r="C441" s="8" t="s">
        <v>96</v>
      </c>
      <c r="D441" s="32" t="s">
        <v>322</v>
      </c>
      <c r="E441" s="8" t="s">
        <v>1123</v>
      </c>
      <c r="F441" s="4" t="str">
        <f>PROPER(TRIM(Sales_data!F441))</f>
        <v>Arjun Rao</v>
      </c>
      <c r="G441" s="8" t="s">
        <v>80</v>
      </c>
      <c r="H441" s="70" t="s">
        <v>1896</v>
      </c>
      <c r="I441" s="8" t="s">
        <v>216</v>
      </c>
      <c r="J441" s="4" t="str">
        <f>PROPER(Sales_data!J441)</f>
        <v>North</v>
      </c>
      <c r="K441" s="4" t="str">
        <f>PROPER(Sales_data!K441)</f>
        <v>Stationery</v>
      </c>
      <c r="L441" s="8" t="s">
        <v>101</v>
      </c>
      <c r="M441" s="66">
        <v>9</v>
      </c>
      <c r="N441" s="8">
        <v>3500</v>
      </c>
      <c r="O441" s="8">
        <v>5</v>
      </c>
      <c r="P441" s="8">
        <v>29925</v>
      </c>
      <c r="Q441" s="8">
        <v>3</v>
      </c>
      <c r="R441" s="67" t="s">
        <v>83</v>
      </c>
      <c r="S441" s="8" t="s">
        <v>65</v>
      </c>
      <c r="T441" s="8" t="s">
        <v>93</v>
      </c>
      <c r="U441" s="9" t="s">
        <v>1897</v>
      </c>
      <c r="V441" s="8" t="s">
        <v>42</v>
      </c>
      <c r="W441" s="4">
        <f t="shared" si="6"/>
        <v>6</v>
      </c>
    </row>
    <row r="442" spans="1:23">
      <c r="A442" s="3" t="s">
        <v>1898</v>
      </c>
      <c r="B442" s="4" t="s">
        <v>131</v>
      </c>
      <c r="C442" s="4" t="s">
        <v>122</v>
      </c>
      <c r="D442" s="31" t="s">
        <v>687</v>
      </c>
      <c r="E442" s="4" t="s">
        <v>1469</v>
      </c>
      <c r="F442" s="4" t="str">
        <f>PROPER(TRIM(Sales_data!F442))</f>
        <v>Amit Sharma</v>
      </c>
      <c r="G442" s="4" t="s">
        <v>80</v>
      </c>
      <c r="H442" s="69" t="s">
        <v>1899</v>
      </c>
      <c r="I442" s="4" t="s">
        <v>109</v>
      </c>
      <c r="J442" s="4" t="str">
        <f>PROPER(Sales_data!J442)</f>
        <v>West</v>
      </c>
      <c r="K442" s="4" t="str">
        <f>PROPER(Sales_data!K442)</f>
        <v>Home Appliances</v>
      </c>
      <c r="L442" s="4" t="s">
        <v>127</v>
      </c>
      <c r="M442" s="66">
        <v>9</v>
      </c>
      <c r="N442" s="4">
        <v>60</v>
      </c>
      <c r="O442" s="4">
        <v>0</v>
      </c>
      <c r="P442" s="4">
        <v>540</v>
      </c>
      <c r="Q442" s="4">
        <v>3</v>
      </c>
      <c r="R442" s="67" t="s">
        <v>92</v>
      </c>
      <c r="S442" s="4" t="s">
        <v>39</v>
      </c>
      <c r="T442" s="4" t="s">
        <v>136</v>
      </c>
      <c r="U442" s="6" t="s">
        <v>1900</v>
      </c>
      <c r="V442" s="4" t="s">
        <v>68</v>
      </c>
      <c r="W442" s="4">
        <f t="shared" si="6"/>
        <v>5</v>
      </c>
    </row>
    <row r="443" spans="1:23">
      <c r="A443" s="7" t="s">
        <v>1901</v>
      </c>
      <c r="B443" s="8" t="s">
        <v>172</v>
      </c>
      <c r="C443" s="8" t="s">
        <v>76</v>
      </c>
      <c r="D443" s="32" t="s">
        <v>1902</v>
      </c>
      <c r="E443" s="8" t="s">
        <v>1267</v>
      </c>
      <c r="F443" s="4" t="str">
        <f>PROPER(TRIM(Sales_data!F443))</f>
        <v>Arjun Rao</v>
      </c>
      <c r="G443" s="8" t="s">
        <v>32</v>
      </c>
      <c r="H443" s="70" t="s">
        <v>1903</v>
      </c>
      <c r="I443" s="8" t="s">
        <v>142</v>
      </c>
      <c r="J443" s="4" t="str">
        <f>PROPER(Sales_data!J443)</f>
        <v>North</v>
      </c>
      <c r="K443" s="4" t="str">
        <f>PROPER(Sales_data!K443)</f>
        <v>Home Appliances</v>
      </c>
      <c r="L443" s="8" t="s">
        <v>82</v>
      </c>
      <c r="M443" s="66">
        <v>4</v>
      </c>
      <c r="N443" s="8">
        <v>1200</v>
      </c>
      <c r="O443" s="8">
        <v>0</v>
      </c>
      <c r="P443" s="8">
        <v>4800</v>
      </c>
      <c r="Q443" s="8">
        <v>1</v>
      </c>
      <c r="R443" s="67" t="s">
        <v>52</v>
      </c>
      <c r="S443" s="8" t="s">
        <v>65</v>
      </c>
      <c r="T443" s="8" t="s">
        <v>179</v>
      </c>
      <c r="U443" s="9" t="s">
        <v>1904</v>
      </c>
      <c r="V443" s="8" t="s">
        <v>42</v>
      </c>
      <c r="W443" s="4">
        <f t="shared" si="6"/>
        <v>5</v>
      </c>
    </row>
    <row r="444" spans="1:23">
      <c r="A444" s="3" t="s">
        <v>1905</v>
      </c>
      <c r="B444" s="4" t="s">
        <v>57</v>
      </c>
      <c r="C444" s="4" t="s">
        <v>58</v>
      </c>
      <c r="D444" s="31" t="s">
        <v>1624</v>
      </c>
      <c r="E444" s="4" t="s">
        <v>306</v>
      </c>
      <c r="F444" s="4" t="str">
        <f>PROPER(TRIM(Sales_data!F444))</f>
        <v>Rohit Singh</v>
      </c>
      <c r="G444" s="4" t="s">
        <v>32</v>
      </c>
      <c r="H444" s="69" t="s">
        <v>1906</v>
      </c>
      <c r="I444" s="4" t="s">
        <v>34</v>
      </c>
      <c r="J444" s="4" t="str">
        <f>PROPER(Sales_data!J444)</f>
        <v>West</v>
      </c>
      <c r="K444" s="4" t="str">
        <f>PROPER(Sales_data!K444)</f>
        <v>Stationery</v>
      </c>
      <c r="L444" s="4" t="s">
        <v>64</v>
      </c>
      <c r="M444" s="66">
        <v>10</v>
      </c>
      <c r="N444" s="4">
        <v>55000</v>
      </c>
      <c r="O444" s="4">
        <v>5</v>
      </c>
      <c r="P444" s="4">
        <v>522500</v>
      </c>
      <c r="Q444" s="4">
        <v>5</v>
      </c>
      <c r="R444" s="67" t="s">
        <v>92</v>
      </c>
      <c r="S444" s="4" t="s">
        <v>119</v>
      </c>
      <c r="T444" s="4" t="s">
        <v>66</v>
      </c>
      <c r="U444" s="6" t="s">
        <v>1907</v>
      </c>
      <c r="V444" s="4" t="s">
        <v>42</v>
      </c>
      <c r="W444" s="4">
        <f t="shared" si="6"/>
        <v>2</v>
      </c>
    </row>
    <row r="445" spans="1:23">
      <c r="A445" s="7" t="s">
        <v>1908</v>
      </c>
      <c r="B445" s="8" t="s">
        <v>225</v>
      </c>
      <c r="C445" s="8" t="s">
        <v>263</v>
      </c>
      <c r="D445" s="32" t="s">
        <v>1909</v>
      </c>
      <c r="E445" s="8" t="s">
        <v>885</v>
      </c>
      <c r="F445" s="4" t="str">
        <f>PROPER(TRIM(Sales_data!F445))</f>
        <v>Anita Gupta</v>
      </c>
      <c r="G445" s="8" t="s">
        <v>80</v>
      </c>
      <c r="H445" s="70" t="s">
        <v>1910</v>
      </c>
      <c r="I445" s="8" t="s">
        <v>34</v>
      </c>
      <c r="J445" s="4" t="str">
        <f>PROPER(Sales_data!J445)</f>
        <v>West</v>
      </c>
      <c r="K445" s="4" t="str">
        <f>PROPER(Sales_data!K445)</f>
        <v>Electronics</v>
      </c>
      <c r="L445" s="8" t="s">
        <v>267</v>
      </c>
      <c r="M445" s="66">
        <v>20</v>
      </c>
      <c r="N445" s="8">
        <v>45</v>
      </c>
      <c r="O445" s="8">
        <v>15</v>
      </c>
      <c r="P445" s="8">
        <v>765</v>
      </c>
      <c r="Q445" s="8">
        <v>2</v>
      </c>
      <c r="R445" s="67" t="s">
        <v>83</v>
      </c>
      <c r="S445" s="8" t="s">
        <v>39</v>
      </c>
      <c r="T445" s="8" t="s">
        <v>232</v>
      </c>
      <c r="U445" s="9" t="s">
        <v>1911</v>
      </c>
      <c r="V445" s="8" t="s">
        <v>73</v>
      </c>
      <c r="W445" s="4">
        <f t="shared" si="6"/>
        <v>6</v>
      </c>
    </row>
    <row r="446" spans="1:23">
      <c r="A446" s="3" t="s">
        <v>1912</v>
      </c>
      <c r="B446" s="4" t="s">
        <v>27</v>
      </c>
      <c r="C446" s="4" t="s">
        <v>226</v>
      </c>
      <c r="D446" s="31" t="s">
        <v>318</v>
      </c>
      <c r="E446" s="4" t="s">
        <v>174</v>
      </c>
      <c r="F446" s="4" t="str">
        <f>PROPER(TRIM(Sales_data!F446))</f>
        <v>Pooja Shah</v>
      </c>
      <c r="G446" s="4" t="s">
        <v>32</v>
      </c>
      <c r="H446" s="69" t="s">
        <v>1913</v>
      </c>
      <c r="I446" s="4" t="s">
        <v>109</v>
      </c>
      <c r="J446" s="4" t="str">
        <f>PROPER(Sales_data!J446)</f>
        <v>South</v>
      </c>
      <c r="K446" s="4" t="str">
        <f>PROPER(Sales_data!K446)</f>
        <v>Electronics</v>
      </c>
      <c r="L446" s="4" t="s">
        <v>231</v>
      </c>
      <c r="M446" s="66">
        <v>9</v>
      </c>
      <c r="N446" s="4">
        <v>20</v>
      </c>
      <c r="O446" s="4">
        <v>20</v>
      </c>
      <c r="P446" s="4">
        <v>144</v>
      </c>
      <c r="Q446" s="4">
        <v>3</v>
      </c>
      <c r="R446" s="67" t="s">
        <v>83</v>
      </c>
      <c r="S446" s="4" t="s">
        <v>65</v>
      </c>
      <c r="T446" s="4" t="s">
        <v>54</v>
      </c>
      <c r="U446" s="6" t="s">
        <v>1914</v>
      </c>
      <c r="V446" s="4" t="s">
        <v>42</v>
      </c>
      <c r="W446" s="4">
        <f t="shared" si="6"/>
        <v>2</v>
      </c>
    </row>
    <row r="447" spans="1:23">
      <c r="A447" s="7" t="s">
        <v>1915</v>
      </c>
      <c r="B447" s="8" t="s">
        <v>27</v>
      </c>
      <c r="C447" s="8" t="s">
        <v>58</v>
      </c>
      <c r="D447" s="32" t="s">
        <v>1916</v>
      </c>
      <c r="E447" s="8" t="s">
        <v>914</v>
      </c>
      <c r="F447" s="4" t="str">
        <f>PROPER(TRIM(Sales_data!F447))</f>
        <v>Vikas Mehta</v>
      </c>
      <c r="G447" s="8" t="s">
        <v>32</v>
      </c>
      <c r="H447" s="70" t="s">
        <v>1917</v>
      </c>
      <c r="I447" s="8" t="s">
        <v>118</v>
      </c>
      <c r="J447" s="4" t="str">
        <f>PROPER(Sales_data!J447)</f>
        <v>South</v>
      </c>
      <c r="K447" s="4" t="str">
        <f>PROPER(Sales_data!K447)</f>
        <v>Stationery</v>
      </c>
      <c r="L447" s="8" t="s">
        <v>64</v>
      </c>
      <c r="M447" s="66">
        <v>8</v>
      </c>
      <c r="N447" s="8">
        <v>55000</v>
      </c>
      <c r="O447" s="8">
        <v>0</v>
      </c>
      <c r="P447" s="8">
        <v>440000</v>
      </c>
      <c r="Q447" s="8">
        <v>4</v>
      </c>
      <c r="R447" s="67" t="s">
        <v>38</v>
      </c>
      <c r="S447" s="8" t="s">
        <v>119</v>
      </c>
      <c r="T447" s="8" t="s">
        <v>54</v>
      </c>
      <c r="U447" s="9" t="s">
        <v>1918</v>
      </c>
      <c r="V447" s="8" t="s">
        <v>42</v>
      </c>
      <c r="W447" s="4">
        <f t="shared" si="6"/>
        <v>3</v>
      </c>
    </row>
    <row r="448" spans="1:23">
      <c r="A448" s="3" t="s">
        <v>1919</v>
      </c>
      <c r="B448" s="4" t="s">
        <v>331</v>
      </c>
      <c r="C448" s="4" t="s">
        <v>76</v>
      </c>
      <c r="D448" s="31" t="s">
        <v>1920</v>
      </c>
      <c r="E448" s="4" t="s">
        <v>1434</v>
      </c>
      <c r="F448" s="4" t="str">
        <f>PROPER(TRIM(Sales_data!F448))</f>
        <v>Kavya Nair</v>
      </c>
      <c r="G448" s="4" t="s">
        <v>80</v>
      </c>
      <c r="H448" s="69" t="s">
        <v>1921</v>
      </c>
      <c r="I448" s="4" t="s">
        <v>142</v>
      </c>
      <c r="J448" s="4" t="str">
        <f>PROPER(Sales_data!J448)</f>
        <v>West</v>
      </c>
      <c r="K448" s="4" t="str">
        <f>PROPER(Sales_data!K448)</f>
        <v>Stationery</v>
      </c>
      <c r="L448" s="4" t="s">
        <v>82</v>
      </c>
      <c r="M448" s="66">
        <v>4</v>
      </c>
      <c r="N448" s="4">
        <v>1200</v>
      </c>
      <c r="O448" s="4">
        <v>10</v>
      </c>
      <c r="P448" s="4">
        <v>4320</v>
      </c>
      <c r="Q448" s="4">
        <v>4</v>
      </c>
      <c r="R448" s="67" t="s">
        <v>92</v>
      </c>
      <c r="S448" s="4" t="s">
        <v>39</v>
      </c>
      <c r="T448" s="5" t="s">
        <v>1922</v>
      </c>
      <c r="U448" s="6" t="s">
        <v>1923</v>
      </c>
      <c r="V448" s="4" t="s">
        <v>73</v>
      </c>
      <c r="W448" s="4">
        <f t="shared" si="6"/>
        <v>4</v>
      </c>
    </row>
    <row r="449" spans="1:23">
      <c r="A449" s="7" t="s">
        <v>1924</v>
      </c>
      <c r="B449" s="8" t="s">
        <v>331</v>
      </c>
      <c r="C449" s="8" t="s">
        <v>173</v>
      </c>
      <c r="D449" s="32" t="s">
        <v>522</v>
      </c>
      <c r="E449" s="8" t="s">
        <v>430</v>
      </c>
      <c r="F449" s="4" t="str">
        <f>PROPER(TRIM(Sales_data!F449))</f>
        <v>Kavya Nair</v>
      </c>
      <c r="G449" s="8" t="s">
        <v>80</v>
      </c>
      <c r="H449" s="70" t="s">
        <v>1925</v>
      </c>
      <c r="I449" s="8" t="s">
        <v>298</v>
      </c>
      <c r="J449" s="4" t="str">
        <f>PROPER(Sales_data!J449)</f>
        <v>West</v>
      </c>
      <c r="K449" s="4" t="str">
        <f>PROPER(Sales_data!K449)</f>
        <v>Electronics</v>
      </c>
      <c r="L449" s="8" t="s">
        <v>178</v>
      </c>
      <c r="M449" s="66">
        <v>14</v>
      </c>
      <c r="N449" s="8">
        <v>8500</v>
      </c>
      <c r="O449" s="8">
        <v>10</v>
      </c>
      <c r="P449" s="8">
        <v>107100</v>
      </c>
      <c r="Q449" s="8">
        <v>4</v>
      </c>
      <c r="R449" s="67" t="s">
        <v>38</v>
      </c>
      <c r="S449" s="8" t="s">
        <v>39</v>
      </c>
      <c r="T449" s="8" t="s">
        <v>336</v>
      </c>
      <c r="U449" s="9" t="s">
        <v>1926</v>
      </c>
      <c r="V449" s="8" t="s">
        <v>42</v>
      </c>
      <c r="W449" s="4">
        <f t="shared" si="6"/>
        <v>5</v>
      </c>
    </row>
    <row r="450" spans="1:23">
      <c r="A450" s="3" t="s">
        <v>1927</v>
      </c>
      <c r="B450" s="4" t="s">
        <v>75</v>
      </c>
      <c r="C450" s="4" t="s">
        <v>263</v>
      </c>
      <c r="D450" s="31" t="s">
        <v>687</v>
      </c>
      <c r="E450" s="4" t="s">
        <v>1928</v>
      </c>
      <c r="F450" s="4" t="str">
        <f>PROPER(TRIM(Sales_data!F450))</f>
        <v>Amit Sharma</v>
      </c>
      <c r="G450" s="4" t="s">
        <v>80</v>
      </c>
      <c r="H450" s="69" t="s">
        <v>1929</v>
      </c>
      <c r="I450" s="4" t="s">
        <v>34</v>
      </c>
      <c r="J450" s="4" t="str">
        <f>PROPER(Sales_data!J450)</f>
        <v>West</v>
      </c>
      <c r="K450" s="4" t="str">
        <f>PROPER(Sales_data!K450)</f>
        <v>Electronics</v>
      </c>
      <c r="L450" s="4" t="s">
        <v>267</v>
      </c>
      <c r="M450" s="66">
        <v>1</v>
      </c>
      <c r="N450" s="4">
        <v>45</v>
      </c>
      <c r="O450" s="4">
        <v>0</v>
      </c>
      <c r="P450" s="4">
        <v>45</v>
      </c>
      <c r="Q450" s="4">
        <v>3</v>
      </c>
      <c r="R450" s="67" t="s">
        <v>92</v>
      </c>
      <c r="S450" s="4" t="s">
        <v>155</v>
      </c>
      <c r="T450" s="4" t="s">
        <v>84</v>
      </c>
      <c r="U450" s="6" t="s">
        <v>1930</v>
      </c>
      <c r="V450" s="4" t="s">
        <v>73</v>
      </c>
      <c r="W450" s="4">
        <f t="shared" si="6"/>
        <v>5</v>
      </c>
    </row>
    <row r="451" spans="1:23">
      <c r="A451" s="7" t="s">
        <v>1931</v>
      </c>
      <c r="B451" s="8" t="s">
        <v>75</v>
      </c>
      <c r="C451" s="8" t="s">
        <v>58</v>
      </c>
      <c r="D451" s="32" t="s">
        <v>905</v>
      </c>
      <c r="E451" s="8" t="s">
        <v>1073</v>
      </c>
      <c r="F451" s="4" t="str">
        <f>PROPER(TRIM(Sales_data!F451))</f>
        <v>Amit Sharma</v>
      </c>
      <c r="G451" s="8" t="s">
        <v>80</v>
      </c>
      <c r="H451" s="70" t="s">
        <v>1932</v>
      </c>
      <c r="I451" s="8" t="s">
        <v>48</v>
      </c>
      <c r="J451" s="4" t="str">
        <f>PROPER(Sales_data!J451)</f>
        <v>East</v>
      </c>
      <c r="K451" s="4" t="str">
        <f>PROPER(Sales_data!K451)</f>
        <v>Home Appliances</v>
      </c>
      <c r="L451" s="8" t="s">
        <v>64</v>
      </c>
      <c r="M451" s="66">
        <v>16</v>
      </c>
      <c r="N451" s="8">
        <v>55000</v>
      </c>
      <c r="O451" s="8">
        <v>15</v>
      </c>
      <c r="P451" s="8">
        <v>748000</v>
      </c>
      <c r="Q451" s="8">
        <v>1</v>
      </c>
      <c r="R451" s="67" t="s">
        <v>83</v>
      </c>
      <c r="S451" s="8" t="s">
        <v>155</v>
      </c>
      <c r="T451" s="8" t="s">
        <v>84</v>
      </c>
      <c r="U451" s="9" t="s">
        <v>1933</v>
      </c>
      <c r="V451" s="8" t="s">
        <v>73</v>
      </c>
      <c r="W451" s="4">
        <f t="shared" ref="W451:W499" si="7">IF(D451="Pending", "0", MONTH(D451))</f>
        <v>2</v>
      </c>
    </row>
    <row r="452" spans="1:23">
      <c r="A452" s="3" t="s">
        <v>1934</v>
      </c>
      <c r="B452" s="4" t="s">
        <v>57</v>
      </c>
      <c r="C452" s="4" t="s">
        <v>188</v>
      </c>
      <c r="D452" s="31" t="s">
        <v>1935</v>
      </c>
      <c r="E452" s="4" t="s">
        <v>1936</v>
      </c>
      <c r="F452" s="4" t="str">
        <f>PROPER(TRIM(Sales_data!F452))</f>
        <v>Mohit Verma</v>
      </c>
      <c r="G452" s="4" t="s">
        <v>32</v>
      </c>
      <c r="H452" s="69" t="s">
        <v>1937</v>
      </c>
      <c r="I452" s="4" t="s">
        <v>142</v>
      </c>
      <c r="J452" s="4" t="str">
        <f>PROPER(Sales_data!J452)</f>
        <v>South</v>
      </c>
      <c r="K452" s="4" t="str">
        <f>PROPER(Sales_data!K452)</f>
        <v>Stationery</v>
      </c>
      <c r="L452" s="4" t="s">
        <v>193</v>
      </c>
      <c r="M452" s="66">
        <v>8</v>
      </c>
      <c r="N452" s="4">
        <v>700</v>
      </c>
      <c r="O452" s="4">
        <v>0</v>
      </c>
      <c r="P452" s="4">
        <v>5600</v>
      </c>
      <c r="Q452" s="4">
        <v>3</v>
      </c>
      <c r="R452" s="67" t="s">
        <v>38</v>
      </c>
      <c r="S452" s="4" t="s">
        <v>53</v>
      </c>
      <c r="T452" s="4" t="s">
        <v>66</v>
      </c>
      <c r="U452" s="6" t="s">
        <v>1938</v>
      </c>
      <c r="V452" s="4" t="s">
        <v>42</v>
      </c>
      <c r="W452" s="4">
        <f t="shared" si="7"/>
        <v>3</v>
      </c>
    </row>
    <row r="453" spans="1:23">
      <c r="A453" s="7" t="s">
        <v>1939</v>
      </c>
      <c r="B453" s="8" t="s">
        <v>255</v>
      </c>
      <c r="C453" s="8" t="s">
        <v>76</v>
      </c>
      <c r="D453" s="32" t="s">
        <v>70</v>
      </c>
      <c r="E453" s="8" t="s">
        <v>1940</v>
      </c>
      <c r="F453" s="4" t="str">
        <f>PROPER(TRIM(Sales_data!F453))</f>
        <v>Mohit Verma</v>
      </c>
      <c r="G453" s="8" t="s">
        <v>32</v>
      </c>
      <c r="H453" s="70" t="s">
        <v>1941</v>
      </c>
      <c r="I453" s="8" t="s">
        <v>142</v>
      </c>
      <c r="J453" s="4" t="str">
        <f>PROPER(Sales_data!J453)</f>
        <v>North</v>
      </c>
      <c r="K453" s="4" t="str">
        <f>PROPER(Sales_data!K453)</f>
        <v>Electronics</v>
      </c>
      <c r="L453" s="8" t="s">
        <v>82</v>
      </c>
      <c r="M453" s="66">
        <v>3</v>
      </c>
      <c r="N453" s="8">
        <v>1200</v>
      </c>
      <c r="O453" s="8">
        <v>0</v>
      </c>
      <c r="P453" s="8">
        <v>3600</v>
      </c>
      <c r="Q453" s="8">
        <v>1</v>
      </c>
      <c r="R453" s="67" t="s">
        <v>83</v>
      </c>
      <c r="S453" s="8" t="s">
        <v>53</v>
      </c>
      <c r="T453" s="8" t="s">
        <v>260</v>
      </c>
      <c r="U453" s="9" t="s">
        <v>1942</v>
      </c>
      <c r="V453" s="8" t="s">
        <v>73</v>
      </c>
      <c r="W453" s="4">
        <f t="shared" si="7"/>
        <v>4</v>
      </c>
    </row>
    <row r="454" spans="1:23">
      <c r="A454" s="3" t="s">
        <v>1943</v>
      </c>
      <c r="B454" s="4" t="s">
        <v>75</v>
      </c>
      <c r="C454" s="4" t="s">
        <v>96</v>
      </c>
      <c r="D454" s="31" t="s">
        <v>992</v>
      </c>
      <c r="E454" s="4" t="s">
        <v>391</v>
      </c>
      <c r="F454" s="4" t="str">
        <f>PROPER(TRIM(Sales_data!F454))</f>
        <v>Pooja Shah</v>
      </c>
      <c r="G454" s="4" t="s">
        <v>80</v>
      </c>
      <c r="H454" s="69" t="s">
        <v>1944</v>
      </c>
      <c r="I454" s="4" t="s">
        <v>298</v>
      </c>
      <c r="J454" s="4" t="str">
        <f>PROPER(Sales_data!J454)</f>
        <v>West</v>
      </c>
      <c r="K454" s="4" t="str">
        <f>PROPER(Sales_data!K454)</f>
        <v>Electronics</v>
      </c>
      <c r="L454" s="4" t="s">
        <v>101</v>
      </c>
      <c r="M454" s="66">
        <v>7</v>
      </c>
      <c r="N454" s="4">
        <v>3500</v>
      </c>
      <c r="O454" s="4">
        <v>15</v>
      </c>
      <c r="P454" s="4">
        <v>20825</v>
      </c>
      <c r="Q454" s="4">
        <v>4</v>
      </c>
      <c r="R454" s="67" t="s">
        <v>83</v>
      </c>
      <c r="S454" s="4" t="s">
        <v>65</v>
      </c>
      <c r="T454" s="4" t="s">
        <v>84</v>
      </c>
      <c r="U454" s="6" t="s">
        <v>1945</v>
      </c>
      <c r="V454" s="4" t="s">
        <v>68</v>
      </c>
      <c r="W454" s="4">
        <f t="shared" si="7"/>
        <v>2</v>
      </c>
    </row>
    <row r="455" spans="1:23">
      <c r="A455" s="7" t="s">
        <v>1946</v>
      </c>
      <c r="B455" s="8" t="s">
        <v>57</v>
      </c>
      <c r="C455" s="8" t="s">
        <v>58</v>
      </c>
      <c r="D455" s="32" t="s">
        <v>1936</v>
      </c>
      <c r="E455" s="8" t="s">
        <v>744</v>
      </c>
      <c r="F455" s="4" t="str">
        <f>PROPER(TRIM(Sales_data!F455))</f>
        <v>Sneha Joshi</v>
      </c>
      <c r="G455" s="8" t="s">
        <v>32</v>
      </c>
      <c r="H455" s="70" t="s">
        <v>1947</v>
      </c>
      <c r="I455" s="8" t="s">
        <v>118</v>
      </c>
      <c r="J455" s="4" t="str">
        <f>PROPER(Sales_data!J455)</f>
        <v>West</v>
      </c>
      <c r="K455" s="4" t="str">
        <f>PROPER(Sales_data!K455)</f>
        <v>Electronics</v>
      </c>
      <c r="L455" s="8" t="s">
        <v>64</v>
      </c>
      <c r="M455" s="66">
        <v>9</v>
      </c>
      <c r="N455" s="8">
        <v>55000</v>
      </c>
      <c r="O455" s="8">
        <v>15</v>
      </c>
      <c r="P455" s="8">
        <v>420750</v>
      </c>
      <c r="Q455" s="8">
        <v>3</v>
      </c>
      <c r="R455" s="67" t="s">
        <v>92</v>
      </c>
      <c r="S455" s="8" t="s">
        <v>39</v>
      </c>
      <c r="T455" s="8" t="s">
        <v>66</v>
      </c>
      <c r="U455" s="9" t="s">
        <v>1948</v>
      </c>
      <c r="V455" s="8" t="s">
        <v>73</v>
      </c>
      <c r="W455" s="4">
        <f t="shared" si="7"/>
        <v>3</v>
      </c>
    </row>
    <row r="456" spans="1:23">
      <c r="A456" s="3" t="s">
        <v>1949</v>
      </c>
      <c r="B456" s="4" t="s">
        <v>331</v>
      </c>
      <c r="C456" s="4" t="s">
        <v>44</v>
      </c>
      <c r="D456" s="31" t="s">
        <v>189</v>
      </c>
      <c r="E456" s="4" t="s">
        <v>922</v>
      </c>
      <c r="F456" s="4" t="str">
        <f>PROPER(TRIM(Sales_data!F456))</f>
        <v>Mohit Verma</v>
      </c>
      <c r="G456" s="4" t="s">
        <v>80</v>
      </c>
      <c r="H456" s="69" t="s">
        <v>1950</v>
      </c>
      <c r="I456" s="4" t="s">
        <v>63</v>
      </c>
      <c r="J456" s="4" t="str">
        <f>PROPER(Sales_data!J456)</f>
        <v>East</v>
      </c>
      <c r="K456" s="4" t="str">
        <f>PROPER(Sales_data!K456)</f>
        <v>Home Appliances</v>
      </c>
      <c r="L456" s="4" t="s">
        <v>51</v>
      </c>
      <c r="M456" s="66">
        <v>12</v>
      </c>
      <c r="N456" s="4">
        <v>12000</v>
      </c>
      <c r="O456" s="4">
        <v>0</v>
      </c>
      <c r="P456" s="4">
        <v>144000</v>
      </c>
      <c r="Q456" s="4">
        <v>3</v>
      </c>
      <c r="R456" s="67" t="s">
        <v>83</v>
      </c>
      <c r="S456" s="4" t="s">
        <v>155</v>
      </c>
      <c r="T456" s="4" t="s">
        <v>336</v>
      </c>
      <c r="U456" s="6" t="s">
        <v>1951</v>
      </c>
      <c r="V456" s="4" t="s">
        <v>73</v>
      </c>
      <c r="W456" s="4">
        <f t="shared" si="7"/>
        <v>12</v>
      </c>
    </row>
    <row r="457" spans="1:23">
      <c r="A457" s="7" t="s">
        <v>1952</v>
      </c>
      <c r="B457" s="8" t="s">
        <v>104</v>
      </c>
      <c r="C457" s="8" t="s">
        <v>122</v>
      </c>
      <c r="D457" s="32" t="s">
        <v>46</v>
      </c>
      <c r="E457" s="8" t="s">
        <v>601</v>
      </c>
      <c r="F457" s="4" t="str">
        <f>PROPER(TRIM(Sales_data!F457))</f>
        <v>Pooja Shah</v>
      </c>
      <c r="G457" s="8" t="s">
        <v>32</v>
      </c>
      <c r="H457" s="70" t="s">
        <v>1953</v>
      </c>
      <c r="I457" s="8" t="s">
        <v>142</v>
      </c>
      <c r="J457" s="4" t="str">
        <f>PROPER(Sales_data!J457)</f>
        <v>West</v>
      </c>
      <c r="K457" s="4" t="str">
        <f>PROPER(Sales_data!K457)</f>
        <v>Electronics</v>
      </c>
      <c r="L457" s="8" t="s">
        <v>127</v>
      </c>
      <c r="M457" s="66">
        <v>7</v>
      </c>
      <c r="N457" s="8">
        <v>60</v>
      </c>
      <c r="O457" s="8">
        <v>10</v>
      </c>
      <c r="P457" s="8">
        <v>378</v>
      </c>
      <c r="Q457" s="8">
        <v>4</v>
      </c>
      <c r="R457" s="67" t="s">
        <v>38</v>
      </c>
      <c r="S457" s="8" t="s">
        <v>53</v>
      </c>
      <c r="T457" s="8" t="s">
        <v>148</v>
      </c>
      <c r="U457" s="9" t="s">
        <v>1954</v>
      </c>
      <c r="V457" s="8" t="s">
        <v>73</v>
      </c>
      <c r="W457" s="4">
        <f t="shared" si="7"/>
        <v>5</v>
      </c>
    </row>
    <row r="458" spans="1:23">
      <c r="A458" s="3" t="s">
        <v>1955</v>
      </c>
      <c r="B458" s="4" t="s">
        <v>225</v>
      </c>
      <c r="C458" s="4" t="s">
        <v>28</v>
      </c>
      <c r="D458" s="31" t="s">
        <v>381</v>
      </c>
      <c r="E458" s="4" t="s">
        <v>678</v>
      </c>
      <c r="F458" s="4" t="str">
        <f>PROPER(TRIM(Sales_data!F458))</f>
        <v>Amit Sharma</v>
      </c>
      <c r="G458" s="4" t="s">
        <v>80</v>
      </c>
      <c r="H458" s="69" t="s">
        <v>1956</v>
      </c>
      <c r="I458" s="4" t="s">
        <v>109</v>
      </c>
      <c r="J458" s="4" t="str">
        <f>PROPER(Sales_data!J458)</f>
        <v>South</v>
      </c>
      <c r="K458" s="4" t="str">
        <f>PROPER(Sales_data!K458)</f>
        <v>Electronics</v>
      </c>
      <c r="L458" s="4" t="s">
        <v>37</v>
      </c>
      <c r="M458" s="66">
        <v>17</v>
      </c>
      <c r="N458" s="4">
        <v>2200</v>
      </c>
      <c r="O458" s="4">
        <v>15</v>
      </c>
      <c r="P458" s="4">
        <v>31790</v>
      </c>
      <c r="Q458" s="4">
        <v>3</v>
      </c>
      <c r="R458" s="67" t="s">
        <v>92</v>
      </c>
      <c r="S458" s="4" t="s">
        <v>155</v>
      </c>
      <c r="T458" s="4" t="s">
        <v>232</v>
      </c>
      <c r="U458" s="6" t="s">
        <v>1957</v>
      </c>
      <c r="V458" s="4" t="s">
        <v>68</v>
      </c>
      <c r="W458" s="4">
        <f t="shared" si="7"/>
        <v>8</v>
      </c>
    </row>
    <row r="459" spans="1:23">
      <c r="A459" s="7" t="s">
        <v>1958</v>
      </c>
      <c r="B459" s="8" t="s">
        <v>331</v>
      </c>
      <c r="C459" s="8" t="s">
        <v>188</v>
      </c>
      <c r="D459" s="32" t="s">
        <v>355</v>
      </c>
      <c r="E459" s="8" t="s">
        <v>1541</v>
      </c>
      <c r="F459" s="4" t="str">
        <f>PROPER(TRIM(Sales_data!F459))</f>
        <v>Priya Patel</v>
      </c>
      <c r="G459" s="8" t="s">
        <v>80</v>
      </c>
      <c r="H459" s="70" t="s">
        <v>1959</v>
      </c>
      <c r="I459" s="8" t="s">
        <v>63</v>
      </c>
      <c r="J459" s="4" t="str">
        <f>PROPER(Sales_data!J459)</f>
        <v>West</v>
      </c>
      <c r="K459" s="4" t="str">
        <f>PROPER(Sales_data!K459)</f>
        <v>Stationery</v>
      </c>
      <c r="L459" s="8" t="s">
        <v>193</v>
      </c>
      <c r="M459" s="66">
        <v>17</v>
      </c>
      <c r="N459" s="8">
        <v>700</v>
      </c>
      <c r="O459" s="8">
        <v>10</v>
      </c>
      <c r="P459" s="8">
        <v>10710</v>
      </c>
      <c r="Q459" s="8">
        <v>2</v>
      </c>
      <c r="R459" s="67" t="s">
        <v>38</v>
      </c>
      <c r="S459" s="8" t="s">
        <v>65</v>
      </c>
      <c r="T459" s="8" t="s">
        <v>336</v>
      </c>
      <c r="U459" s="9" t="s">
        <v>1960</v>
      </c>
      <c r="V459" s="8" t="s">
        <v>68</v>
      </c>
      <c r="W459" s="4">
        <f t="shared" si="7"/>
        <v>11</v>
      </c>
    </row>
    <row r="460" spans="1:23">
      <c r="A460" s="3" t="s">
        <v>1961</v>
      </c>
      <c r="B460" s="4" t="s">
        <v>331</v>
      </c>
      <c r="C460" s="4" t="s">
        <v>58</v>
      </c>
      <c r="D460" s="31" t="s">
        <v>1962</v>
      </c>
      <c r="E460" s="4" t="s">
        <v>1192</v>
      </c>
      <c r="F460" s="4" t="str">
        <f>PROPER(TRIM(Sales_data!F460))</f>
        <v>Vikas Mehta</v>
      </c>
      <c r="G460" s="4" t="s">
        <v>80</v>
      </c>
      <c r="H460" s="69" t="s">
        <v>1963</v>
      </c>
      <c r="I460" s="4" t="s">
        <v>48</v>
      </c>
      <c r="J460" s="4" t="str">
        <f>PROPER(Sales_data!J460)</f>
        <v>West</v>
      </c>
      <c r="K460" s="4" t="str">
        <f>PROPER(Sales_data!K460)</f>
        <v>Home Appliances</v>
      </c>
      <c r="L460" s="4" t="s">
        <v>64</v>
      </c>
      <c r="M460" s="66">
        <v>19</v>
      </c>
      <c r="N460" s="4">
        <v>55000</v>
      </c>
      <c r="O460" s="4">
        <v>20</v>
      </c>
      <c r="P460" s="4">
        <v>836000</v>
      </c>
      <c r="Q460" s="4">
        <v>5</v>
      </c>
      <c r="R460" s="67" t="s">
        <v>52</v>
      </c>
      <c r="S460" s="4" t="s">
        <v>65</v>
      </c>
      <c r="T460" s="4" t="s">
        <v>336</v>
      </c>
      <c r="U460" s="6" t="s">
        <v>1964</v>
      </c>
      <c r="V460" s="4" t="s">
        <v>42</v>
      </c>
      <c r="W460" s="4">
        <f t="shared" si="7"/>
        <v>5</v>
      </c>
    </row>
    <row r="461" spans="1:23">
      <c r="A461" s="7" t="s">
        <v>1965</v>
      </c>
      <c r="B461" s="8" t="s">
        <v>131</v>
      </c>
      <c r="C461" s="8" t="s">
        <v>122</v>
      </c>
      <c r="D461" s="32" t="s">
        <v>1176</v>
      </c>
      <c r="E461" s="8" t="s">
        <v>132</v>
      </c>
      <c r="F461" s="4" t="str">
        <f>PROPER(TRIM(Sales_data!F461))</f>
        <v>Amit Sharma</v>
      </c>
      <c r="G461" s="8" t="s">
        <v>80</v>
      </c>
      <c r="H461" s="70" t="s">
        <v>1966</v>
      </c>
      <c r="I461" s="8" t="s">
        <v>48</v>
      </c>
      <c r="J461" s="4" t="str">
        <f>PROPER(Sales_data!J461)</f>
        <v>South</v>
      </c>
      <c r="K461" s="4" t="str">
        <f>PROPER(Sales_data!K461)</f>
        <v>Electronics</v>
      </c>
      <c r="L461" s="8" t="s">
        <v>127</v>
      </c>
      <c r="M461" s="66">
        <v>1</v>
      </c>
      <c r="N461" s="8">
        <v>60</v>
      </c>
      <c r="O461" s="8">
        <v>10</v>
      </c>
      <c r="P461" s="8">
        <v>54</v>
      </c>
      <c r="Q461" s="8">
        <v>4</v>
      </c>
      <c r="R461" s="67" t="s">
        <v>52</v>
      </c>
      <c r="S461" s="4" t="s">
        <v>2125</v>
      </c>
      <c r="T461" s="10" t="s">
        <v>1967</v>
      </c>
      <c r="U461" s="9" t="s">
        <v>1968</v>
      </c>
      <c r="V461" s="8" t="s">
        <v>73</v>
      </c>
      <c r="W461" s="4">
        <f t="shared" si="7"/>
        <v>9</v>
      </c>
    </row>
    <row r="462" spans="1:23">
      <c r="A462" s="3" t="s">
        <v>1969</v>
      </c>
      <c r="B462" s="4" t="s">
        <v>75</v>
      </c>
      <c r="C462" s="4" t="s">
        <v>96</v>
      </c>
      <c r="D462" s="31" t="s">
        <v>1146</v>
      </c>
      <c r="E462" s="4" t="s">
        <v>558</v>
      </c>
      <c r="F462" s="4" t="str">
        <f>PROPER(TRIM(Sales_data!F462))</f>
        <v>Amit Sharma</v>
      </c>
      <c r="G462" s="4" t="s">
        <v>80</v>
      </c>
      <c r="H462" s="69" t="s">
        <v>1970</v>
      </c>
      <c r="I462" s="4" t="s">
        <v>34</v>
      </c>
      <c r="J462" s="4" t="str">
        <f>PROPER(Sales_data!J462)</f>
        <v>North</v>
      </c>
      <c r="K462" s="4" t="str">
        <f>PROPER(Sales_data!K462)</f>
        <v>Electronics</v>
      </c>
      <c r="L462" s="4" t="s">
        <v>101</v>
      </c>
      <c r="M462" s="66">
        <v>16</v>
      </c>
      <c r="N462" s="4">
        <v>3500</v>
      </c>
      <c r="O462" s="4">
        <v>0</v>
      </c>
      <c r="P462" s="4">
        <v>56000</v>
      </c>
      <c r="Q462" s="4">
        <v>4</v>
      </c>
      <c r="R462" s="67" t="s">
        <v>52</v>
      </c>
      <c r="S462" s="4" t="s">
        <v>39</v>
      </c>
      <c r="T462" s="4" t="s">
        <v>84</v>
      </c>
      <c r="U462" s="6" t="s">
        <v>1971</v>
      </c>
      <c r="V462" s="4" t="s">
        <v>68</v>
      </c>
      <c r="W462" s="4">
        <f t="shared" si="7"/>
        <v>3</v>
      </c>
    </row>
    <row r="463" spans="1:23">
      <c r="A463" s="7" t="s">
        <v>1972</v>
      </c>
      <c r="B463" s="8" t="s">
        <v>131</v>
      </c>
      <c r="C463" s="8" t="s">
        <v>226</v>
      </c>
      <c r="D463" s="32" t="s">
        <v>961</v>
      </c>
      <c r="E463" s="8" t="s">
        <v>770</v>
      </c>
      <c r="F463" s="4" t="str">
        <f>PROPER(TRIM(Sales_data!F463))</f>
        <v>Rohit Singh</v>
      </c>
      <c r="G463" s="8" t="s">
        <v>80</v>
      </c>
      <c r="H463" s="70" t="s">
        <v>1299</v>
      </c>
      <c r="I463" s="8" t="s">
        <v>118</v>
      </c>
      <c r="J463" s="4" t="str">
        <f>PROPER(Sales_data!J463)</f>
        <v>North</v>
      </c>
      <c r="K463" s="4" t="str">
        <f>PROPER(Sales_data!K463)</f>
        <v>Stationery</v>
      </c>
      <c r="L463" s="8" t="s">
        <v>231</v>
      </c>
      <c r="M463" s="66">
        <v>14</v>
      </c>
      <c r="N463" s="8">
        <v>20</v>
      </c>
      <c r="O463" s="8">
        <v>10</v>
      </c>
      <c r="P463" s="8">
        <v>252</v>
      </c>
      <c r="Q463" s="8">
        <v>1</v>
      </c>
      <c r="R463" s="67" t="s">
        <v>52</v>
      </c>
      <c r="S463" s="8" t="s">
        <v>65</v>
      </c>
      <c r="T463" s="8" t="s">
        <v>136</v>
      </c>
      <c r="U463" s="9" t="s">
        <v>1973</v>
      </c>
      <c r="V463" s="8" t="s">
        <v>68</v>
      </c>
      <c r="W463" s="4">
        <f t="shared" si="7"/>
        <v>1</v>
      </c>
    </row>
    <row r="464" spans="1:23">
      <c r="A464" s="3" t="s">
        <v>1974</v>
      </c>
      <c r="B464" s="4" t="s">
        <v>75</v>
      </c>
      <c r="C464" s="4" t="s">
        <v>28</v>
      </c>
      <c r="D464" s="31" t="s">
        <v>477</v>
      </c>
      <c r="E464" s="4" t="s">
        <v>458</v>
      </c>
      <c r="F464" s="4" t="str">
        <f>PROPER(TRIM(Sales_data!F464))</f>
        <v>Mohit Verma</v>
      </c>
      <c r="G464" s="4" t="s">
        <v>80</v>
      </c>
      <c r="H464" s="69" t="s">
        <v>1975</v>
      </c>
      <c r="I464" s="4" t="s">
        <v>63</v>
      </c>
      <c r="J464" s="4" t="str">
        <f>PROPER(Sales_data!J464)</f>
        <v>South</v>
      </c>
      <c r="K464" s="4" t="str">
        <f>PROPER(Sales_data!K464)</f>
        <v>Home Appliances</v>
      </c>
      <c r="L464" s="4" t="s">
        <v>37</v>
      </c>
      <c r="M464" s="66">
        <v>11</v>
      </c>
      <c r="N464" s="4">
        <v>2200</v>
      </c>
      <c r="O464" s="4">
        <v>15</v>
      </c>
      <c r="P464" s="4">
        <v>20570</v>
      </c>
      <c r="Q464" s="4">
        <v>4</v>
      </c>
      <c r="R464" s="67" t="s">
        <v>52</v>
      </c>
      <c r="S464" s="4" t="s">
        <v>53</v>
      </c>
      <c r="T464" s="4" t="s">
        <v>84</v>
      </c>
      <c r="U464" s="6" t="s">
        <v>1976</v>
      </c>
      <c r="V464" s="4" t="s">
        <v>73</v>
      </c>
      <c r="W464" s="4">
        <f t="shared" si="7"/>
        <v>12</v>
      </c>
    </row>
    <row r="465" spans="1:23">
      <c r="A465" s="7" t="s">
        <v>1977</v>
      </c>
      <c r="B465" s="8" t="s">
        <v>87</v>
      </c>
      <c r="C465" s="8" t="s">
        <v>58</v>
      </c>
      <c r="D465" s="32" t="s">
        <v>760</v>
      </c>
      <c r="E465" s="8" t="s">
        <v>1286</v>
      </c>
      <c r="F465" s="4" t="str">
        <f>PROPER(TRIM(Sales_data!F465))</f>
        <v>Rohit Singh</v>
      </c>
      <c r="G465" s="8" t="s">
        <v>80</v>
      </c>
      <c r="H465" s="70" t="s">
        <v>1978</v>
      </c>
      <c r="I465" s="8" t="s">
        <v>216</v>
      </c>
      <c r="J465" s="4" t="str">
        <f>PROPER(Sales_data!J465)</f>
        <v>West</v>
      </c>
      <c r="K465" s="4" t="str">
        <f>PROPER(Sales_data!K465)</f>
        <v>Stationery</v>
      </c>
      <c r="L465" s="8" t="s">
        <v>64</v>
      </c>
      <c r="M465" s="66">
        <v>2</v>
      </c>
      <c r="N465" s="8">
        <v>55000</v>
      </c>
      <c r="O465" s="8">
        <v>0</v>
      </c>
      <c r="P465" s="8">
        <v>110000</v>
      </c>
      <c r="Q465" s="8">
        <v>4</v>
      </c>
      <c r="R465" s="67" t="s">
        <v>52</v>
      </c>
      <c r="S465" s="8" t="s">
        <v>53</v>
      </c>
      <c r="T465" s="8" t="s">
        <v>93</v>
      </c>
      <c r="U465" s="9" t="s">
        <v>1979</v>
      </c>
      <c r="V465" s="8" t="s">
        <v>73</v>
      </c>
      <c r="W465" s="4">
        <f t="shared" si="7"/>
        <v>8</v>
      </c>
    </row>
    <row r="466" spans="1:23">
      <c r="A466" s="3" t="s">
        <v>1980</v>
      </c>
      <c r="B466" s="4" t="s">
        <v>57</v>
      </c>
      <c r="C466" s="4" t="s">
        <v>28</v>
      </c>
      <c r="D466" s="31" t="s">
        <v>516</v>
      </c>
      <c r="E466" s="4" t="s">
        <v>517</v>
      </c>
      <c r="F466" s="4" t="str">
        <f>PROPER(TRIM(Sales_data!F466))</f>
        <v>Mohit Verma</v>
      </c>
      <c r="G466" s="4" t="s">
        <v>32</v>
      </c>
      <c r="H466" s="69" t="s">
        <v>1981</v>
      </c>
      <c r="I466" s="4" t="s">
        <v>118</v>
      </c>
      <c r="J466" s="4" t="str">
        <f>PROPER(Sales_data!J466)</f>
        <v>South</v>
      </c>
      <c r="K466" s="4" t="str">
        <f>PROPER(Sales_data!K466)</f>
        <v>Home Appliances</v>
      </c>
      <c r="L466" s="4" t="s">
        <v>37</v>
      </c>
      <c r="M466" s="66">
        <v>7</v>
      </c>
      <c r="N466" s="4">
        <v>2200</v>
      </c>
      <c r="O466" s="4">
        <v>5</v>
      </c>
      <c r="P466" s="4">
        <v>14630</v>
      </c>
      <c r="Q466" s="4">
        <v>4</v>
      </c>
      <c r="R466" s="67" t="s">
        <v>83</v>
      </c>
      <c r="S466" s="4" t="s">
        <v>119</v>
      </c>
      <c r="T466" s="4" t="s">
        <v>66</v>
      </c>
      <c r="U466" s="6" t="s">
        <v>1982</v>
      </c>
      <c r="V466" s="4" t="s">
        <v>73</v>
      </c>
      <c r="W466" s="4">
        <f t="shared" si="7"/>
        <v>1</v>
      </c>
    </row>
    <row r="467" spans="1:23">
      <c r="A467" s="7" t="s">
        <v>1983</v>
      </c>
      <c r="B467" s="8" t="s">
        <v>27</v>
      </c>
      <c r="C467" s="8" t="s">
        <v>263</v>
      </c>
      <c r="D467" s="32" t="s">
        <v>1511</v>
      </c>
      <c r="E467" s="8" t="s">
        <v>581</v>
      </c>
      <c r="F467" s="4" t="str">
        <f>PROPER(TRIM(Sales_data!F467))</f>
        <v>Arjun Rao</v>
      </c>
      <c r="G467" s="8" t="s">
        <v>32</v>
      </c>
      <c r="H467" s="70" t="s">
        <v>1984</v>
      </c>
      <c r="I467" s="8" t="s">
        <v>142</v>
      </c>
      <c r="J467" s="4" t="str">
        <f>PROPER(Sales_data!J467)</f>
        <v>North</v>
      </c>
      <c r="K467" s="4" t="str">
        <f>PROPER(Sales_data!K467)</f>
        <v>Electronics</v>
      </c>
      <c r="L467" s="8" t="s">
        <v>267</v>
      </c>
      <c r="M467" s="66">
        <v>11</v>
      </c>
      <c r="N467" s="8">
        <v>45</v>
      </c>
      <c r="O467" s="8">
        <v>15</v>
      </c>
      <c r="P467" s="8">
        <v>420.75</v>
      </c>
      <c r="Q467" s="8">
        <v>4</v>
      </c>
      <c r="R467" s="67" t="s">
        <v>83</v>
      </c>
      <c r="S467" s="8" t="s">
        <v>65</v>
      </c>
      <c r="T467" s="8" t="s">
        <v>54</v>
      </c>
      <c r="U467" s="9" t="s">
        <v>1985</v>
      </c>
      <c r="V467" s="8" t="s">
        <v>68</v>
      </c>
      <c r="W467" s="4">
        <f t="shared" si="7"/>
        <v>4</v>
      </c>
    </row>
    <row r="468" spans="1:23">
      <c r="A468" s="3" t="s">
        <v>1986</v>
      </c>
      <c r="B468" s="4" t="s">
        <v>104</v>
      </c>
      <c r="C468" s="4" t="s">
        <v>122</v>
      </c>
      <c r="D468" s="31" t="s">
        <v>1118</v>
      </c>
      <c r="E468" s="4" t="s">
        <v>214</v>
      </c>
      <c r="F468" s="4" t="str">
        <f>PROPER(TRIM(Sales_data!F468))</f>
        <v>Pooja Shah</v>
      </c>
      <c r="G468" s="4" t="s">
        <v>32</v>
      </c>
      <c r="H468" s="69" t="s">
        <v>1987</v>
      </c>
      <c r="I468" s="4" t="s">
        <v>109</v>
      </c>
      <c r="J468" s="4" t="str">
        <f>PROPER(Sales_data!J468)</f>
        <v>West</v>
      </c>
      <c r="K468" s="4" t="str">
        <f>PROPER(Sales_data!K468)</f>
        <v>Home Appliances</v>
      </c>
      <c r="L468" s="4" t="s">
        <v>127</v>
      </c>
      <c r="M468" s="66">
        <v>16</v>
      </c>
      <c r="N468" s="4">
        <v>60</v>
      </c>
      <c r="O468" s="4">
        <v>5</v>
      </c>
      <c r="P468" s="4">
        <v>912</v>
      </c>
      <c r="Q468" s="4">
        <v>2</v>
      </c>
      <c r="R468" s="67" t="s">
        <v>38</v>
      </c>
      <c r="S468" s="4" t="s">
        <v>119</v>
      </c>
      <c r="T468" s="4" t="s">
        <v>148</v>
      </c>
      <c r="U468" s="6" t="s">
        <v>1988</v>
      </c>
      <c r="V468" s="4" t="s">
        <v>73</v>
      </c>
      <c r="W468" s="4">
        <f t="shared" si="7"/>
        <v>4</v>
      </c>
    </row>
    <row r="469" spans="1:23">
      <c r="A469" s="7" t="s">
        <v>1989</v>
      </c>
      <c r="B469" s="8" t="s">
        <v>331</v>
      </c>
      <c r="C469" s="8" t="s">
        <v>58</v>
      </c>
      <c r="D469" s="32" t="s">
        <v>1106</v>
      </c>
      <c r="E469" s="8" t="s">
        <v>868</v>
      </c>
      <c r="F469" s="4" t="str">
        <f>PROPER(TRIM(Sales_data!F469))</f>
        <v>Kavya Nair</v>
      </c>
      <c r="G469" s="8" t="s">
        <v>80</v>
      </c>
      <c r="H469" s="70" t="s">
        <v>1990</v>
      </c>
      <c r="I469" s="8" t="s">
        <v>118</v>
      </c>
      <c r="J469" s="4" t="str">
        <f>PROPER(Sales_data!J469)</f>
        <v>West</v>
      </c>
      <c r="K469" s="4" t="str">
        <f>PROPER(Sales_data!K469)</f>
        <v>Stationery</v>
      </c>
      <c r="L469" s="8" t="s">
        <v>64</v>
      </c>
      <c r="M469" s="66">
        <v>18</v>
      </c>
      <c r="N469" s="8">
        <v>55000</v>
      </c>
      <c r="O469" s="8">
        <v>0</v>
      </c>
      <c r="P469" s="8">
        <v>990000</v>
      </c>
      <c r="Q469" s="8">
        <v>5</v>
      </c>
      <c r="R469" s="67" t="s">
        <v>52</v>
      </c>
      <c r="S469" s="8" t="s">
        <v>53</v>
      </c>
      <c r="T469" s="8" t="s">
        <v>336</v>
      </c>
      <c r="U469" s="9" t="s">
        <v>1991</v>
      </c>
      <c r="V469" s="8" t="s">
        <v>68</v>
      </c>
      <c r="W469" s="4">
        <f t="shared" si="7"/>
        <v>11</v>
      </c>
    </row>
    <row r="470" spans="1:23">
      <c r="A470" s="3" t="s">
        <v>1992</v>
      </c>
      <c r="B470" s="4" t="s">
        <v>27</v>
      </c>
      <c r="C470" s="4" t="s">
        <v>76</v>
      </c>
      <c r="D470" s="31" t="s">
        <v>1993</v>
      </c>
      <c r="E470" s="4" t="s">
        <v>1884</v>
      </c>
      <c r="F470" s="4" t="str">
        <f>PROPER(TRIM(Sales_data!F470))</f>
        <v>Priya Patel</v>
      </c>
      <c r="G470" s="4" t="s">
        <v>32</v>
      </c>
      <c r="H470" s="69" t="s">
        <v>1994</v>
      </c>
      <c r="I470" s="4" t="s">
        <v>63</v>
      </c>
      <c r="J470" s="4" t="str">
        <f>PROPER(Sales_data!J470)</f>
        <v>West</v>
      </c>
      <c r="K470" s="4" t="str">
        <f>PROPER(Sales_data!K470)</f>
        <v>Stationery</v>
      </c>
      <c r="L470" s="4" t="s">
        <v>82</v>
      </c>
      <c r="M470" s="66">
        <v>17</v>
      </c>
      <c r="N470" s="4">
        <v>1200</v>
      </c>
      <c r="O470" s="4">
        <v>5</v>
      </c>
      <c r="P470" s="4">
        <v>19380</v>
      </c>
      <c r="Q470" s="4">
        <v>1</v>
      </c>
      <c r="R470" s="67" t="s">
        <v>52</v>
      </c>
      <c r="S470" s="4" t="s">
        <v>39</v>
      </c>
      <c r="T470" s="4" t="s">
        <v>54</v>
      </c>
      <c r="U470" s="6" t="s">
        <v>1995</v>
      </c>
      <c r="V470" s="4" t="s">
        <v>68</v>
      </c>
      <c r="W470" s="4">
        <f t="shared" si="7"/>
        <v>10</v>
      </c>
    </row>
    <row r="471" spans="1:23">
      <c r="A471" s="7" t="s">
        <v>1996</v>
      </c>
      <c r="B471" s="8" t="s">
        <v>57</v>
      </c>
      <c r="C471" s="8" t="s">
        <v>58</v>
      </c>
      <c r="D471" s="32" t="s">
        <v>45</v>
      </c>
      <c r="E471" s="8" t="s">
        <v>203</v>
      </c>
      <c r="F471" s="4" t="str">
        <f>PROPER(TRIM(Sales_data!F471))</f>
        <v>Amit Sharma</v>
      </c>
      <c r="G471" s="8" t="s">
        <v>32</v>
      </c>
      <c r="H471" s="70" t="s">
        <v>1997</v>
      </c>
      <c r="I471" s="8" t="s">
        <v>118</v>
      </c>
      <c r="J471" s="4" t="str">
        <f>PROPER(Sales_data!J471)</f>
        <v>West</v>
      </c>
      <c r="K471" s="4" t="str">
        <f>PROPER(Sales_data!K471)</f>
        <v>Electronics</v>
      </c>
      <c r="L471" s="8" t="s">
        <v>64</v>
      </c>
      <c r="M471" s="66">
        <v>11</v>
      </c>
      <c r="N471" s="8">
        <v>55000</v>
      </c>
      <c r="O471" s="8">
        <v>0</v>
      </c>
      <c r="P471" s="8">
        <v>605000</v>
      </c>
      <c r="Q471" s="8">
        <v>2</v>
      </c>
      <c r="R471" s="67" t="s">
        <v>38</v>
      </c>
      <c r="S471" s="8" t="s">
        <v>65</v>
      </c>
      <c r="T471" s="8" t="s">
        <v>66</v>
      </c>
      <c r="U471" s="9" t="s">
        <v>1998</v>
      </c>
      <c r="V471" s="8" t="s">
        <v>68</v>
      </c>
      <c r="W471" s="4">
        <f t="shared" si="7"/>
        <v>4</v>
      </c>
    </row>
    <row r="472" spans="1:23">
      <c r="A472" s="3" t="s">
        <v>1999</v>
      </c>
      <c r="B472" s="4" t="s">
        <v>255</v>
      </c>
      <c r="C472" s="4" t="s">
        <v>188</v>
      </c>
      <c r="D472" s="31" t="s">
        <v>240</v>
      </c>
      <c r="E472" s="4" t="s">
        <v>682</v>
      </c>
      <c r="F472" s="4" t="str">
        <f>PROPER(TRIM(Sales_data!F472))</f>
        <v>Kavya Nair</v>
      </c>
      <c r="G472" s="4" t="s">
        <v>32</v>
      </c>
      <c r="H472" s="69" t="s">
        <v>2000</v>
      </c>
      <c r="I472" s="4" t="s">
        <v>48</v>
      </c>
      <c r="J472" s="4" t="str">
        <f>PROPER(Sales_data!J472)</f>
        <v>South</v>
      </c>
      <c r="K472" s="4" t="str">
        <f>PROPER(Sales_data!K472)</f>
        <v>Electronics</v>
      </c>
      <c r="L472" s="4" t="s">
        <v>193</v>
      </c>
      <c r="M472" s="66">
        <v>20</v>
      </c>
      <c r="N472" s="4">
        <v>700</v>
      </c>
      <c r="O472" s="4">
        <v>20</v>
      </c>
      <c r="P472" s="4">
        <v>11200</v>
      </c>
      <c r="Q472" s="4">
        <v>5</v>
      </c>
      <c r="R472" s="67" t="s">
        <v>52</v>
      </c>
      <c r="S472" s="4" t="s">
        <v>65</v>
      </c>
      <c r="T472" s="4" t="s">
        <v>260</v>
      </c>
      <c r="U472" s="6" t="s">
        <v>2001</v>
      </c>
      <c r="V472" s="4" t="s">
        <v>42</v>
      </c>
      <c r="W472" s="4">
        <f t="shared" si="7"/>
        <v>5</v>
      </c>
    </row>
    <row r="473" spans="1:23">
      <c r="A473" s="7" t="s">
        <v>2002</v>
      </c>
      <c r="B473" s="8" t="s">
        <v>75</v>
      </c>
      <c r="C473" s="8" t="s">
        <v>226</v>
      </c>
      <c r="D473" s="32" t="s">
        <v>488</v>
      </c>
      <c r="E473" s="8" t="s">
        <v>326</v>
      </c>
      <c r="F473" s="4" t="str">
        <f>PROPER(TRIM(Sales_data!F473))</f>
        <v>Pooja Shah</v>
      </c>
      <c r="G473" s="8" t="s">
        <v>80</v>
      </c>
      <c r="H473" s="70" t="s">
        <v>2003</v>
      </c>
      <c r="I473" s="8" t="s">
        <v>48</v>
      </c>
      <c r="J473" s="4" t="str">
        <f>PROPER(Sales_data!J473)</f>
        <v>West</v>
      </c>
      <c r="K473" s="4" t="str">
        <f>PROPER(Sales_data!K473)</f>
        <v>Electronics</v>
      </c>
      <c r="L473" s="8" t="s">
        <v>231</v>
      </c>
      <c r="M473" s="66">
        <v>5</v>
      </c>
      <c r="N473" s="8">
        <v>20</v>
      </c>
      <c r="O473" s="8">
        <v>5</v>
      </c>
      <c r="P473" s="8">
        <v>95</v>
      </c>
      <c r="Q473" s="8">
        <v>4</v>
      </c>
      <c r="R473" s="67" t="s">
        <v>38</v>
      </c>
      <c r="S473" s="8" t="s">
        <v>53</v>
      </c>
      <c r="T473" s="8" t="s">
        <v>84</v>
      </c>
      <c r="U473" s="9" t="s">
        <v>2004</v>
      </c>
      <c r="V473" s="8" t="s">
        <v>73</v>
      </c>
      <c r="W473" s="4">
        <f t="shared" si="7"/>
        <v>1</v>
      </c>
    </row>
    <row r="474" spans="1:23">
      <c r="A474" s="3" t="s">
        <v>2005</v>
      </c>
      <c r="B474" s="4" t="s">
        <v>331</v>
      </c>
      <c r="C474" s="4" t="s">
        <v>58</v>
      </c>
      <c r="D474" s="31" t="s">
        <v>769</v>
      </c>
      <c r="E474" s="4" t="s">
        <v>1377</v>
      </c>
      <c r="F474" s="4" t="str">
        <f>PROPER(TRIM(Sales_data!F474))</f>
        <v>Sneha Joshi</v>
      </c>
      <c r="G474" s="4" t="s">
        <v>80</v>
      </c>
      <c r="H474" s="69" t="s">
        <v>2006</v>
      </c>
      <c r="I474" s="4" t="s">
        <v>109</v>
      </c>
      <c r="J474" s="4" t="str">
        <f>PROPER(Sales_data!J474)</f>
        <v>North</v>
      </c>
      <c r="K474" s="4" t="str">
        <f>PROPER(Sales_data!K474)</f>
        <v>Electronics</v>
      </c>
      <c r="L474" s="4" t="s">
        <v>64</v>
      </c>
      <c r="M474" s="66">
        <v>13</v>
      </c>
      <c r="N474" s="4">
        <v>55000</v>
      </c>
      <c r="O474" s="4">
        <v>5</v>
      </c>
      <c r="P474" s="4">
        <v>679250</v>
      </c>
      <c r="Q474" s="4">
        <v>1</v>
      </c>
      <c r="R474" s="67" t="s">
        <v>52</v>
      </c>
      <c r="S474" s="4" t="s">
        <v>53</v>
      </c>
      <c r="T474" s="4" t="s">
        <v>336</v>
      </c>
      <c r="U474" s="6" t="s">
        <v>2007</v>
      </c>
      <c r="V474" s="4" t="s">
        <v>68</v>
      </c>
      <c r="W474" s="4">
        <f t="shared" si="7"/>
        <v>2</v>
      </c>
    </row>
    <row r="475" spans="1:23">
      <c r="A475" s="7" t="s">
        <v>2008</v>
      </c>
      <c r="B475" s="8" t="s">
        <v>131</v>
      </c>
      <c r="C475" s="8" t="s">
        <v>58</v>
      </c>
      <c r="D475" s="32" t="s">
        <v>106</v>
      </c>
      <c r="E475" s="8" t="s">
        <v>1118</v>
      </c>
      <c r="F475" s="4" t="str">
        <f>PROPER(TRIM(Sales_data!F475))</f>
        <v>Mohit Verma</v>
      </c>
      <c r="G475" s="8" t="s">
        <v>80</v>
      </c>
      <c r="H475" s="70" t="s">
        <v>2009</v>
      </c>
      <c r="I475" s="8" t="s">
        <v>298</v>
      </c>
      <c r="J475" s="4" t="str">
        <f>PROPER(Sales_data!J475)</f>
        <v>North</v>
      </c>
      <c r="K475" s="4" t="str">
        <f>PROPER(Sales_data!K475)</f>
        <v>Stationery</v>
      </c>
      <c r="L475" s="8" t="s">
        <v>64</v>
      </c>
      <c r="M475" s="66">
        <v>12</v>
      </c>
      <c r="N475" s="8">
        <v>55000</v>
      </c>
      <c r="O475" s="8">
        <v>5</v>
      </c>
      <c r="P475" s="8">
        <v>627000</v>
      </c>
      <c r="Q475" s="8">
        <v>1</v>
      </c>
      <c r="R475" s="67" t="s">
        <v>52</v>
      </c>
      <c r="S475" s="8" t="s">
        <v>119</v>
      </c>
      <c r="T475" s="8" t="s">
        <v>136</v>
      </c>
      <c r="U475" s="9" t="s">
        <v>2010</v>
      </c>
      <c r="V475" s="8" t="s">
        <v>73</v>
      </c>
      <c r="W475" s="4">
        <f t="shared" si="7"/>
        <v>4</v>
      </c>
    </row>
    <row r="476" spans="1:23">
      <c r="A476" s="3" t="s">
        <v>2011</v>
      </c>
      <c r="B476" s="4" t="s">
        <v>57</v>
      </c>
      <c r="C476" s="4" t="s">
        <v>263</v>
      </c>
      <c r="D476" s="31" t="s">
        <v>765</v>
      </c>
      <c r="E476" s="4" t="s">
        <v>1709</v>
      </c>
      <c r="F476" s="4" t="str">
        <f>PROPER(TRIM(Sales_data!F476))</f>
        <v>Amit Sharma</v>
      </c>
      <c r="G476" s="4" t="s">
        <v>32</v>
      </c>
      <c r="H476" s="69" t="s">
        <v>2012</v>
      </c>
      <c r="I476" s="4" t="s">
        <v>109</v>
      </c>
      <c r="J476" s="4" t="str">
        <f>PROPER(Sales_data!J476)</f>
        <v>West</v>
      </c>
      <c r="K476" s="4" t="str">
        <f>PROPER(Sales_data!K476)</f>
        <v>Electronics</v>
      </c>
      <c r="L476" s="4" t="s">
        <v>267</v>
      </c>
      <c r="M476" s="66">
        <v>16</v>
      </c>
      <c r="N476" s="4">
        <v>45</v>
      </c>
      <c r="O476" s="4">
        <v>20</v>
      </c>
      <c r="P476" s="4">
        <v>576</v>
      </c>
      <c r="Q476" s="4">
        <v>2</v>
      </c>
      <c r="R476" s="67" t="s">
        <v>38</v>
      </c>
      <c r="S476" s="4" t="s">
        <v>53</v>
      </c>
      <c r="T476" s="4" t="s">
        <v>66</v>
      </c>
      <c r="U476" s="6" t="s">
        <v>2013</v>
      </c>
      <c r="V476" s="4" t="s">
        <v>68</v>
      </c>
      <c r="W476" s="4">
        <f t="shared" si="7"/>
        <v>1</v>
      </c>
    </row>
    <row r="477" spans="1:23">
      <c r="A477" s="7" t="s">
        <v>2014</v>
      </c>
      <c r="B477" s="8" t="s">
        <v>27</v>
      </c>
      <c r="C477" s="8" t="s">
        <v>76</v>
      </c>
      <c r="D477" s="32" t="s">
        <v>29</v>
      </c>
      <c r="E477" s="8" t="s">
        <v>77</v>
      </c>
      <c r="F477" s="4" t="str">
        <f>PROPER(TRIM(Sales_data!F477))</f>
        <v>Rohit Singh</v>
      </c>
      <c r="G477" s="8" t="s">
        <v>32</v>
      </c>
      <c r="H477" s="70" t="s">
        <v>2015</v>
      </c>
      <c r="I477" s="8" t="s">
        <v>63</v>
      </c>
      <c r="J477" s="4" t="str">
        <f>PROPER(Sales_data!J477)</f>
        <v>East</v>
      </c>
      <c r="K477" s="4" t="str">
        <f>PROPER(Sales_data!K477)</f>
        <v>Electronics</v>
      </c>
      <c r="L477" s="8" t="s">
        <v>82</v>
      </c>
      <c r="M477" s="66">
        <v>5</v>
      </c>
      <c r="N477" s="8">
        <v>1200</v>
      </c>
      <c r="O477" s="8">
        <v>10</v>
      </c>
      <c r="P477" s="8">
        <v>5400</v>
      </c>
      <c r="Q477" s="8">
        <v>1</v>
      </c>
      <c r="R477" s="67" t="s">
        <v>38</v>
      </c>
      <c r="S477" s="4" t="s">
        <v>2125</v>
      </c>
      <c r="T477" s="10" t="s">
        <v>2016</v>
      </c>
      <c r="U477" s="9" t="s">
        <v>2017</v>
      </c>
      <c r="V477" s="8" t="s">
        <v>42</v>
      </c>
      <c r="W477" s="4">
        <f t="shared" si="7"/>
        <v>9</v>
      </c>
    </row>
    <row r="478" spans="1:23">
      <c r="A478" s="3" t="s">
        <v>2018</v>
      </c>
      <c r="B478" s="4" t="s">
        <v>172</v>
      </c>
      <c r="C478" s="4" t="s">
        <v>263</v>
      </c>
      <c r="D478" s="31" t="s">
        <v>286</v>
      </c>
      <c r="E478" s="4" t="s">
        <v>706</v>
      </c>
      <c r="F478" s="4" t="str">
        <f>PROPER(TRIM(Sales_data!F478))</f>
        <v>Pooja Shah</v>
      </c>
      <c r="G478" s="4" t="s">
        <v>32</v>
      </c>
      <c r="H478" s="69" t="s">
        <v>2020</v>
      </c>
      <c r="I478" s="4" t="s">
        <v>298</v>
      </c>
      <c r="J478" s="4" t="str">
        <f>PROPER(Sales_data!J478)</f>
        <v>West</v>
      </c>
      <c r="K478" s="4" t="str">
        <f>PROPER(Sales_data!K478)</f>
        <v>Stationery</v>
      </c>
      <c r="L478" s="4" t="s">
        <v>267</v>
      </c>
      <c r="M478" s="66">
        <v>2</v>
      </c>
      <c r="N478" s="4">
        <v>45</v>
      </c>
      <c r="O478" s="4">
        <v>10</v>
      </c>
      <c r="P478" s="4">
        <v>81</v>
      </c>
      <c r="Q478" s="4">
        <v>4</v>
      </c>
      <c r="R478" s="67" t="s">
        <v>92</v>
      </c>
      <c r="S478" s="4" t="s">
        <v>53</v>
      </c>
      <c r="T478" s="4" t="s">
        <v>179</v>
      </c>
      <c r="U478" s="6" t="s">
        <v>2021</v>
      </c>
      <c r="V478" s="4" t="s">
        <v>68</v>
      </c>
      <c r="W478" s="4">
        <f t="shared" si="7"/>
        <v>10</v>
      </c>
    </row>
    <row r="479" spans="1:23">
      <c r="A479" s="7" t="s">
        <v>2022</v>
      </c>
      <c r="B479" s="8" t="s">
        <v>131</v>
      </c>
      <c r="C479" s="8" t="s">
        <v>44</v>
      </c>
      <c r="D479" s="32" t="s">
        <v>89</v>
      </c>
      <c r="E479" s="8" t="s">
        <v>591</v>
      </c>
      <c r="F479" s="4" t="str">
        <f>PROPER(TRIM(Sales_data!F479))</f>
        <v>Kavya Nair</v>
      </c>
      <c r="G479" s="8" t="s">
        <v>80</v>
      </c>
      <c r="H479" s="70" t="s">
        <v>2023</v>
      </c>
      <c r="I479" s="8" t="s">
        <v>142</v>
      </c>
      <c r="J479" s="4" t="str">
        <f>PROPER(Sales_data!J479)</f>
        <v>South</v>
      </c>
      <c r="K479" s="4" t="str">
        <f>PROPER(Sales_data!K479)</f>
        <v>Electronics</v>
      </c>
      <c r="L479" s="8" t="s">
        <v>51</v>
      </c>
      <c r="M479" s="66">
        <v>3</v>
      </c>
      <c r="N479" s="8">
        <v>12000</v>
      </c>
      <c r="O479" s="8">
        <v>0</v>
      </c>
      <c r="P479" s="8">
        <v>36000</v>
      </c>
      <c r="Q479" s="8">
        <v>2</v>
      </c>
      <c r="R479" s="67" t="s">
        <v>92</v>
      </c>
      <c r="S479" s="8" t="s">
        <v>155</v>
      </c>
      <c r="T479" s="8" t="s">
        <v>136</v>
      </c>
      <c r="U479" s="9" t="s">
        <v>2024</v>
      </c>
      <c r="V479" s="8" t="s">
        <v>68</v>
      </c>
      <c r="W479" s="4">
        <f t="shared" si="7"/>
        <v>1</v>
      </c>
    </row>
    <row r="480" spans="1:23">
      <c r="A480" s="3" t="s">
        <v>2025</v>
      </c>
      <c r="B480" s="4" t="s">
        <v>27</v>
      </c>
      <c r="C480" s="4" t="s">
        <v>44</v>
      </c>
      <c r="D480" s="31" t="s">
        <v>2026</v>
      </c>
      <c r="E480" s="4" t="s">
        <v>1867</v>
      </c>
      <c r="F480" s="4" t="str">
        <f>PROPER(TRIM(Sales_data!F480))</f>
        <v>Anita Gupta</v>
      </c>
      <c r="G480" s="4" t="s">
        <v>32</v>
      </c>
      <c r="H480" s="69" t="s">
        <v>2027</v>
      </c>
      <c r="I480" s="4" t="s">
        <v>63</v>
      </c>
      <c r="J480" s="4" t="str">
        <f>PROPER(Sales_data!J480)</f>
        <v>East</v>
      </c>
      <c r="K480" s="4" t="str">
        <f>PROPER(Sales_data!K480)</f>
        <v>Stationery</v>
      </c>
      <c r="L480" s="4" t="s">
        <v>51</v>
      </c>
      <c r="M480" s="66">
        <v>3</v>
      </c>
      <c r="N480" s="4">
        <v>12000</v>
      </c>
      <c r="O480" s="4">
        <v>20</v>
      </c>
      <c r="P480" s="4">
        <v>28800</v>
      </c>
      <c r="Q480" s="4">
        <v>3</v>
      </c>
      <c r="R480" s="67" t="s">
        <v>92</v>
      </c>
      <c r="S480" s="4" t="s">
        <v>119</v>
      </c>
      <c r="T480" s="4" t="s">
        <v>54</v>
      </c>
      <c r="U480" s="6" t="s">
        <v>2028</v>
      </c>
      <c r="V480" s="4" t="s">
        <v>42</v>
      </c>
      <c r="W480" s="4">
        <f t="shared" si="7"/>
        <v>1</v>
      </c>
    </row>
    <row r="481" spans="1:23">
      <c r="A481" s="7" t="s">
        <v>2029</v>
      </c>
      <c r="B481" s="8" t="s">
        <v>131</v>
      </c>
      <c r="C481" s="8" t="s">
        <v>173</v>
      </c>
      <c r="D481" s="32" t="s">
        <v>896</v>
      </c>
      <c r="E481" s="8" t="s">
        <v>165</v>
      </c>
      <c r="F481" s="4" t="str">
        <f>PROPER(TRIM(Sales_data!F481))</f>
        <v>Rohit Singh</v>
      </c>
      <c r="G481" s="8" t="s">
        <v>80</v>
      </c>
      <c r="H481" s="70" t="s">
        <v>2030</v>
      </c>
      <c r="I481" s="8" t="s">
        <v>298</v>
      </c>
      <c r="J481" s="4" t="str">
        <f>PROPER(Sales_data!J481)</f>
        <v>West</v>
      </c>
      <c r="K481" s="4" t="str">
        <f>PROPER(Sales_data!K481)</f>
        <v>Electronics</v>
      </c>
      <c r="L481" s="8" t="s">
        <v>178</v>
      </c>
      <c r="M481" s="66">
        <v>9</v>
      </c>
      <c r="N481" s="8">
        <v>8500</v>
      </c>
      <c r="O481" s="8">
        <v>15</v>
      </c>
      <c r="P481" s="8">
        <v>65025</v>
      </c>
      <c r="Q481" s="8">
        <v>5</v>
      </c>
      <c r="R481" s="67" t="s">
        <v>38</v>
      </c>
      <c r="S481" s="8" t="s">
        <v>53</v>
      </c>
      <c r="T481" s="8" t="s">
        <v>136</v>
      </c>
      <c r="U481" s="9" t="s">
        <v>2031</v>
      </c>
      <c r="V481" s="8" t="s">
        <v>68</v>
      </c>
      <c r="W481" s="4">
        <f t="shared" si="7"/>
        <v>4</v>
      </c>
    </row>
    <row r="482" spans="1:23">
      <c r="A482" s="3" t="s">
        <v>2032</v>
      </c>
      <c r="B482" s="4" t="s">
        <v>75</v>
      </c>
      <c r="C482" s="4" t="s">
        <v>188</v>
      </c>
      <c r="D482" s="31" t="s">
        <v>265</v>
      </c>
      <c r="E482" s="4" t="s">
        <v>885</v>
      </c>
      <c r="F482" s="4" t="str">
        <f>PROPER(TRIM(Sales_data!F482))</f>
        <v>Kavya Nair</v>
      </c>
      <c r="G482" s="4" t="s">
        <v>80</v>
      </c>
      <c r="H482" s="69" t="s">
        <v>2034</v>
      </c>
      <c r="I482" s="4" t="s">
        <v>298</v>
      </c>
      <c r="J482" s="4" t="str">
        <f>PROPER(Sales_data!J482)</f>
        <v>South</v>
      </c>
      <c r="K482" s="4" t="str">
        <f>PROPER(Sales_data!K482)</f>
        <v>Electronics</v>
      </c>
      <c r="L482" s="4" t="s">
        <v>193</v>
      </c>
      <c r="M482" s="66">
        <v>17</v>
      </c>
      <c r="N482" s="4">
        <v>700</v>
      </c>
      <c r="O482" s="4">
        <v>0</v>
      </c>
      <c r="P482" s="4">
        <v>11900</v>
      </c>
      <c r="Q482" s="4">
        <v>2</v>
      </c>
      <c r="R482" s="67" t="s">
        <v>38</v>
      </c>
      <c r="S482" s="4" t="s">
        <v>65</v>
      </c>
      <c r="T482" s="4" t="s">
        <v>84</v>
      </c>
      <c r="U482" s="6" t="s">
        <v>2035</v>
      </c>
      <c r="V482" s="4" t="s">
        <v>73</v>
      </c>
      <c r="W482" s="4">
        <f t="shared" si="7"/>
        <v>6</v>
      </c>
    </row>
    <row r="483" spans="1:23">
      <c r="A483" s="7" t="s">
        <v>2036</v>
      </c>
      <c r="B483" s="8" t="s">
        <v>27</v>
      </c>
      <c r="C483" s="8" t="s">
        <v>188</v>
      </c>
      <c r="D483" s="32" t="s">
        <v>1253</v>
      </c>
      <c r="E483" s="8" t="s">
        <v>1576</v>
      </c>
      <c r="F483" s="4" t="str">
        <f>PROPER(TRIM(Sales_data!F483))</f>
        <v>Rohit Singh</v>
      </c>
      <c r="G483" s="8" t="s">
        <v>32</v>
      </c>
      <c r="H483" s="70" t="s">
        <v>2037</v>
      </c>
      <c r="I483" s="8" t="s">
        <v>34</v>
      </c>
      <c r="J483" s="4" t="str">
        <f>PROPER(Sales_data!J483)</f>
        <v>East</v>
      </c>
      <c r="K483" s="4" t="str">
        <f>PROPER(Sales_data!K483)</f>
        <v>Home Appliances</v>
      </c>
      <c r="L483" s="8" t="s">
        <v>193</v>
      </c>
      <c r="M483" s="66">
        <v>20</v>
      </c>
      <c r="N483" s="8">
        <v>700</v>
      </c>
      <c r="O483" s="8">
        <v>5</v>
      </c>
      <c r="P483" s="8">
        <v>13300</v>
      </c>
      <c r="Q483" s="8">
        <v>2</v>
      </c>
      <c r="R483" s="67" t="s">
        <v>92</v>
      </c>
      <c r="S483" s="8" t="s">
        <v>39</v>
      </c>
      <c r="T483" s="8" t="s">
        <v>54</v>
      </c>
      <c r="U483" s="9" t="s">
        <v>2038</v>
      </c>
      <c r="V483" s="8" t="s">
        <v>42</v>
      </c>
      <c r="W483" s="4">
        <f t="shared" si="7"/>
        <v>7</v>
      </c>
    </row>
    <row r="484" spans="1:23">
      <c r="A484" s="3" t="s">
        <v>2039</v>
      </c>
      <c r="B484" s="4" t="s">
        <v>331</v>
      </c>
      <c r="C484" s="4" t="s">
        <v>76</v>
      </c>
      <c r="D484" s="31" t="s">
        <v>558</v>
      </c>
      <c r="E484" s="4" t="s">
        <v>69</v>
      </c>
      <c r="F484" s="4" t="str">
        <f>PROPER(TRIM(Sales_data!F484))</f>
        <v>Mohit Verma</v>
      </c>
      <c r="G484" s="4" t="s">
        <v>80</v>
      </c>
      <c r="H484" s="69" t="s">
        <v>2041</v>
      </c>
      <c r="I484" s="4" t="s">
        <v>142</v>
      </c>
      <c r="J484" s="4" t="str">
        <f>PROPER(Sales_data!J484)</f>
        <v>East</v>
      </c>
      <c r="K484" s="4" t="str">
        <f>PROPER(Sales_data!K484)</f>
        <v>Electronics</v>
      </c>
      <c r="L484" s="4" t="s">
        <v>82</v>
      </c>
      <c r="M484" s="66">
        <v>13</v>
      </c>
      <c r="N484" s="4">
        <v>1200</v>
      </c>
      <c r="O484" s="4">
        <v>20</v>
      </c>
      <c r="P484" s="4">
        <v>12480</v>
      </c>
      <c r="Q484" s="4">
        <v>5</v>
      </c>
      <c r="R484" s="67" t="s">
        <v>83</v>
      </c>
      <c r="S484" s="4" t="s">
        <v>119</v>
      </c>
      <c r="T484" s="4" t="s">
        <v>336</v>
      </c>
      <c r="U484" s="6" t="s">
        <v>2042</v>
      </c>
      <c r="V484" s="4" t="s">
        <v>42</v>
      </c>
      <c r="W484" s="4">
        <f t="shared" si="7"/>
        <v>3</v>
      </c>
    </row>
    <row r="485" spans="1:23">
      <c r="A485" s="7" t="s">
        <v>2043</v>
      </c>
      <c r="B485" s="8" t="s">
        <v>104</v>
      </c>
      <c r="C485" s="8" t="s">
        <v>58</v>
      </c>
      <c r="D485" s="32" t="s">
        <v>2044</v>
      </c>
      <c r="E485" s="8" t="s">
        <v>1936</v>
      </c>
      <c r="F485" s="4" t="str">
        <f>PROPER(TRIM(Sales_data!F485))</f>
        <v>Kavya Nair</v>
      </c>
      <c r="G485" s="8" t="s">
        <v>32</v>
      </c>
      <c r="H485" s="70" t="s">
        <v>1086</v>
      </c>
      <c r="I485" s="8" t="s">
        <v>216</v>
      </c>
      <c r="J485" s="4" t="str">
        <f>PROPER(Sales_data!J485)</f>
        <v>South</v>
      </c>
      <c r="K485" s="4" t="str">
        <f>PROPER(Sales_data!K485)</f>
        <v>Electronics</v>
      </c>
      <c r="L485" s="8" t="s">
        <v>64</v>
      </c>
      <c r="M485" s="66">
        <v>20</v>
      </c>
      <c r="N485" s="8">
        <v>55000</v>
      </c>
      <c r="O485" s="8">
        <v>10</v>
      </c>
      <c r="P485" s="8">
        <v>990000</v>
      </c>
      <c r="Q485" s="8">
        <v>1</v>
      </c>
      <c r="R485" s="67" t="s">
        <v>92</v>
      </c>
      <c r="S485" s="8" t="s">
        <v>39</v>
      </c>
      <c r="T485" s="8" t="s">
        <v>148</v>
      </c>
      <c r="U485" s="9" t="s">
        <v>2045</v>
      </c>
      <c r="V485" s="8" t="s">
        <v>68</v>
      </c>
      <c r="W485" s="4">
        <f t="shared" si="7"/>
        <v>3</v>
      </c>
    </row>
    <row r="486" spans="1:23">
      <c r="A486" s="3" t="s">
        <v>2046</v>
      </c>
      <c r="B486" s="4" t="s">
        <v>255</v>
      </c>
      <c r="C486" s="4" t="s">
        <v>76</v>
      </c>
      <c r="D486" s="31" t="s">
        <v>535</v>
      </c>
      <c r="E486" s="4" t="s">
        <v>295</v>
      </c>
      <c r="F486" s="4" t="str">
        <f>PROPER(TRIM(Sales_data!F486))</f>
        <v>Amit Sharma</v>
      </c>
      <c r="G486" s="4" t="s">
        <v>32</v>
      </c>
      <c r="H486" s="69" t="s">
        <v>2047</v>
      </c>
      <c r="I486" s="4" t="s">
        <v>298</v>
      </c>
      <c r="J486" s="4" t="str">
        <f>PROPER(Sales_data!J486)</f>
        <v>West</v>
      </c>
      <c r="K486" s="4" t="str">
        <f>PROPER(Sales_data!K486)</f>
        <v>Electronics</v>
      </c>
      <c r="L486" s="4" t="s">
        <v>82</v>
      </c>
      <c r="M486" s="66">
        <v>8</v>
      </c>
      <c r="N486" s="4">
        <v>1200</v>
      </c>
      <c r="O486" s="4">
        <v>0</v>
      </c>
      <c r="P486" s="4">
        <v>9600</v>
      </c>
      <c r="Q486" s="4">
        <v>2</v>
      </c>
      <c r="R486" s="67" t="s">
        <v>52</v>
      </c>
      <c r="S486" s="4" t="s">
        <v>155</v>
      </c>
      <c r="T486" s="4" t="s">
        <v>260</v>
      </c>
      <c r="U486" s="6" t="s">
        <v>2048</v>
      </c>
      <c r="V486" s="4" t="s">
        <v>42</v>
      </c>
      <c r="W486" s="4">
        <f t="shared" si="7"/>
        <v>10</v>
      </c>
    </row>
    <row r="487" spans="1:23">
      <c r="A487" s="7" t="s">
        <v>2049</v>
      </c>
      <c r="B487" s="8" t="s">
        <v>57</v>
      </c>
      <c r="C487" s="8" t="s">
        <v>226</v>
      </c>
      <c r="D487" s="32" t="s">
        <v>2050</v>
      </c>
      <c r="E487" s="8" t="s">
        <v>1242</v>
      </c>
      <c r="F487" s="4" t="str">
        <f>PROPER(TRIM(Sales_data!F487))</f>
        <v>Priya Patel</v>
      </c>
      <c r="G487" s="8" t="s">
        <v>32</v>
      </c>
      <c r="H487" s="70" t="s">
        <v>2051</v>
      </c>
      <c r="I487" s="8" t="s">
        <v>298</v>
      </c>
      <c r="J487" s="4" t="str">
        <f>PROPER(Sales_data!J487)</f>
        <v>North</v>
      </c>
      <c r="K487" s="4" t="str">
        <f>PROPER(Sales_data!K487)</f>
        <v>Electronics</v>
      </c>
      <c r="L487" s="8" t="s">
        <v>231</v>
      </c>
      <c r="M487" s="66">
        <v>18</v>
      </c>
      <c r="N487" s="8">
        <v>20</v>
      </c>
      <c r="O487" s="8">
        <v>10</v>
      </c>
      <c r="P487" s="8">
        <v>324</v>
      </c>
      <c r="Q487" s="8">
        <v>5</v>
      </c>
      <c r="R487" s="67" t="s">
        <v>83</v>
      </c>
      <c r="S487" s="4" t="s">
        <v>2125</v>
      </c>
      <c r="T487" s="10" t="s">
        <v>2052</v>
      </c>
      <c r="U487" s="9" t="s">
        <v>2053</v>
      </c>
      <c r="V487" s="8" t="s">
        <v>68</v>
      </c>
      <c r="W487" s="4">
        <f t="shared" si="7"/>
        <v>5</v>
      </c>
    </row>
    <row r="488" spans="1:23">
      <c r="A488" s="3" t="s">
        <v>2054</v>
      </c>
      <c r="B488" s="4" t="s">
        <v>172</v>
      </c>
      <c r="C488" s="4" t="s">
        <v>44</v>
      </c>
      <c r="D488" s="31" t="s">
        <v>2055</v>
      </c>
      <c r="E488" s="4" t="s">
        <v>276</v>
      </c>
      <c r="F488" s="4" t="str">
        <f>PROPER(TRIM(Sales_data!F488))</f>
        <v>Sneha Joshi</v>
      </c>
      <c r="G488" s="4" t="s">
        <v>32</v>
      </c>
      <c r="H488" s="69" t="s">
        <v>2056</v>
      </c>
      <c r="I488" s="4" t="s">
        <v>118</v>
      </c>
      <c r="J488" s="4" t="str">
        <f>PROPER(Sales_data!J488)</f>
        <v>East</v>
      </c>
      <c r="K488" s="4" t="str">
        <f>PROPER(Sales_data!K488)</f>
        <v>Electronics</v>
      </c>
      <c r="L488" s="4" t="s">
        <v>51</v>
      </c>
      <c r="M488" s="66">
        <v>11</v>
      </c>
      <c r="N488" s="4">
        <v>12000</v>
      </c>
      <c r="O488" s="4">
        <v>10</v>
      </c>
      <c r="P488" s="4">
        <v>118800</v>
      </c>
      <c r="Q488" s="4">
        <v>1</v>
      </c>
      <c r="R488" s="67" t="s">
        <v>83</v>
      </c>
      <c r="S488" s="4" t="s">
        <v>53</v>
      </c>
      <c r="T488" s="4" t="s">
        <v>179</v>
      </c>
      <c r="U488" s="6" t="s">
        <v>2057</v>
      </c>
      <c r="V488" s="4" t="s">
        <v>73</v>
      </c>
      <c r="W488" s="4">
        <f t="shared" si="7"/>
        <v>2</v>
      </c>
    </row>
    <row r="489" spans="1:23">
      <c r="A489" s="7" t="s">
        <v>2058</v>
      </c>
      <c r="B489" s="8" t="s">
        <v>331</v>
      </c>
      <c r="C489" s="8" t="s">
        <v>173</v>
      </c>
      <c r="D489" s="32" t="s">
        <v>146</v>
      </c>
      <c r="E489" s="8" t="s">
        <v>1382</v>
      </c>
      <c r="F489" s="4" t="str">
        <f>PROPER(TRIM(Sales_data!F489))</f>
        <v>Pooja Shah</v>
      </c>
      <c r="G489" s="8" t="s">
        <v>80</v>
      </c>
      <c r="H489" s="70" t="s">
        <v>2059</v>
      </c>
      <c r="I489" s="8" t="s">
        <v>34</v>
      </c>
      <c r="J489" s="4" t="str">
        <f>PROPER(Sales_data!J489)</f>
        <v>East</v>
      </c>
      <c r="K489" s="4" t="str">
        <f>PROPER(Sales_data!K489)</f>
        <v>Stationery</v>
      </c>
      <c r="L489" s="8" t="s">
        <v>178</v>
      </c>
      <c r="M489" s="66">
        <v>2</v>
      </c>
      <c r="N489" s="8">
        <v>8500</v>
      </c>
      <c r="O489" s="8">
        <v>5</v>
      </c>
      <c r="P489" s="8">
        <v>16150</v>
      </c>
      <c r="Q489" s="8">
        <v>1</v>
      </c>
      <c r="R489" s="67" t="s">
        <v>83</v>
      </c>
      <c r="S489" s="8" t="s">
        <v>65</v>
      </c>
      <c r="T489" s="8" t="s">
        <v>336</v>
      </c>
      <c r="U489" s="9" t="s">
        <v>2060</v>
      </c>
      <c r="V489" s="8" t="s">
        <v>42</v>
      </c>
      <c r="W489" s="4">
        <f t="shared" si="7"/>
        <v>1</v>
      </c>
    </row>
    <row r="490" spans="1:23">
      <c r="A490" s="3" t="s">
        <v>2061</v>
      </c>
      <c r="B490" s="4" t="s">
        <v>104</v>
      </c>
      <c r="C490" s="4" t="s">
        <v>28</v>
      </c>
      <c r="D490" s="31" t="s">
        <v>332</v>
      </c>
      <c r="E490" s="4" t="s">
        <v>1511</v>
      </c>
      <c r="F490" s="4" t="str">
        <f>PROPER(TRIM(Sales_data!F490))</f>
        <v>Anita Gupta</v>
      </c>
      <c r="G490" s="4" t="s">
        <v>32</v>
      </c>
      <c r="H490" s="69" t="s">
        <v>2063</v>
      </c>
      <c r="I490" s="4" t="s">
        <v>118</v>
      </c>
      <c r="J490" s="4" t="str">
        <f>PROPER(Sales_data!J490)</f>
        <v>West</v>
      </c>
      <c r="K490" s="4" t="str">
        <f>PROPER(Sales_data!K490)</f>
        <v>Electronics</v>
      </c>
      <c r="L490" s="4" t="s">
        <v>37</v>
      </c>
      <c r="M490" s="66">
        <v>7</v>
      </c>
      <c r="N490" s="4">
        <v>2200</v>
      </c>
      <c r="O490" s="4">
        <v>0</v>
      </c>
      <c r="P490" s="4">
        <v>15400</v>
      </c>
      <c r="Q490" s="4">
        <v>5</v>
      </c>
      <c r="R490" s="67" t="s">
        <v>52</v>
      </c>
      <c r="S490" s="4" t="s">
        <v>39</v>
      </c>
      <c r="T490" s="4" t="s">
        <v>148</v>
      </c>
      <c r="U490" s="6" t="s">
        <v>2064</v>
      </c>
      <c r="V490" s="4" t="s">
        <v>68</v>
      </c>
      <c r="W490" s="4">
        <f t="shared" si="7"/>
        <v>3</v>
      </c>
    </row>
    <row r="491" spans="1:23">
      <c r="A491" s="7" t="s">
        <v>2065</v>
      </c>
      <c r="B491" s="8" t="s">
        <v>87</v>
      </c>
      <c r="C491" s="8" t="s">
        <v>173</v>
      </c>
      <c r="D491" s="32" t="s">
        <v>1920</v>
      </c>
      <c r="E491" s="8" t="s">
        <v>1102</v>
      </c>
      <c r="F491" s="4" t="str">
        <f>PROPER(TRIM(Sales_data!F491))</f>
        <v>Amit Sharma</v>
      </c>
      <c r="G491" s="8" t="s">
        <v>80</v>
      </c>
      <c r="H491" s="70" t="s">
        <v>2066</v>
      </c>
      <c r="I491" s="8" t="s">
        <v>48</v>
      </c>
      <c r="J491" s="4" t="str">
        <f>PROPER(Sales_data!J491)</f>
        <v>South</v>
      </c>
      <c r="K491" s="4" t="str">
        <f>PROPER(Sales_data!K491)</f>
        <v>Home Appliances</v>
      </c>
      <c r="L491" s="8" t="s">
        <v>178</v>
      </c>
      <c r="M491" s="66">
        <v>20</v>
      </c>
      <c r="N491" s="8">
        <v>8500</v>
      </c>
      <c r="O491" s="8">
        <v>0</v>
      </c>
      <c r="P491" s="8">
        <v>170000</v>
      </c>
      <c r="Q491" s="8">
        <v>3</v>
      </c>
      <c r="R491" s="67" t="s">
        <v>52</v>
      </c>
      <c r="S491" s="8" t="s">
        <v>53</v>
      </c>
      <c r="T491" s="8" t="s">
        <v>93</v>
      </c>
      <c r="U491" s="9" t="s">
        <v>2067</v>
      </c>
      <c r="V491" s="8" t="s">
        <v>42</v>
      </c>
      <c r="W491" s="4">
        <f t="shared" si="7"/>
        <v>4</v>
      </c>
    </row>
    <row r="492" spans="1:23">
      <c r="A492" s="3" t="s">
        <v>2068</v>
      </c>
      <c r="B492" s="4" t="s">
        <v>131</v>
      </c>
      <c r="C492" s="4" t="s">
        <v>76</v>
      </c>
      <c r="D492" s="31" t="s">
        <v>1110</v>
      </c>
      <c r="E492" s="4" t="s">
        <v>843</v>
      </c>
      <c r="F492" s="4" t="str">
        <f>PROPER(TRIM(Sales_data!F492))</f>
        <v>Priya Patel</v>
      </c>
      <c r="G492" s="4" t="s">
        <v>80</v>
      </c>
      <c r="H492" s="69" t="s">
        <v>2070</v>
      </c>
      <c r="I492" s="4" t="s">
        <v>34</v>
      </c>
      <c r="J492" s="4" t="str">
        <f>PROPER(Sales_data!J492)</f>
        <v>West</v>
      </c>
      <c r="K492" s="4" t="str">
        <f>PROPER(Sales_data!K492)</f>
        <v>Home Appliances</v>
      </c>
      <c r="L492" s="4" t="s">
        <v>82</v>
      </c>
      <c r="M492" s="66">
        <v>11</v>
      </c>
      <c r="N492" s="4">
        <v>1200</v>
      </c>
      <c r="O492" s="4">
        <v>5</v>
      </c>
      <c r="P492" s="4">
        <v>12540</v>
      </c>
      <c r="Q492" s="4">
        <v>2</v>
      </c>
      <c r="R492" s="67" t="s">
        <v>38</v>
      </c>
      <c r="S492" s="4" t="s">
        <v>39</v>
      </c>
      <c r="T492" s="4" t="s">
        <v>136</v>
      </c>
      <c r="U492" s="6" t="s">
        <v>2071</v>
      </c>
      <c r="V492" s="4" t="s">
        <v>68</v>
      </c>
      <c r="W492" s="4">
        <f t="shared" si="7"/>
        <v>7</v>
      </c>
    </row>
    <row r="493" spans="1:23">
      <c r="A493" s="7" t="s">
        <v>2072</v>
      </c>
      <c r="B493" s="8" t="s">
        <v>87</v>
      </c>
      <c r="C493" s="8" t="s">
        <v>188</v>
      </c>
      <c r="D493" s="32" t="s">
        <v>843</v>
      </c>
      <c r="E493" s="8" t="s">
        <v>760</v>
      </c>
      <c r="F493" s="4" t="str">
        <f>PROPER(TRIM(Sales_data!F493))</f>
        <v>Arjun Rao</v>
      </c>
      <c r="G493" s="8" t="s">
        <v>80</v>
      </c>
      <c r="H493" s="70" t="s">
        <v>2073</v>
      </c>
      <c r="I493" s="8" t="s">
        <v>142</v>
      </c>
      <c r="J493" s="4" t="str">
        <f>PROPER(Sales_data!J493)</f>
        <v>North</v>
      </c>
      <c r="K493" s="4" t="str">
        <f>PROPER(Sales_data!K493)</f>
        <v>Home Appliances</v>
      </c>
      <c r="L493" s="8" t="s">
        <v>193</v>
      </c>
      <c r="M493" s="66">
        <v>14</v>
      </c>
      <c r="N493" s="8">
        <v>700</v>
      </c>
      <c r="O493" s="8">
        <v>0</v>
      </c>
      <c r="P493" s="8">
        <v>9800</v>
      </c>
      <c r="Q493" s="8">
        <v>2</v>
      </c>
      <c r="R493" s="67" t="s">
        <v>83</v>
      </c>
      <c r="S493" s="8" t="s">
        <v>155</v>
      </c>
      <c r="T493" s="8" t="s">
        <v>93</v>
      </c>
      <c r="U493" s="9" t="s">
        <v>2074</v>
      </c>
      <c r="V493" s="8" t="s">
        <v>73</v>
      </c>
      <c r="W493" s="4">
        <f t="shared" si="7"/>
        <v>7</v>
      </c>
    </row>
    <row r="494" spans="1:23">
      <c r="A494" s="3" t="s">
        <v>2075</v>
      </c>
      <c r="B494" s="4" t="s">
        <v>75</v>
      </c>
      <c r="C494" s="4" t="s">
        <v>76</v>
      </c>
      <c r="D494" s="31" t="s">
        <v>797</v>
      </c>
      <c r="E494" s="4" t="s">
        <v>1654</v>
      </c>
      <c r="F494" s="4" t="str">
        <f>PROPER(TRIM(Sales_data!F494))</f>
        <v>Rohit Singh</v>
      </c>
      <c r="G494" s="4" t="s">
        <v>80</v>
      </c>
      <c r="H494" s="69" t="s">
        <v>2076</v>
      </c>
      <c r="I494" s="4" t="s">
        <v>118</v>
      </c>
      <c r="J494" s="4" t="str">
        <f>PROPER(Sales_data!J494)</f>
        <v>South</v>
      </c>
      <c r="K494" s="4" t="str">
        <f>PROPER(Sales_data!K494)</f>
        <v>Electronics</v>
      </c>
      <c r="L494" s="4" t="s">
        <v>82</v>
      </c>
      <c r="M494" s="66">
        <v>16</v>
      </c>
      <c r="N494" s="4">
        <v>1200</v>
      </c>
      <c r="O494" s="4">
        <v>15</v>
      </c>
      <c r="P494" s="4">
        <v>16320</v>
      </c>
      <c r="Q494" s="4">
        <v>4</v>
      </c>
      <c r="R494" s="67" t="s">
        <v>38</v>
      </c>
      <c r="S494" s="4" t="s">
        <v>155</v>
      </c>
      <c r="T494" s="4" t="s">
        <v>84</v>
      </c>
      <c r="U494" s="6" t="s">
        <v>2077</v>
      </c>
      <c r="V494" s="4" t="s">
        <v>68</v>
      </c>
      <c r="W494" s="4">
        <f t="shared" si="7"/>
        <v>10</v>
      </c>
    </row>
    <row r="495" spans="1:23">
      <c r="A495" s="7" t="s">
        <v>2078</v>
      </c>
      <c r="B495" s="8" t="s">
        <v>172</v>
      </c>
      <c r="C495" s="8" t="s">
        <v>28</v>
      </c>
      <c r="D495" s="32" t="s">
        <v>497</v>
      </c>
      <c r="E495" s="8" t="s">
        <v>1936</v>
      </c>
      <c r="F495" s="4" t="str">
        <f>PROPER(TRIM(Sales_data!F495))</f>
        <v>Arjun Rao</v>
      </c>
      <c r="G495" s="8" t="s">
        <v>32</v>
      </c>
      <c r="H495" s="70" t="s">
        <v>2080</v>
      </c>
      <c r="I495" s="8" t="s">
        <v>216</v>
      </c>
      <c r="J495" s="4" t="str">
        <f>PROPER(Sales_data!J495)</f>
        <v>West</v>
      </c>
      <c r="K495" s="4" t="str">
        <f>PROPER(Sales_data!K495)</f>
        <v>Electronics</v>
      </c>
      <c r="L495" s="8" t="s">
        <v>37</v>
      </c>
      <c r="M495" s="66">
        <v>20</v>
      </c>
      <c r="N495" s="8">
        <v>2200</v>
      </c>
      <c r="O495" s="8">
        <v>0</v>
      </c>
      <c r="P495" s="8">
        <v>44000</v>
      </c>
      <c r="Q495" s="8">
        <v>5</v>
      </c>
      <c r="R495" s="67" t="s">
        <v>38</v>
      </c>
      <c r="S495" s="8" t="s">
        <v>39</v>
      </c>
      <c r="T495" s="8" t="s">
        <v>179</v>
      </c>
      <c r="U495" s="9" t="s">
        <v>2081</v>
      </c>
      <c r="V495" s="8" t="s">
        <v>73</v>
      </c>
      <c r="W495" s="4">
        <f t="shared" si="7"/>
        <v>3</v>
      </c>
    </row>
    <row r="496" spans="1:23">
      <c r="A496" s="3" t="s">
        <v>2082</v>
      </c>
      <c r="B496" s="4" t="s">
        <v>87</v>
      </c>
      <c r="C496" s="4" t="s">
        <v>44</v>
      </c>
      <c r="D496" s="31" t="s">
        <v>2055</v>
      </c>
      <c r="E496" s="4" t="s">
        <v>276</v>
      </c>
      <c r="F496" s="4" t="str">
        <f>PROPER(TRIM(Sales_data!F496))</f>
        <v>Mohit Verma</v>
      </c>
      <c r="G496" s="4" t="s">
        <v>80</v>
      </c>
      <c r="H496" s="69" t="s">
        <v>2083</v>
      </c>
      <c r="I496" s="4" t="s">
        <v>216</v>
      </c>
      <c r="J496" s="4" t="str">
        <f>PROPER(Sales_data!J496)</f>
        <v>West</v>
      </c>
      <c r="K496" s="4" t="str">
        <f>PROPER(Sales_data!K496)</f>
        <v>Electronics</v>
      </c>
      <c r="L496" s="4" t="s">
        <v>51</v>
      </c>
      <c r="M496" s="66">
        <v>12</v>
      </c>
      <c r="N496" s="4">
        <v>12000</v>
      </c>
      <c r="O496" s="4">
        <v>15</v>
      </c>
      <c r="P496" s="4">
        <v>122400</v>
      </c>
      <c r="Q496" s="4">
        <v>5</v>
      </c>
      <c r="R496" s="67" t="s">
        <v>38</v>
      </c>
      <c r="S496" s="4" t="s">
        <v>155</v>
      </c>
      <c r="T496" s="4" t="s">
        <v>93</v>
      </c>
      <c r="U496" s="6" t="s">
        <v>2084</v>
      </c>
      <c r="V496" s="4" t="s">
        <v>42</v>
      </c>
      <c r="W496" s="4">
        <f t="shared" si="7"/>
        <v>2</v>
      </c>
    </row>
    <row r="497" spans="1:23">
      <c r="A497" s="7" t="s">
        <v>2085</v>
      </c>
      <c r="B497" s="8" t="s">
        <v>225</v>
      </c>
      <c r="C497" s="8" t="s">
        <v>76</v>
      </c>
      <c r="D497" s="32" t="s">
        <v>614</v>
      </c>
      <c r="E497" s="8" t="s">
        <v>615</v>
      </c>
      <c r="F497" s="4" t="str">
        <f>PROPER(TRIM(Sales_data!F497))</f>
        <v>Anita Gupta</v>
      </c>
      <c r="G497" s="8" t="s">
        <v>80</v>
      </c>
      <c r="H497" s="70" t="s">
        <v>2086</v>
      </c>
      <c r="I497" s="8" t="s">
        <v>48</v>
      </c>
      <c r="J497" s="4" t="str">
        <f>PROPER(Sales_data!J497)</f>
        <v>North</v>
      </c>
      <c r="K497" s="4" t="str">
        <f>PROPER(Sales_data!K497)</f>
        <v>Home Appliances</v>
      </c>
      <c r="L497" s="8" t="s">
        <v>82</v>
      </c>
      <c r="M497" s="66">
        <v>3</v>
      </c>
      <c r="N497" s="8">
        <v>1200</v>
      </c>
      <c r="O497" s="8">
        <v>20</v>
      </c>
      <c r="P497" s="8">
        <v>2880</v>
      </c>
      <c r="Q497" s="8">
        <v>2</v>
      </c>
      <c r="R497" s="67" t="s">
        <v>52</v>
      </c>
      <c r="S497" s="8" t="s">
        <v>119</v>
      </c>
      <c r="T497" s="8" t="s">
        <v>911</v>
      </c>
      <c r="U497" s="9" t="s">
        <v>2087</v>
      </c>
      <c r="V497" s="8" t="s">
        <v>68</v>
      </c>
      <c r="W497" s="4">
        <f t="shared" si="7"/>
        <v>12</v>
      </c>
    </row>
    <row r="498" spans="1:23">
      <c r="A498" s="3" t="s">
        <v>2088</v>
      </c>
      <c r="B498" s="4" t="s">
        <v>104</v>
      </c>
      <c r="C498" s="4" t="s">
        <v>58</v>
      </c>
      <c r="D498" s="31" t="s">
        <v>280</v>
      </c>
      <c r="E498" s="4" t="s">
        <v>2089</v>
      </c>
      <c r="F498" s="4" t="str">
        <f>PROPER(TRIM(Sales_data!F498))</f>
        <v>Arjun Rao</v>
      </c>
      <c r="G498" s="4" t="s">
        <v>32</v>
      </c>
      <c r="H498" s="69" t="s">
        <v>2090</v>
      </c>
      <c r="I498" s="4" t="s">
        <v>109</v>
      </c>
      <c r="J498" s="4" t="str">
        <f>PROPER(Sales_data!J498)</f>
        <v>North</v>
      </c>
      <c r="K498" s="4" t="str">
        <f>PROPER(Sales_data!K498)</f>
        <v>Electronics</v>
      </c>
      <c r="L498" s="4" t="s">
        <v>2091</v>
      </c>
      <c r="M498" s="66">
        <v>6</v>
      </c>
      <c r="N498" s="4">
        <v>55000</v>
      </c>
      <c r="O498" s="4">
        <v>20</v>
      </c>
      <c r="P498" s="4">
        <v>264000</v>
      </c>
      <c r="Q498" s="4">
        <v>3</v>
      </c>
      <c r="R498" s="67" t="s">
        <v>38</v>
      </c>
      <c r="S498" s="4" t="s">
        <v>155</v>
      </c>
      <c r="T498" s="4" t="s">
        <v>148</v>
      </c>
      <c r="U498" s="6" t="s">
        <v>2092</v>
      </c>
      <c r="V498" s="4" t="s">
        <v>42</v>
      </c>
      <c r="W498" s="4">
        <f t="shared" si="7"/>
        <v>7</v>
      </c>
    </row>
    <row r="499" spans="1:23">
      <c r="A499" s="7" t="s">
        <v>2093</v>
      </c>
      <c r="B499" s="8" t="s">
        <v>104</v>
      </c>
      <c r="C499" s="8" t="s">
        <v>96</v>
      </c>
      <c r="D499" s="32" t="s">
        <v>2094</v>
      </c>
      <c r="E499" s="8" t="s">
        <v>133</v>
      </c>
      <c r="F499" s="4" t="str">
        <f>PROPER(TRIM(Sales_data!F499))</f>
        <v>Vikas Mehta</v>
      </c>
      <c r="G499" s="8" t="s">
        <v>32</v>
      </c>
      <c r="H499" s="70" t="s">
        <v>2095</v>
      </c>
      <c r="I499" s="8" t="s">
        <v>63</v>
      </c>
      <c r="J499" s="4" t="str">
        <f>PROPER(Sales_data!J499)</f>
        <v>North</v>
      </c>
      <c r="K499" s="4" t="str">
        <f>PROPER(Sales_data!K499)</f>
        <v>Electronics</v>
      </c>
      <c r="L499" s="8" t="s">
        <v>101</v>
      </c>
      <c r="M499" s="66">
        <v>20</v>
      </c>
      <c r="N499" s="8">
        <v>3500</v>
      </c>
      <c r="O499" s="8">
        <v>0</v>
      </c>
      <c r="P499" s="8">
        <v>70000</v>
      </c>
      <c r="Q499" s="8">
        <v>1</v>
      </c>
      <c r="R499" s="67" t="s">
        <v>52</v>
      </c>
      <c r="S499" s="8" t="s">
        <v>155</v>
      </c>
      <c r="T499" s="8" t="s">
        <v>148</v>
      </c>
      <c r="U499" s="9" t="s">
        <v>2096</v>
      </c>
      <c r="V499" s="8" t="s">
        <v>68</v>
      </c>
      <c r="W499" s="4">
        <f t="shared" si="7"/>
        <v>9</v>
      </c>
    </row>
  </sheetData>
  <conditionalFormatting sqref="O2:O499">
    <cfRule type="cellIs" dxfId="4" priority="1" operator="greaterThan">
      <formula>20</formula>
    </cfRule>
  </conditionalFormatting>
  <dataValidations count="2">
    <dataValidation type="whole" allowBlank="1" showInputMessage="1" showErrorMessage="1" sqref="M2:M499">
      <formula1>1</formula1>
      <formula2>20</formula2>
    </dataValidation>
    <dataValidation type="list" allowBlank="1" showInputMessage="1" showErrorMessage="1" sqref="R2:R499">
      <formula1>"UPI, Cash, Card, NetBanking"</formula1>
    </dataValidation>
  </dataValidations>
  <hyperlinks>
    <hyperlink ref="T2" r:id="rId1"/>
    <hyperlink ref="T8" r:id="rId2"/>
    <hyperlink ref="T10" r:id="rId3"/>
    <hyperlink ref="T15" r:id="rId4"/>
    <hyperlink ref="T14" r:id="rId5"/>
    <hyperlink ref="T19" r:id="rId6"/>
    <hyperlink ref="T60" r:id="rId7"/>
    <hyperlink ref="T71" r:id="rId8"/>
    <hyperlink ref="T292" r:id="rId9"/>
    <hyperlink ref="T487" r:id="rId10"/>
    <hyperlink ref="T477" r:id="rId11"/>
    <hyperlink ref="T461" r:id="rId12"/>
    <hyperlink ref="T448" r:id="rId1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G30"/>
  <sheetViews>
    <sheetView tabSelected="1" workbookViewId="0">
      <selection activeCell="D21" sqref="D21"/>
    </sheetView>
  </sheetViews>
  <sheetFormatPr defaultRowHeight="14.25"/>
  <cols>
    <col min="4" max="4" width="35.625" bestFit="1" customWidth="1"/>
    <col min="5" max="6" width="4.625" customWidth="1"/>
    <col min="7" max="7" width="11.375" bestFit="1" customWidth="1"/>
    <col min="8" max="8" width="12.375" customWidth="1"/>
    <col min="9" max="19" width="3.25" bestFit="1" customWidth="1"/>
    <col min="20" max="20" width="5.125" bestFit="1" customWidth="1"/>
    <col min="21" max="22" width="3.25" bestFit="1" customWidth="1"/>
    <col min="23" max="23" width="5.125" bestFit="1" customWidth="1"/>
    <col min="24" max="24" width="3.25" bestFit="1" customWidth="1"/>
    <col min="25" max="27" width="4.375" bestFit="1" customWidth="1"/>
    <col min="28" max="28" width="4.375" customWidth="1"/>
    <col min="29" max="29" width="4.375" bestFit="1" customWidth="1"/>
    <col min="30" max="30" width="15.25" customWidth="1"/>
    <col min="31" max="31" width="12.375" customWidth="1"/>
    <col min="32" max="43" width="4.375" bestFit="1" customWidth="1"/>
    <col min="44" max="44" width="22" customWidth="1"/>
    <col min="45" max="45" width="12.375" customWidth="1"/>
    <col min="46" max="47" width="4.375" bestFit="1" customWidth="1"/>
    <col min="48" max="48" width="7.125" bestFit="1" customWidth="1"/>
    <col min="49" max="50" width="4.375" bestFit="1" customWidth="1"/>
    <col min="51" max="51" width="6.125" bestFit="1" customWidth="1"/>
    <col min="52" max="52" width="7.125" bestFit="1" customWidth="1"/>
    <col min="53" max="56" width="4.375" bestFit="1" customWidth="1"/>
    <col min="57" max="57" width="6.125" bestFit="1" customWidth="1"/>
    <col min="58" max="62" width="4.375" bestFit="1" customWidth="1"/>
    <col min="63" max="63" width="7.125" bestFit="1" customWidth="1"/>
    <col min="64" max="72" width="4.375" bestFit="1" customWidth="1"/>
    <col min="73" max="73" width="6.125" bestFit="1" customWidth="1"/>
    <col min="74" max="74" width="7.125" bestFit="1" customWidth="1"/>
    <col min="75" max="76" width="4.375" bestFit="1" customWidth="1"/>
    <col min="77" max="77" width="7.125" bestFit="1" customWidth="1"/>
    <col min="78" max="79" width="4.375" bestFit="1" customWidth="1"/>
    <col min="80" max="81" width="7.125" bestFit="1" customWidth="1"/>
    <col min="82" max="82" width="4.375" bestFit="1" customWidth="1"/>
    <col min="83" max="83" width="6.125" bestFit="1" customWidth="1"/>
    <col min="84" max="86" width="4.375" bestFit="1" customWidth="1"/>
    <col min="87" max="87" width="6.125" bestFit="1" customWidth="1"/>
    <col min="88" max="89" width="4.375" bestFit="1" customWidth="1"/>
    <col min="90" max="90" width="7.125" bestFit="1" customWidth="1"/>
    <col min="91" max="97" width="4.375" bestFit="1" customWidth="1"/>
    <col min="98" max="98" width="7.125" bestFit="1" customWidth="1"/>
    <col min="99" max="101" width="4.375" bestFit="1" customWidth="1"/>
    <col min="102" max="102" width="6.125" bestFit="1" customWidth="1"/>
    <col min="103" max="109" width="4.375" bestFit="1" customWidth="1"/>
    <col min="110" max="173" width="5.375" bestFit="1" customWidth="1"/>
    <col min="174" max="297" width="6.625" bestFit="1" customWidth="1"/>
    <col min="298" max="351" width="7.75" bestFit="1" customWidth="1"/>
    <col min="352" max="352" width="8.75" bestFit="1" customWidth="1"/>
    <col min="353" max="353" width="7.375" bestFit="1" customWidth="1"/>
    <col min="354" max="354" width="11.375" bestFit="1" customWidth="1"/>
  </cols>
  <sheetData>
    <row r="1" spans="2:59" ht="15" thickBot="1"/>
    <row r="2" spans="2:59">
      <c r="B2" s="148" t="s">
        <v>2126</v>
      </c>
      <c r="C2" s="149"/>
      <c r="D2" s="152">
        <f>SUM('Q9)Cleaned_Data'!P2:P499)</f>
        <v>34745967.5</v>
      </c>
      <c r="E2" s="72"/>
      <c r="F2" s="72"/>
      <c r="G2" s="75" t="s">
        <v>9</v>
      </c>
      <c r="H2" s="77" t="s">
        <v>2127</v>
      </c>
      <c r="I2" s="76"/>
      <c r="J2" s="76"/>
      <c r="K2" s="76"/>
      <c r="L2" s="76"/>
      <c r="M2" s="76"/>
      <c r="N2" s="76"/>
      <c r="O2" s="76"/>
      <c r="P2" s="76"/>
      <c r="Q2" s="76"/>
      <c r="R2" s="76"/>
      <c r="S2" s="76"/>
      <c r="T2" s="76"/>
      <c r="U2" s="76"/>
      <c r="V2" s="76"/>
      <c r="W2" s="76"/>
      <c r="X2" s="76"/>
      <c r="Y2" s="76"/>
      <c r="Z2" s="76"/>
      <c r="AA2" s="77"/>
      <c r="AB2" s="29"/>
      <c r="AD2" s="75" t="s">
        <v>10</v>
      </c>
      <c r="AE2" s="77" t="s">
        <v>2127</v>
      </c>
      <c r="AF2" s="76"/>
      <c r="AG2" s="76"/>
      <c r="AH2" s="76"/>
      <c r="AI2" s="76"/>
      <c r="AJ2" s="76"/>
      <c r="AK2" s="76"/>
      <c r="AL2" s="76"/>
      <c r="AM2" s="76"/>
      <c r="AN2" s="76"/>
      <c r="AO2" s="76"/>
      <c r="AP2" s="77"/>
      <c r="AR2" s="75" t="s">
        <v>2124</v>
      </c>
      <c r="AS2" s="77" t="s">
        <v>2127</v>
      </c>
      <c r="AT2" s="76"/>
      <c r="AU2" s="76"/>
      <c r="AV2" s="76"/>
      <c r="AW2" s="76"/>
      <c r="AX2" s="76"/>
      <c r="AY2" s="76"/>
      <c r="AZ2" s="76"/>
      <c r="BA2" s="76"/>
      <c r="BB2" s="76"/>
      <c r="BC2" s="76"/>
      <c r="BD2" s="76"/>
      <c r="BE2" s="76"/>
      <c r="BF2" s="76"/>
      <c r="BG2" s="77"/>
    </row>
    <row r="3" spans="2:59">
      <c r="B3" s="150"/>
      <c r="C3" s="151"/>
      <c r="D3" s="153"/>
      <c r="E3" s="72"/>
      <c r="F3" s="72"/>
      <c r="G3" s="73" t="s">
        <v>299</v>
      </c>
      <c r="H3" s="81">
        <v>4265310</v>
      </c>
      <c r="I3" s="29"/>
      <c r="J3" s="29"/>
      <c r="K3" s="29"/>
      <c r="L3" s="29"/>
      <c r="M3" s="29"/>
      <c r="N3" s="29"/>
      <c r="O3" s="29"/>
      <c r="P3" s="29"/>
      <c r="Q3" s="29"/>
      <c r="R3" s="29"/>
      <c r="S3" s="29"/>
      <c r="T3" s="29"/>
      <c r="U3" s="29"/>
      <c r="V3" s="29"/>
      <c r="W3" s="29"/>
      <c r="X3" s="29"/>
      <c r="Y3" s="29"/>
      <c r="Z3" s="29"/>
      <c r="AA3" s="74"/>
      <c r="AB3" s="29"/>
      <c r="AD3" s="73" t="s">
        <v>50</v>
      </c>
      <c r="AE3" s="81">
        <v>14155490.25</v>
      </c>
      <c r="AF3" s="29"/>
      <c r="AG3" s="29"/>
      <c r="AH3" s="29"/>
      <c r="AI3" s="29"/>
      <c r="AJ3" s="29"/>
      <c r="AK3" s="29"/>
      <c r="AL3" s="29"/>
      <c r="AM3" s="29"/>
      <c r="AN3" s="29"/>
      <c r="AO3" s="29"/>
      <c r="AP3" s="74"/>
      <c r="AR3" s="73">
        <v>1</v>
      </c>
      <c r="AS3" s="81">
        <v>4579197.5</v>
      </c>
      <c r="AT3" s="29"/>
      <c r="AU3" s="29"/>
      <c r="AV3" s="29"/>
      <c r="AW3" s="29"/>
      <c r="AX3" s="29"/>
      <c r="AY3" s="29"/>
      <c r="AZ3" s="29"/>
      <c r="BA3" s="29"/>
      <c r="BB3" s="29"/>
      <c r="BC3" s="29"/>
      <c r="BD3" s="29"/>
      <c r="BE3" s="29"/>
      <c r="BF3" s="29"/>
      <c r="BG3" s="74"/>
    </row>
    <row r="4" spans="2:59">
      <c r="B4" s="73"/>
      <c r="C4" s="29"/>
      <c r="D4" s="74"/>
      <c r="G4" s="73" t="s">
        <v>49</v>
      </c>
      <c r="H4" s="81">
        <v>9975761.75</v>
      </c>
      <c r="I4" s="29"/>
      <c r="J4" s="29"/>
      <c r="K4" s="29"/>
      <c r="L4" s="29"/>
      <c r="M4" s="29"/>
      <c r="N4" s="29"/>
      <c r="O4" s="29"/>
      <c r="P4" s="29"/>
      <c r="Q4" s="29"/>
      <c r="R4" s="29"/>
      <c r="S4" s="29"/>
      <c r="T4" s="29"/>
      <c r="U4" s="29"/>
      <c r="V4" s="29"/>
      <c r="W4" s="29"/>
      <c r="X4" s="29"/>
      <c r="Y4" s="29"/>
      <c r="Z4" s="29"/>
      <c r="AA4" s="74"/>
      <c r="AB4" s="29"/>
      <c r="AD4" s="73" t="s">
        <v>36</v>
      </c>
      <c r="AE4" s="81">
        <v>8724436</v>
      </c>
      <c r="AF4" s="29"/>
      <c r="AG4" s="29"/>
      <c r="AH4" s="29"/>
      <c r="AI4" s="29"/>
      <c r="AJ4" s="29"/>
      <c r="AK4" s="29"/>
      <c r="AL4" s="29"/>
      <c r="AM4" s="29"/>
      <c r="AN4" s="29"/>
      <c r="AO4" s="29"/>
      <c r="AP4" s="74"/>
      <c r="AR4" s="73">
        <v>2</v>
      </c>
      <c r="AS4" s="81">
        <v>4362197.25</v>
      </c>
      <c r="AT4" s="29"/>
      <c r="AU4" s="29"/>
      <c r="AV4" s="29"/>
      <c r="AW4" s="29"/>
      <c r="AX4" s="29"/>
      <c r="AY4" s="29"/>
      <c r="AZ4" s="29"/>
      <c r="BA4" s="29"/>
      <c r="BB4" s="29"/>
      <c r="BC4" s="29"/>
      <c r="BD4" s="29"/>
      <c r="BE4" s="29"/>
      <c r="BF4" s="29"/>
      <c r="BG4" s="74"/>
    </row>
    <row r="5" spans="2:59">
      <c r="B5" s="154" t="s">
        <v>2128</v>
      </c>
      <c r="C5" s="155"/>
      <c r="D5" s="156">
        <f>COUNTA('Q9)Cleaned_Data'!A2:A499)</f>
        <v>498</v>
      </c>
      <c r="E5" s="72"/>
      <c r="F5" s="72"/>
      <c r="G5" s="73" t="s">
        <v>35</v>
      </c>
      <c r="H5" s="81">
        <v>6982841</v>
      </c>
      <c r="I5" s="29"/>
      <c r="J5" s="29"/>
      <c r="K5" s="29"/>
      <c r="L5" s="29"/>
      <c r="M5" s="29"/>
      <c r="N5" s="29"/>
      <c r="O5" s="29"/>
      <c r="P5" s="29"/>
      <c r="Q5" s="29"/>
      <c r="R5" s="29"/>
      <c r="S5" s="29"/>
      <c r="T5" s="29"/>
      <c r="U5" s="29"/>
      <c r="V5" s="29"/>
      <c r="W5" s="29"/>
      <c r="X5" s="29"/>
      <c r="Y5" s="29"/>
      <c r="Z5" s="29"/>
      <c r="AA5" s="74"/>
      <c r="AB5" s="29"/>
      <c r="AD5" s="73" t="s">
        <v>1011</v>
      </c>
      <c r="AE5" s="81">
        <v>18360</v>
      </c>
      <c r="AF5" s="29"/>
      <c r="AG5" s="29"/>
      <c r="AH5" s="29"/>
      <c r="AI5" s="29"/>
      <c r="AJ5" s="29"/>
      <c r="AK5" s="29"/>
      <c r="AL5" s="29"/>
      <c r="AM5" s="29"/>
      <c r="AN5" s="29"/>
      <c r="AO5" s="29"/>
      <c r="AP5" s="74"/>
      <c r="AR5" s="73">
        <v>3</v>
      </c>
      <c r="AS5" s="81">
        <v>3640969.75</v>
      </c>
      <c r="AT5" s="29"/>
      <c r="AU5" s="29"/>
      <c r="AV5" s="29"/>
      <c r="AW5" s="29"/>
      <c r="AX5" s="29"/>
      <c r="AY5" s="29"/>
      <c r="AZ5" s="29"/>
      <c r="BA5" s="29"/>
      <c r="BB5" s="29"/>
      <c r="BC5" s="29"/>
      <c r="BD5" s="29"/>
      <c r="BE5" s="29"/>
      <c r="BF5" s="29"/>
      <c r="BG5" s="74"/>
    </row>
    <row r="6" spans="2:59">
      <c r="B6" s="154"/>
      <c r="C6" s="155"/>
      <c r="D6" s="156"/>
      <c r="E6" s="72"/>
      <c r="F6" s="72"/>
      <c r="G6" s="73" t="s">
        <v>110</v>
      </c>
      <c r="H6" s="81">
        <v>13522054.75</v>
      </c>
      <c r="I6" s="29"/>
      <c r="J6" s="29"/>
      <c r="K6" s="29"/>
      <c r="L6" s="29"/>
      <c r="M6" s="29"/>
      <c r="N6" s="29"/>
      <c r="O6" s="29"/>
      <c r="P6" s="29"/>
      <c r="Q6" s="29"/>
      <c r="R6" s="29"/>
      <c r="S6" s="29"/>
      <c r="T6" s="29"/>
      <c r="U6" s="29"/>
      <c r="V6" s="29"/>
      <c r="W6" s="29"/>
      <c r="X6" s="29"/>
      <c r="Y6" s="29"/>
      <c r="Z6" s="29"/>
      <c r="AA6" s="74"/>
      <c r="AB6" s="29"/>
      <c r="AD6" s="73" t="s">
        <v>126</v>
      </c>
      <c r="AE6" s="81">
        <v>11847681.25</v>
      </c>
      <c r="AF6" s="29"/>
      <c r="AG6" s="29"/>
      <c r="AH6" s="29"/>
      <c r="AI6" s="29"/>
      <c r="AJ6" s="29"/>
      <c r="AK6" s="29"/>
      <c r="AL6" s="29"/>
      <c r="AM6" s="29"/>
      <c r="AN6" s="29"/>
      <c r="AO6" s="29"/>
      <c r="AP6" s="74"/>
      <c r="AR6" s="73">
        <v>4</v>
      </c>
      <c r="AS6" s="81">
        <v>5689717.75</v>
      </c>
      <c r="AT6" s="29"/>
      <c r="AU6" s="29"/>
      <c r="AV6" s="29"/>
      <c r="AW6" s="29"/>
      <c r="AX6" s="29"/>
      <c r="AY6" s="29"/>
      <c r="AZ6" s="29"/>
      <c r="BA6" s="29"/>
      <c r="BB6" s="29"/>
      <c r="BC6" s="29"/>
      <c r="BD6" s="29"/>
      <c r="BE6" s="29"/>
      <c r="BF6" s="29"/>
      <c r="BG6" s="74"/>
    </row>
    <row r="7" spans="2:59" ht="15" thickBot="1">
      <c r="B7" s="73"/>
      <c r="C7" s="29"/>
      <c r="D7" s="74"/>
      <c r="G7" s="78" t="s">
        <v>2131</v>
      </c>
      <c r="H7" s="82">
        <v>34745967.5</v>
      </c>
      <c r="I7" s="29"/>
      <c r="J7" s="29"/>
      <c r="K7" s="29"/>
      <c r="L7" s="29"/>
      <c r="M7" s="29"/>
      <c r="N7" s="29"/>
      <c r="O7" s="29"/>
      <c r="P7" s="29"/>
      <c r="Q7" s="29"/>
      <c r="R7" s="29"/>
      <c r="S7" s="29"/>
      <c r="T7" s="29"/>
      <c r="U7" s="29"/>
      <c r="V7" s="29"/>
      <c r="W7" s="29"/>
      <c r="X7" s="29"/>
      <c r="Y7" s="29"/>
      <c r="Z7" s="29"/>
      <c r="AA7" s="74"/>
      <c r="AB7" s="29"/>
      <c r="AD7" s="73" t="s">
        <v>2129</v>
      </c>
      <c r="AE7" s="81"/>
      <c r="AF7" s="29"/>
      <c r="AG7" s="29"/>
      <c r="AH7" s="29"/>
      <c r="AI7" s="29"/>
      <c r="AJ7" s="29"/>
      <c r="AK7" s="29"/>
      <c r="AL7" s="29"/>
      <c r="AM7" s="29"/>
      <c r="AN7" s="29"/>
      <c r="AO7" s="29"/>
      <c r="AP7" s="74"/>
      <c r="AR7" s="73">
        <v>5</v>
      </c>
      <c r="AS7" s="81">
        <v>3849232</v>
      </c>
      <c r="AT7" s="29"/>
      <c r="AU7" s="29"/>
      <c r="AV7" s="29"/>
      <c r="AW7" s="29"/>
      <c r="AX7" s="29"/>
      <c r="AY7" s="29"/>
      <c r="AZ7" s="29"/>
      <c r="BA7" s="29"/>
      <c r="BB7" s="29"/>
      <c r="BC7" s="29"/>
      <c r="BD7" s="29"/>
      <c r="BE7" s="29"/>
      <c r="BF7" s="29"/>
      <c r="BG7" s="74"/>
    </row>
    <row r="8" spans="2:59" ht="15" thickBot="1">
      <c r="B8" s="157" t="s">
        <v>2130</v>
      </c>
      <c r="C8" s="158"/>
      <c r="D8" s="161">
        <f>D2/D5</f>
        <v>69771.019076305223</v>
      </c>
      <c r="E8" s="72"/>
      <c r="F8" s="72"/>
      <c r="I8" s="29"/>
      <c r="J8" s="29"/>
      <c r="K8" s="29"/>
      <c r="L8" s="29"/>
      <c r="M8" s="29"/>
      <c r="N8" s="29"/>
      <c r="O8" s="29"/>
      <c r="P8" s="29"/>
      <c r="Q8" s="29"/>
      <c r="R8" s="29"/>
      <c r="S8" s="29"/>
      <c r="T8" s="29"/>
      <c r="U8" s="29"/>
      <c r="V8" s="29"/>
      <c r="W8" s="29"/>
      <c r="X8" s="29"/>
      <c r="Y8" s="29"/>
      <c r="Z8" s="29"/>
      <c r="AA8" s="74"/>
      <c r="AB8" s="29"/>
      <c r="AC8" s="74"/>
      <c r="AD8" s="78" t="s">
        <v>2131</v>
      </c>
      <c r="AE8" s="82">
        <v>34745967.5</v>
      </c>
      <c r="AF8" s="29"/>
      <c r="AG8" s="29"/>
      <c r="AH8" s="29"/>
      <c r="AI8" s="29"/>
      <c r="AJ8" s="29"/>
      <c r="AK8" s="29"/>
      <c r="AL8" s="29"/>
      <c r="AM8" s="29"/>
      <c r="AN8" s="29"/>
      <c r="AO8" s="29"/>
      <c r="AP8" s="74"/>
      <c r="AR8" s="73">
        <v>6</v>
      </c>
      <c r="AS8" s="81">
        <v>1032385</v>
      </c>
      <c r="AT8" s="29"/>
      <c r="AU8" s="29"/>
      <c r="AV8" s="29"/>
      <c r="AW8" s="29"/>
      <c r="AX8" s="29"/>
      <c r="AY8" s="29"/>
      <c r="AZ8" s="29"/>
      <c r="BA8" s="29"/>
      <c r="BB8" s="29"/>
      <c r="BC8" s="29"/>
      <c r="BD8" s="29"/>
      <c r="BE8" s="29"/>
      <c r="BF8" s="29"/>
      <c r="BG8" s="74"/>
    </row>
    <row r="9" spans="2:59" ht="15" thickBot="1">
      <c r="B9" s="159"/>
      <c r="C9" s="160"/>
      <c r="D9" s="162"/>
      <c r="E9" s="72"/>
      <c r="F9" s="72"/>
      <c r="G9" s="73"/>
      <c r="H9" s="29"/>
      <c r="I9" s="29"/>
      <c r="J9" s="29"/>
      <c r="K9" s="29"/>
      <c r="L9" s="29"/>
      <c r="M9" s="29"/>
      <c r="N9" s="29"/>
      <c r="O9" s="29"/>
      <c r="P9" s="29"/>
      <c r="Q9" s="29"/>
      <c r="R9" s="29"/>
      <c r="S9" s="29"/>
      <c r="T9" s="29"/>
      <c r="U9" s="29"/>
      <c r="V9" s="29"/>
      <c r="W9" s="29"/>
      <c r="X9" s="29"/>
      <c r="Y9" s="29"/>
      <c r="Z9" s="29"/>
      <c r="AA9" s="74"/>
      <c r="AB9" s="29"/>
      <c r="AD9" s="73"/>
      <c r="AE9" s="29"/>
      <c r="AF9" s="29"/>
      <c r="AG9" s="29"/>
      <c r="AH9" s="29"/>
      <c r="AI9" s="29"/>
      <c r="AJ9" s="29"/>
      <c r="AK9" s="29"/>
      <c r="AL9" s="29"/>
      <c r="AM9" s="29"/>
      <c r="AN9" s="29"/>
      <c r="AO9" s="29"/>
      <c r="AP9" s="74"/>
      <c r="AR9" s="73">
        <v>7</v>
      </c>
      <c r="AS9" s="81">
        <v>1741047.5</v>
      </c>
      <c r="AT9" s="29"/>
      <c r="AU9" s="29"/>
      <c r="AV9" s="29"/>
      <c r="AW9" s="29"/>
      <c r="AX9" s="29"/>
      <c r="AY9" s="29"/>
      <c r="AZ9" s="29"/>
      <c r="BA9" s="29"/>
      <c r="BB9" s="29"/>
      <c r="BC9" s="29"/>
      <c r="BD9" s="29"/>
      <c r="BE9" s="29"/>
      <c r="BF9" s="29"/>
      <c r="BG9" s="74"/>
    </row>
    <row r="10" spans="2:59">
      <c r="G10" s="73"/>
      <c r="H10" s="29"/>
      <c r="I10" s="29"/>
      <c r="J10" s="29"/>
      <c r="K10" s="29"/>
      <c r="L10" s="29"/>
      <c r="M10" s="29"/>
      <c r="N10" s="29"/>
      <c r="O10" s="29"/>
      <c r="P10" s="29"/>
      <c r="Q10" s="29"/>
      <c r="R10" s="29"/>
      <c r="S10" s="29"/>
      <c r="T10" s="29"/>
      <c r="U10" s="29"/>
      <c r="V10" s="29"/>
      <c r="W10" s="29"/>
      <c r="X10" s="29"/>
      <c r="Y10" s="29"/>
      <c r="Z10" s="29"/>
      <c r="AA10" s="74"/>
      <c r="AB10" s="29"/>
      <c r="AD10" s="73"/>
      <c r="AE10" s="29"/>
      <c r="AF10" s="29"/>
      <c r="AG10" s="29"/>
      <c r="AH10" s="29"/>
      <c r="AI10" s="29"/>
      <c r="AJ10" s="29"/>
      <c r="AK10" s="29"/>
      <c r="AL10" s="29"/>
      <c r="AM10" s="29"/>
      <c r="AN10" s="29"/>
      <c r="AO10" s="29"/>
      <c r="AP10" s="74"/>
      <c r="AR10" s="73">
        <v>8</v>
      </c>
      <c r="AS10" s="81">
        <v>1836526</v>
      </c>
      <c r="AT10" s="29"/>
      <c r="AU10" s="29"/>
      <c r="AV10" s="29"/>
      <c r="AW10" s="29"/>
      <c r="AX10" s="29"/>
      <c r="AY10" s="29"/>
      <c r="AZ10" s="29"/>
      <c r="BA10" s="29"/>
      <c r="BB10" s="29"/>
      <c r="BC10" s="29"/>
      <c r="BD10" s="29"/>
      <c r="BE10" s="29"/>
      <c r="BF10" s="29"/>
      <c r="BG10" s="74"/>
    </row>
    <row r="11" spans="2:59">
      <c r="G11" s="73"/>
      <c r="H11" s="29"/>
      <c r="I11" s="29"/>
      <c r="J11" s="29"/>
      <c r="K11" s="29"/>
      <c r="L11" s="29"/>
      <c r="M11" s="29"/>
      <c r="N11" s="29"/>
      <c r="O11" s="29"/>
      <c r="P11" s="29"/>
      <c r="Q11" s="29"/>
      <c r="R11" s="29"/>
      <c r="S11" s="29"/>
      <c r="T11" s="29"/>
      <c r="U11" s="29"/>
      <c r="V11" s="29"/>
      <c r="W11" s="29"/>
      <c r="X11" s="29"/>
      <c r="Y11" s="29"/>
      <c r="Z11" s="29"/>
      <c r="AA11" s="74"/>
      <c r="AB11" s="29"/>
      <c r="AD11" s="73"/>
      <c r="AE11" s="29"/>
      <c r="AF11" s="29"/>
      <c r="AG11" s="29"/>
      <c r="AH11" s="29"/>
      <c r="AI11" s="29"/>
      <c r="AJ11" s="29"/>
      <c r="AK11" s="29"/>
      <c r="AL11" s="29"/>
      <c r="AM11" s="29"/>
      <c r="AN11" s="29"/>
      <c r="AO11" s="29"/>
      <c r="AP11" s="74"/>
      <c r="AR11" s="73">
        <v>9</v>
      </c>
      <c r="AS11" s="81">
        <v>1226591.5</v>
      </c>
      <c r="AT11" s="29"/>
      <c r="AU11" s="29"/>
      <c r="AV11" s="29"/>
      <c r="AW11" s="29"/>
      <c r="AX11" s="29"/>
      <c r="AY11" s="29"/>
      <c r="AZ11" s="29"/>
      <c r="BA11" s="29"/>
      <c r="BB11" s="29"/>
      <c r="BC11" s="29"/>
      <c r="BD11" s="29"/>
      <c r="BE11" s="29"/>
      <c r="BF11" s="29"/>
      <c r="BG11" s="74"/>
    </row>
    <row r="12" spans="2:59">
      <c r="G12" s="73"/>
      <c r="H12" s="29"/>
      <c r="I12" s="29"/>
      <c r="J12" s="29"/>
      <c r="K12" s="29"/>
      <c r="L12" s="29"/>
      <c r="M12" s="29"/>
      <c r="N12" s="29"/>
      <c r="O12" s="29"/>
      <c r="P12" s="29"/>
      <c r="Q12" s="29"/>
      <c r="R12" s="29"/>
      <c r="S12" s="29"/>
      <c r="T12" s="29"/>
      <c r="U12" s="29"/>
      <c r="V12" s="29"/>
      <c r="W12" s="29"/>
      <c r="X12" s="29"/>
      <c r="Y12" s="29"/>
      <c r="Z12" s="29"/>
      <c r="AA12" s="74"/>
      <c r="AB12" s="29"/>
      <c r="AD12" s="73"/>
      <c r="AE12" s="29"/>
      <c r="AF12" s="29"/>
      <c r="AG12" s="29"/>
      <c r="AH12" s="29"/>
      <c r="AI12" s="29"/>
      <c r="AJ12" s="29"/>
      <c r="AK12" s="29"/>
      <c r="AL12" s="29"/>
      <c r="AM12" s="29"/>
      <c r="AN12" s="29"/>
      <c r="AO12" s="29"/>
      <c r="AP12" s="74"/>
      <c r="AR12" s="73">
        <v>10</v>
      </c>
      <c r="AS12" s="81">
        <v>1775603.5</v>
      </c>
      <c r="AT12" s="29"/>
      <c r="AU12" s="29"/>
      <c r="AV12" s="29"/>
      <c r="AW12" s="29"/>
      <c r="AX12" s="29"/>
      <c r="AY12" s="29"/>
      <c r="AZ12" s="29"/>
      <c r="BA12" s="29"/>
      <c r="BB12" s="29"/>
      <c r="BC12" s="29"/>
      <c r="BD12" s="29"/>
      <c r="BE12" s="29"/>
      <c r="BF12" s="29"/>
      <c r="BG12" s="74"/>
    </row>
    <row r="13" spans="2:59">
      <c r="G13" s="73"/>
      <c r="H13" s="29"/>
      <c r="I13" s="29"/>
      <c r="J13" s="29"/>
      <c r="K13" s="29"/>
      <c r="L13" s="29"/>
      <c r="M13" s="29"/>
      <c r="N13" s="29"/>
      <c r="O13" s="29"/>
      <c r="P13" s="29"/>
      <c r="Q13" s="29"/>
      <c r="R13" s="29"/>
      <c r="S13" s="29"/>
      <c r="T13" s="29"/>
      <c r="U13" s="29"/>
      <c r="V13" s="29"/>
      <c r="W13" s="29"/>
      <c r="X13" s="29"/>
      <c r="Y13" s="29"/>
      <c r="Z13" s="29"/>
      <c r="AA13" s="74"/>
      <c r="AB13" s="29"/>
      <c r="AD13" s="73"/>
      <c r="AE13" s="29"/>
      <c r="AF13" s="29"/>
      <c r="AG13" s="29"/>
      <c r="AH13" s="29"/>
      <c r="AI13" s="29"/>
      <c r="AJ13" s="29"/>
      <c r="AK13" s="29"/>
      <c r="AL13" s="29"/>
      <c r="AM13" s="29"/>
      <c r="AN13" s="29"/>
      <c r="AO13" s="29"/>
      <c r="AP13" s="74"/>
      <c r="AR13" s="73">
        <v>11</v>
      </c>
      <c r="AS13" s="81">
        <v>1992715.25</v>
      </c>
      <c r="AT13" s="29"/>
      <c r="AU13" s="29"/>
      <c r="AV13" s="29"/>
      <c r="AW13" s="29"/>
      <c r="AX13" s="29"/>
      <c r="AY13" s="29"/>
      <c r="AZ13" s="29"/>
      <c r="BA13" s="29"/>
      <c r="BB13" s="29"/>
      <c r="BC13" s="29"/>
      <c r="BD13" s="29"/>
      <c r="BE13" s="29"/>
      <c r="BF13" s="29"/>
      <c r="BG13" s="74"/>
    </row>
    <row r="14" spans="2:59">
      <c r="G14" s="73"/>
      <c r="H14" s="29"/>
      <c r="I14" s="29"/>
      <c r="J14" s="29"/>
      <c r="K14" s="29"/>
      <c r="L14" s="29"/>
      <c r="M14" s="29"/>
      <c r="N14" s="29"/>
      <c r="O14" s="29"/>
      <c r="P14" s="29"/>
      <c r="Q14" s="29"/>
      <c r="R14" s="29"/>
      <c r="S14" s="29"/>
      <c r="T14" s="29"/>
      <c r="U14" s="29"/>
      <c r="V14" s="29"/>
      <c r="W14" s="29"/>
      <c r="X14" s="29"/>
      <c r="Y14" s="29"/>
      <c r="Z14" s="29"/>
      <c r="AA14" s="74"/>
      <c r="AB14" s="29"/>
      <c r="AD14" s="73"/>
      <c r="AE14" s="29"/>
      <c r="AF14" s="29"/>
      <c r="AG14" s="29"/>
      <c r="AH14" s="29"/>
      <c r="AI14" s="29"/>
      <c r="AJ14" s="29"/>
      <c r="AK14" s="29"/>
      <c r="AL14" s="29"/>
      <c r="AM14" s="29"/>
      <c r="AN14" s="29"/>
      <c r="AO14" s="29"/>
      <c r="AP14" s="74"/>
      <c r="AR14" s="73">
        <v>12</v>
      </c>
      <c r="AS14" s="81">
        <v>2185859.5</v>
      </c>
      <c r="AT14" s="29"/>
      <c r="AU14" s="29"/>
      <c r="AV14" s="29"/>
      <c r="AW14" s="29"/>
      <c r="AX14" s="29"/>
      <c r="AY14" s="29"/>
      <c r="AZ14" s="29"/>
      <c r="BA14" s="29"/>
      <c r="BB14" s="29"/>
      <c r="BC14" s="29"/>
      <c r="BD14" s="29"/>
      <c r="BE14" s="29"/>
      <c r="BF14" s="29"/>
      <c r="BG14" s="74"/>
    </row>
    <row r="15" spans="2:59" ht="15" thickBot="1">
      <c r="G15" s="73"/>
      <c r="H15" s="29"/>
      <c r="I15" s="29"/>
      <c r="J15" s="79"/>
      <c r="K15" s="79"/>
      <c r="L15" s="79"/>
      <c r="M15" s="79"/>
      <c r="N15" s="79"/>
      <c r="O15" s="79"/>
      <c r="P15" s="79"/>
      <c r="Q15" s="79"/>
      <c r="R15" s="79"/>
      <c r="S15" s="79"/>
      <c r="T15" s="79"/>
      <c r="U15" s="79"/>
      <c r="V15" s="79"/>
      <c r="W15" s="79"/>
      <c r="X15" s="79"/>
      <c r="Y15" s="79"/>
      <c r="Z15" s="79"/>
      <c r="AA15" s="80"/>
      <c r="AB15" s="29"/>
      <c r="AD15" s="73"/>
      <c r="AE15" s="29"/>
      <c r="AF15" s="29"/>
      <c r="AG15" s="29"/>
      <c r="AH15" s="29"/>
      <c r="AI15" s="29"/>
      <c r="AJ15" s="29"/>
      <c r="AK15" s="29"/>
      <c r="AL15" s="29"/>
      <c r="AM15" s="29"/>
      <c r="AN15" s="29"/>
      <c r="AO15" s="29"/>
      <c r="AP15" s="74"/>
      <c r="AR15" s="73" t="s">
        <v>2147</v>
      </c>
      <c r="AS15" s="81">
        <v>833925</v>
      </c>
      <c r="AT15" s="29"/>
      <c r="AU15" s="29"/>
      <c r="AV15" s="29"/>
      <c r="AW15" s="29"/>
      <c r="AX15" s="29"/>
      <c r="AY15" s="29"/>
      <c r="AZ15" s="29"/>
      <c r="BA15" s="29"/>
      <c r="BB15" s="29"/>
      <c r="BC15" s="29"/>
      <c r="BD15" s="29"/>
      <c r="BE15" s="29"/>
      <c r="BF15" s="29"/>
      <c r="BG15" s="74"/>
    </row>
    <row r="16" spans="2:59" ht="15" thickBot="1">
      <c r="G16" s="73"/>
      <c r="H16" s="29"/>
      <c r="I16" s="29"/>
      <c r="J16" s="29"/>
      <c r="K16" s="29"/>
      <c r="L16" s="29"/>
      <c r="M16" s="29"/>
      <c r="N16" s="29"/>
      <c r="O16" s="29"/>
      <c r="P16" s="29"/>
      <c r="Q16" s="29"/>
      <c r="R16" s="29"/>
      <c r="S16" s="29"/>
      <c r="T16" s="29"/>
      <c r="U16" s="29"/>
      <c r="V16" s="29"/>
      <c r="W16" s="29"/>
      <c r="X16" s="29"/>
      <c r="Y16" s="29"/>
      <c r="Z16" s="29"/>
      <c r="AA16" s="74"/>
      <c r="AB16" s="29"/>
      <c r="AD16" s="73"/>
      <c r="AE16" s="29"/>
      <c r="AF16" s="29"/>
      <c r="AG16" s="29"/>
      <c r="AH16" s="29"/>
      <c r="AI16" s="29"/>
      <c r="AJ16" s="29"/>
      <c r="AK16" s="29"/>
      <c r="AL16" s="29"/>
      <c r="AM16" s="29"/>
      <c r="AN16" s="29"/>
      <c r="AO16" s="29"/>
      <c r="AP16" s="74"/>
      <c r="AR16" s="78" t="s">
        <v>2131</v>
      </c>
      <c r="AS16" s="82">
        <v>34745967.5</v>
      </c>
      <c r="AT16" s="29"/>
      <c r="AU16" s="29"/>
      <c r="AV16" s="29"/>
      <c r="AW16" s="29"/>
      <c r="AX16" s="29"/>
      <c r="AY16" s="29"/>
      <c r="AZ16" s="29"/>
      <c r="BA16" s="29"/>
      <c r="BB16" s="29"/>
      <c r="BC16" s="29"/>
      <c r="BD16" s="29"/>
      <c r="BE16" s="29"/>
      <c r="BF16" s="29"/>
      <c r="BG16" s="74"/>
    </row>
    <row r="17" spans="7:59" ht="15" thickBot="1">
      <c r="G17" s="78"/>
      <c r="H17" s="79"/>
      <c r="I17" s="79"/>
      <c r="J17" s="79"/>
      <c r="K17" s="79"/>
      <c r="L17" s="79"/>
      <c r="M17" s="79"/>
      <c r="N17" s="79"/>
      <c r="O17" s="79"/>
      <c r="P17" s="79"/>
      <c r="Q17" s="79"/>
      <c r="R17" s="79"/>
      <c r="S17" s="79"/>
      <c r="T17" s="79"/>
      <c r="U17" s="79"/>
      <c r="V17" s="79"/>
      <c r="W17" s="79"/>
      <c r="X17" s="79"/>
      <c r="Y17" s="79"/>
      <c r="Z17" s="79"/>
      <c r="AA17" s="80"/>
      <c r="AB17" s="29"/>
      <c r="AD17" s="78"/>
      <c r="AE17" s="79"/>
      <c r="AF17" s="79"/>
      <c r="AG17" s="79"/>
      <c r="AH17" s="79"/>
      <c r="AI17" s="79"/>
      <c r="AJ17" s="79"/>
      <c r="AK17" s="79"/>
      <c r="AL17" s="79"/>
      <c r="AM17" s="79"/>
      <c r="AN17" s="79"/>
      <c r="AO17" s="79"/>
      <c r="AP17" s="80"/>
      <c r="AR17" s="73"/>
      <c r="AS17" s="29"/>
      <c r="AT17" s="29"/>
      <c r="AU17" s="29"/>
      <c r="AV17" s="29"/>
      <c r="AW17" s="29"/>
      <c r="AX17" s="29"/>
      <c r="AY17" s="29"/>
      <c r="AZ17" s="29"/>
      <c r="BA17" s="29"/>
      <c r="BB17" s="29"/>
      <c r="BC17" s="29"/>
      <c r="BD17" s="29"/>
      <c r="BE17" s="29"/>
      <c r="BF17" s="29"/>
      <c r="BG17" s="74"/>
    </row>
    <row r="18" spans="7:59">
      <c r="AR18" s="73"/>
      <c r="AS18" s="29"/>
      <c r="AT18" s="29"/>
      <c r="AU18" s="29"/>
      <c r="AV18" s="29"/>
      <c r="AW18" s="29"/>
      <c r="AX18" s="29"/>
      <c r="AY18" s="29"/>
      <c r="AZ18" s="29"/>
      <c r="BA18" s="29"/>
      <c r="BB18" s="29"/>
      <c r="BC18" s="29"/>
      <c r="BD18" s="29"/>
      <c r="BE18" s="29"/>
      <c r="BF18" s="29"/>
      <c r="BG18" s="74"/>
    </row>
    <row r="19" spans="7:59">
      <c r="AQ19" s="74"/>
      <c r="AR19" s="29"/>
      <c r="AS19" s="29"/>
      <c r="AT19" s="29"/>
      <c r="AU19" s="29"/>
      <c r="AV19" s="29"/>
      <c r="AW19" s="29"/>
      <c r="AX19" s="29"/>
      <c r="AY19" s="29"/>
      <c r="AZ19" s="29"/>
      <c r="BA19" s="29"/>
      <c r="BB19" s="29"/>
      <c r="BC19" s="29"/>
      <c r="BD19" s="29"/>
      <c r="BE19" s="29"/>
      <c r="BF19" s="29"/>
      <c r="BG19" s="74"/>
    </row>
    <row r="20" spans="7:59">
      <c r="AQ20" s="74"/>
      <c r="AR20" s="29"/>
      <c r="AS20" s="29"/>
      <c r="AT20" s="29"/>
      <c r="AU20" s="29"/>
      <c r="AV20" s="29"/>
      <c r="AW20" s="29"/>
      <c r="AX20" s="29"/>
      <c r="AY20" s="29"/>
      <c r="AZ20" s="29"/>
      <c r="BA20" s="29"/>
      <c r="BB20" s="29"/>
      <c r="BC20" s="29"/>
      <c r="BD20" s="29"/>
      <c r="BE20" s="29"/>
      <c r="BF20" s="29"/>
      <c r="BG20" s="74"/>
    </row>
    <row r="21" spans="7:59">
      <c r="AQ21" s="74"/>
      <c r="BG21" s="74"/>
    </row>
    <row r="22" spans="7:59">
      <c r="AQ22" s="74"/>
      <c r="BG22" s="74"/>
    </row>
    <row r="23" spans="7:59">
      <c r="AQ23" s="74"/>
      <c r="BG23" s="74"/>
    </row>
    <row r="24" spans="7:59">
      <c r="AQ24" s="74"/>
      <c r="BG24" s="74"/>
    </row>
    <row r="25" spans="7:59">
      <c r="AQ25" s="74"/>
      <c r="BG25" s="74"/>
    </row>
    <row r="26" spans="7:59">
      <c r="AQ26" s="74"/>
      <c r="BG26" s="74"/>
    </row>
    <row r="27" spans="7:59">
      <c r="AQ27" s="74"/>
      <c r="BG27" s="74"/>
    </row>
    <row r="28" spans="7:59">
      <c r="AQ28" s="74"/>
      <c r="BG28" s="74"/>
    </row>
    <row r="29" spans="7:59">
      <c r="AQ29" s="74"/>
      <c r="BG29" s="74"/>
    </row>
    <row r="30" spans="7:59" ht="15" thickBot="1">
      <c r="AQ30" s="74"/>
      <c r="AR30" s="78"/>
      <c r="AS30" s="79"/>
      <c r="AT30" s="79"/>
      <c r="AU30" s="79"/>
      <c r="AV30" s="79"/>
      <c r="AW30" s="79"/>
      <c r="AX30" s="79"/>
      <c r="AY30" s="79"/>
      <c r="AZ30" s="79"/>
      <c r="BA30" s="79"/>
      <c r="BB30" s="79"/>
      <c r="BC30" s="79"/>
      <c r="BD30" s="79"/>
      <c r="BE30" s="79"/>
      <c r="BF30" s="79"/>
      <c r="BG30" s="80"/>
    </row>
  </sheetData>
  <mergeCells count="6">
    <mergeCell ref="B2:C3"/>
    <mergeCell ref="D2:D3"/>
    <mergeCell ref="B5:C6"/>
    <mergeCell ref="D5:D6"/>
    <mergeCell ref="B8:C9"/>
    <mergeCell ref="D8:D9"/>
  </mergeCells>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
  <sheetViews>
    <sheetView workbookViewId="0">
      <selection sqref="A1:V501"/>
    </sheetView>
  </sheetViews>
  <sheetFormatPr defaultRowHeight="14.25"/>
  <cols>
    <col min="3" max="3" width="11" bestFit="1" customWidth="1"/>
    <col min="4" max="4" width="11.25" bestFit="1" customWidth="1"/>
    <col min="11" max="11" width="16.375" bestFit="1" customWidth="1"/>
    <col min="12" max="12" width="14.375" bestFit="1" customWidth="1"/>
    <col min="22" max="22" width="12.75" bestFit="1" customWidth="1"/>
  </cols>
  <sheetData>
    <row r="1" spans="1:22" ht="15.7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c r="A2" s="3" t="s">
        <v>26</v>
      </c>
      <c r="B2" s="4" t="s">
        <v>27</v>
      </c>
      <c r="C2" s="4" t="s">
        <v>28</v>
      </c>
      <c r="D2" s="4" t="s">
        <v>29</v>
      </c>
      <c r="E2" s="4" t="s">
        <v>30</v>
      </c>
      <c r="F2" s="4" t="s">
        <v>31</v>
      </c>
      <c r="G2" s="4" t="s">
        <v>32</v>
      </c>
      <c r="H2" s="4" t="s">
        <v>33</v>
      </c>
      <c r="I2" s="4" t="s">
        <v>34</v>
      </c>
      <c r="J2" s="4" t="s">
        <v>35</v>
      </c>
      <c r="K2" s="4" t="s">
        <v>36</v>
      </c>
      <c r="L2" s="4" t="s">
        <v>37</v>
      </c>
      <c r="M2" s="4">
        <v>4</v>
      </c>
      <c r="N2" s="4">
        <v>2200</v>
      </c>
      <c r="O2" s="4">
        <v>10</v>
      </c>
      <c r="P2" s="4">
        <v>7920</v>
      </c>
      <c r="Q2" s="4">
        <v>4</v>
      </c>
      <c r="R2" s="4" t="s">
        <v>38</v>
      </c>
      <c r="S2" s="4" t="s">
        <v>39</v>
      </c>
      <c r="T2" s="5" t="s">
        <v>40</v>
      </c>
      <c r="U2" s="6" t="s">
        <v>41</v>
      </c>
      <c r="V2" s="4" t="s">
        <v>42</v>
      </c>
    </row>
    <row r="3" spans="1:22">
      <c r="A3" s="7" t="s">
        <v>43</v>
      </c>
      <c r="B3" s="8" t="s">
        <v>27</v>
      </c>
      <c r="C3" s="8" t="s">
        <v>44</v>
      </c>
      <c r="D3" s="8" t="s">
        <v>45</v>
      </c>
      <c r="E3" s="8" t="s">
        <v>46</v>
      </c>
      <c r="F3" s="8" t="s">
        <v>31</v>
      </c>
      <c r="G3" s="8" t="s">
        <v>32</v>
      </c>
      <c r="H3" s="8" t="s">
        <v>47</v>
      </c>
      <c r="I3" s="8" t="s">
        <v>48</v>
      </c>
      <c r="J3" s="8" t="s">
        <v>49</v>
      </c>
      <c r="K3" s="8" t="s">
        <v>50</v>
      </c>
      <c r="L3" s="8" t="s">
        <v>51</v>
      </c>
      <c r="M3" s="8">
        <v>17</v>
      </c>
      <c r="N3" s="8">
        <v>12000</v>
      </c>
      <c r="O3" s="8">
        <v>10</v>
      </c>
      <c r="P3" s="8">
        <v>183600</v>
      </c>
      <c r="Q3" s="8">
        <v>1</v>
      </c>
      <c r="R3" s="8" t="s">
        <v>52</v>
      </c>
      <c r="S3" s="8" t="s">
        <v>53</v>
      </c>
      <c r="T3" s="8" t="s">
        <v>54</v>
      </c>
      <c r="U3" s="9" t="s">
        <v>55</v>
      </c>
      <c r="V3" s="8" t="s">
        <v>42</v>
      </c>
    </row>
    <row r="4" spans="1:22">
      <c r="A4" s="3" t="s">
        <v>56</v>
      </c>
      <c r="B4" s="4" t="s">
        <v>57</v>
      </c>
      <c r="C4" s="4" t="s">
        <v>58</v>
      </c>
      <c r="D4" s="4" t="s">
        <v>59</v>
      </c>
      <c r="E4" s="4" t="s">
        <v>60</v>
      </c>
      <c r="F4" s="4" t="s">
        <v>61</v>
      </c>
      <c r="G4" s="4" t="s">
        <v>32</v>
      </c>
      <c r="H4" s="4" t="s">
        <v>62</v>
      </c>
      <c r="I4" s="4" t="s">
        <v>63</v>
      </c>
      <c r="J4" s="4" t="s">
        <v>35</v>
      </c>
      <c r="K4" s="4" t="s">
        <v>50</v>
      </c>
      <c r="L4" s="4" t="s">
        <v>64</v>
      </c>
      <c r="M4" s="4">
        <v>5</v>
      </c>
      <c r="N4" s="4">
        <v>55000</v>
      </c>
      <c r="O4" s="4">
        <v>5</v>
      </c>
      <c r="P4" s="4">
        <v>261250</v>
      </c>
      <c r="Q4" s="4">
        <v>3</v>
      </c>
      <c r="R4" s="4" t="s">
        <v>52</v>
      </c>
      <c r="S4" s="4" t="s">
        <v>65</v>
      </c>
      <c r="T4" s="4" t="s">
        <v>66</v>
      </c>
      <c r="U4" s="6" t="s">
        <v>67</v>
      </c>
      <c r="V4" s="4" t="s">
        <v>68</v>
      </c>
    </row>
    <row r="5" spans="1:22">
      <c r="A5" s="7" t="s">
        <v>43</v>
      </c>
      <c r="B5" s="8" t="s">
        <v>27</v>
      </c>
      <c r="C5" s="8" t="s">
        <v>28</v>
      </c>
      <c r="D5" s="8" t="s">
        <v>69</v>
      </c>
      <c r="E5" s="8" t="s">
        <v>70</v>
      </c>
      <c r="F5" s="8" t="s">
        <v>31</v>
      </c>
      <c r="G5" s="8" t="s">
        <v>32</v>
      </c>
      <c r="H5" s="8" t="s">
        <v>71</v>
      </c>
      <c r="I5" s="8" t="s">
        <v>63</v>
      </c>
      <c r="J5" s="8" t="s">
        <v>35</v>
      </c>
      <c r="K5" s="8" t="s">
        <v>36</v>
      </c>
      <c r="L5" s="8" t="s">
        <v>37</v>
      </c>
      <c r="M5" s="8">
        <v>5</v>
      </c>
      <c r="N5" s="8">
        <v>2200</v>
      </c>
      <c r="O5" s="8">
        <v>5</v>
      </c>
      <c r="P5" s="8">
        <v>10450</v>
      </c>
      <c r="Q5" s="8">
        <v>5</v>
      </c>
      <c r="R5" s="8" t="s">
        <v>52</v>
      </c>
      <c r="S5" s="8" t="s">
        <v>65</v>
      </c>
      <c r="T5" s="10" t="s">
        <v>54</v>
      </c>
      <c r="U5" s="9" t="s">
        <v>72</v>
      </c>
      <c r="V5" s="8" t="s">
        <v>73</v>
      </c>
    </row>
    <row r="6" spans="1:22">
      <c r="A6" s="3" t="s">
        <v>74</v>
      </c>
      <c r="B6" s="4" t="s">
        <v>75</v>
      </c>
      <c r="C6" s="4" t="s">
        <v>76</v>
      </c>
      <c r="D6" s="4" t="s">
        <v>77</v>
      </c>
      <c r="E6" s="4" t="s">
        <v>78</v>
      </c>
      <c r="F6" s="4" t="s">
        <v>79</v>
      </c>
      <c r="G6" s="4" t="s">
        <v>80</v>
      </c>
      <c r="H6" s="4" t="s">
        <v>81</v>
      </c>
      <c r="I6" s="4" t="s">
        <v>48</v>
      </c>
      <c r="J6" s="4" t="s">
        <v>49</v>
      </c>
      <c r="K6" s="4" t="s">
        <v>50</v>
      </c>
      <c r="L6" s="4" t="s">
        <v>82</v>
      </c>
      <c r="M6" s="4">
        <v>8</v>
      </c>
      <c r="N6" s="4">
        <v>1200</v>
      </c>
      <c r="O6" s="4">
        <v>5</v>
      </c>
      <c r="P6" s="4">
        <v>9120</v>
      </c>
      <c r="Q6" s="4">
        <v>2</v>
      </c>
      <c r="R6" s="4" t="s">
        <v>83</v>
      </c>
      <c r="S6" s="4" t="s">
        <v>65</v>
      </c>
      <c r="T6" s="4" t="s">
        <v>84</v>
      </c>
      <c r="U6" s="6" t="s">
        <v>85</v>
      </c>
      <c r="V6" s="4" t="s">
        <v>68</v>
      </c>
    </row>
    <row r="7" spans="1:22">
      <c r="A7" s="7" t="s">
        <v>86</v>
      </c>
      <c r="B7" s="8" t="s">
        <v>87</v>
      </c>
      <c r="C7" s="8" t="s">
        <v>28</v>
      </c>
      <c r="D7" s="8" t="s">
        <v>88</v>
      </c>
      <c r="E7" s="8" t="s">
        <v>89</v>
      </c>
      <c r="F7" s="8" t="s">
        <v>90</v>
      </c>
      <c r="G7" s="8" t="s">
        <v>80</v>
      </c>
      <c r="H7" s="8" t="s">
        <v>91</v>
      </c>
      <c r="I7" s="8" t="s">
        <v>34</v>
      </c>
      <c r="J7" s="8" t="s">
        <v>35</v>
      </c>
      <c r="K7" s="8" t="s">
        <v>36</v>
      </c>
      <c r="L7" s="8" t="s">
        <v>37</v>
      </c>
      <c r="M7" s="8">
        <v>4</v>
      </c>
      <c r="N7" s="8">
        <v>2200</v>
      </c>
      <c r="O7" s="8">
        <v>0</v>
      </c>
      <c r="P7" s="8">
        <v>8800</v>
      </c>
      <c r="Q7" s="8">
        <v>1</v>
      </c>
      <c r="R7" s="8" t="s">
        <v>92</v>
      </c>
      <c r="S7" s="8" t="s">
        <v>39</v>
      </c>
      <c r="T7" s="8" t="s">
        <v>93</v>
      </c>
      <c r="U7" s="9" t="s">
        <v>94</v>
      </c>
      <c r="V7" s="8" t="s">
        <v>42</v>
      </c>
    </row>
    <row r="8" spans="1:22">
      <c r="A8" s="3" t="s">
        <v>95</v>
      </c>
      <c r="B8" s="4" t="s">
        <v>27</v>
      </c>
      <c r="C8" s="4" t="s">
        <v>96</v>
      </c>
      <c r="D8" s="4" t="s">
        <v>97</v>
      </c>
      <c r="E8" s="4" t="s">
        <v>98</v>
      </c>
      <c r="F8" s="4" t="s">
        <v>99</v>
      </c>
      <c r="G8" s="4" t="s">
        <v>32</v>
      </c>
      <c r="H8" s="4" t="s">
        <v>100</v>
      </c>
      <c r="I8" s="4" t="s">
        <v>34</v>
      </c>
      <c r="J8" s="4" t="s">
        <v>35</v>
      </c>
      <c r="K8" s="4" t="s">
        <v>36</v>
      </c>
      <c r="L8" s="4" t="s">
        <v>101</v>
      </c>
      <c r="M8" s="4">
        <v>2</v>
      </c>
      <c r="N8" s="4">
        <v>3500</v>
      </c>
      <c r="O8" s="4">
        <v>5</v>
      </c>
      <c r="P8" s="4">
        <v>6650</v>
      </c>
      <c r="Q8" s="4">
        <v>1</v>
      </c>
      <c r="R8" s="4" t="s">
        <v>92</v>
      </c>
      <c r="S8" s="4" t="s">
        <v>39</v>
      </c>
      <c r="T8" s="4" t="s">
        <v>54</v>
      </c>
      <c r="U8" s="6" t="s">
        <v>102</v>
      </c>
      <c r="V8" s="4" t="s">
        <v>42</v>
      </c>
    </row>
    <row r="9" spans="1:22">
      <c r="A9" s="7" t="s">
        <v>103</v>
      </c>
      <c r="B9" s="8" t="s">
        <v>104</v>
      </c>
      <c r="C9" s="8" t="s">
        <v>44</v>
      </c>
      <c r="D9" s="8" t="s">
        <v>105</v>
      </c>
      <c r="E9" s="8" t="s">
        <v>106</v>
      </c>
      <c r="F9" s="8" t="s">
        <v>107</v>
      </c>
      <c r="G9" s="8" t="s">
        <v>32</v>
      </c>
      <c r="H9" s="8" t="s">
        <v>108</v>
      </c>
      <c r="I9" s="8" t="s">
        <v>109</v>
      </c>
      <c r="J9" s="8" t="s">
        <v>110</v>
      </c>
      <c r="K9" s="8" t="s">
        <v>50</v>
      </c>
      <c r="L9" s="8" t="s">
        <v>51</v>
      </c>
      <c r="M9" s="8">
        <v>14</v>
      </c>
      <c r="N9" s="8">
        <v>12000</v>
      </c>
      <c r="O9" s="8">
        <v>15</v>
      </c>
      <c r="P9" s="8">
        <v>142800</v>
      </c>
      <c r="Q9" s="8">
        <v>4</v>
      </c>
      <c r="R9" s="8" t="s">
        <v>52</v>
      </c>
      <c r="S9" s="8" t="s">
        <v>39</v>
      </c>
      <c r="T9" s="10" t="s">
        <v>111</v>
      </c>
      <c r="U9" s="9" t="s">
        <v>112</v>
      </c>
      <c r="V9" s="8" t="s">
        <v>42</v>
      </c>
    </row>
    <row r="10" spans="1:22">
      <c r="A10" s="3" t="s">
        <v>113</v>
      </c>
      <c r="B10" s="4" t="s">
        <v>27</v>
      </c>
      <c r="C10" s="4" t="s">
        <v>44</v>
      </c>
      <c r="D10" s="4" t="s">
        <v>114</v>
      </c>
      <c r="E10" s="4" t="s">
        <v>115</v>
      </c>
      <c r="F10" s="4" t="s">
        <v>116</v>
      </c>
      <c r="G10" s="4" t="s">
        <v>32</v>
      </c>
      <c r="H10" s="4" t="s">
        <v>117</v>
      </c>
      <c r="I10" s="4" t="s">
        <v>118</v>
      </c>
      <c r="J10" s="4" t="s">
        <v>110</v>
      </c>
      <c r="K10" s="4" t="s">
        <v>50</v>
      </c>
      <c r="L10" s="4" t="s">
        <v>51</v>
      </c>
      <c r="M10" s="4">
        <v>4</v>
      </c>
      <c r="N10" s="4">
        <v>12000</v>
      </c>
      <c r="O10" s="4">
        <v>15</v>
      </c>
      <c r="P10" s="4">
        <v>40800</v>
      </c>
      <c r="Q10" s="4">
        <v>4</v>
      </c>
      <c r="R10" s="4" t="s">
        <v>92</v>
      </c>
      <c r="S10" s="4" t="s">
        <v>119</v>
      </c>
      <c r="T10" s="4" t="s">
        <v>54</v>
      </c>
      <c r="U10" s="6" t="s">
        <v>120</v>
      </c>
      <c r="V10" s="4" t="s">
        <v>42</v>
      </c>
    </row>
    <row r="11" spans="1:22">
      <c r="A11" s="7" t="s">
        <v>121</v>
      </c>
      <c r="B11" s="8" t="s">
        <v>104</v>
      </c>
      <c r="C11" s="8" t="s">
        <v>122</v>
      </c>
      <c r="D11" s="8" t="s">
        <v>123</v>
      </c>
      <c r="E11" s="8" t="s">
        <v>124</v>
      </c>
      <c r="F11" s="8" t="s">
        <v>107</v>
      </c>
      <c r="G11" s="8" t="s">
        <v>32</v>
      </c>
      <c r="H11" s="8" t="s">
        <v>125</v>
      </c>
      <c r="I11" s="8" t="s">
        <v>109</v>
      </c>
      <c r="J11" s="8" t="s">
        <v>110</v>
      </c>
      <c r="K11" s="8" t="s">
        <v>126</v>
      </c>
      <c r="L11" s="8" t="s">
        <v>127</v>
      </c>
      <c r="M11" s="8">
        <v>6</v>
      </c>
      <c r="N11" s="8">
        <v>60</v>
      </c>
      <c r="O11" s="8">
        <v>0</v>
      </c>
      <c r="P11" s="8">
        <v>360</v>
      </c>
      <c r="Q11" s="8">
        <v>4</v>
      </c>
      <c r="R11" s="8" t="s">
        <v>83</v>
      </c>
      <c r="S11" s="8" t="s">
        <v>119</v>
      </c>
      <c r="T11" s="10" t="s">
        <v>128</v>
      </c>
      <c r="U11" s="9" t="s">
        <v>129</v>
      </c>
      <c r="V11" s="8" t="s">
        <v>42</v>
      </c>
    </row>
    <row r="12" spans="1:22">
      <c r="A12" s="3" t="s">
        <v>130</v>
      </c>
      <c r="B12" s="4" t="s">
        <v>131</v>
      </c>
      <c r="C12" s="4" t="s">
        <v>28</v>
      </c>
      <c r="D12" s="4" t="s">
        <v>132</v>
      </c>
      <c r="E12" s="4" t="s">
        <v>133</v>
      </c>
      <c r="F12" s="4" t="s">
        <v>134</v>
      </c>
      <c r="G12" s="4" t="s">
        <v>80</v>
      </c>
      <c r="H12" s="4" t="s">
        <v>135</v>
      </c>
      <c r="I12" s="4" t="s">
        <v>48</v>
      </c>
      <c r="J12" s="4" t="s">
        <v>49</v>
      </c>
      <c r="K12" s="4" t="s">
        <v>36</v>
      </c>
      <c r="L12" s="4" t="s">
        <v>37</v>
      </c>
      <c r="M12" s="4">
        <v>-3</v>
      </c>
      <c r="N12" s="4">
        <v>2200</v>
      </c>
      <c r="O12" s="4">
        <v>0</v>
      </c>
      <c r="P12" s="4">
        <v>35200</v>
      </c>
      <c r="Q12" s="4">
        <v>2</v>
      </c>
      <c r="R12" s="4" t="s">
        <v>83</v>
      </c>
      <c r="S12" s="4" t="s">
        <v>53</v>
      </c>
      <c r="T12" s="4" t="s">
        <v>136</v>
      </c>
      <c r="U12" s="6" t="s">
        <v>137</v>
      </c>
      <c r="V12" s="4" t="s">
        <v>68</v>
      </c>
    </row>
    <row r="13" spans="1:22">
      <c r="A13" s="7" t="s">
        <v>138</v>
      </c>
      <c r="B13" s="8" t="s">
        <v>27</v>
      </c>
      <c r="C13" s="8" t="s">
        <v>96</v>
      </c>
      <c r="D13" s="8" t="s">
        <v>139</v>
      </c>
      <c r="E13" s="8" t="s">
        <v>140</v>
      </c>
      <c r="F13" s="8" t="s">
        <v>31</v>
      </c>
      <c r="G13" s="8" t="s">
        <v>32</v>
      </c>
      <c r="H13" s="8" t="s">
        <v>141</v>
      </c>
      <c r="I13" s="8" t="s">
        <v>142</v>
      </c>
      <c r="J13" s="8" t="s">
        <v>110</v>
      </c>
      <c r="K13" s="8" t="s">
        <v>36</v>
      </c>
      <c r="L13" s="8" t="s">
        <v>101</v>
      </c>
      <c r="M13" s="8">
        <v>10</v>
      </c>
      <c r="N13" s="8">
        <v>3500</v>
      </c>
      <c r="O13" s="8">
        <v>5</v>
      </c>
      <c r="P13" s="8">
        <v>33250</v>
      </c>
      <c r="Q13" s="8">
        <v>5</v>
      </c>
      <c r="R13" s="8" t="s">
        <v>83</v>
      </c>
      <c r="S13" s="8" t="s">
        <v>65</v>
      </c>
      <c r="T13" s="8" t="s">
        <v>54</v>
      </c>
      <c r="U13" s="9" t="s">
        <v>143</v>
      </c>
      <c r="V13" s="8" t="s">
        <v>73</v>
      </c>
    </row>
    <row r="14" spans="1:22">
      <c r="A14" s="3" t="s">
        <v>144</v>
      </c>
      <c r="B14" s="4" t="s">
        <v>104</v>
      </c>
      <c r="C14" s="4" t="s">
        <v>28</v>
      </c>
      <c r="D14" s="4" t="s">
        <v>145</v>
      </c>
      <c r="E14" s="4" t="s">
        <v>146</v>
      </c>
      <c r="F14" s="4" t="s">
        <v>107</v>
      </c>
      <c r="G14" s="4" t="s">
        <v>32</v>
      </c>
      <c r="H14" s="4" t="s">
        <v>147</v>
      </c>
      <c r="I14" s="4" t="s">
        <v>118</v>
      </c>
      <c r="J14" s="4" t="s">
        <v>110</v>
      </c>
      <c r="K14" s="4" t="s">
        <v>36</v>
      </c>
      <c r="L14" s="4" t="s">
        <v>37</v>
      </c>
      <c r="M14" s="4">
        <v>15</v>
      </c>
      <c r="N14" s="4">
        <v>2200</v>
      </c>
      <c r="O14" s="4">
        <v>10</v>
      </c>
      <c r="P14" s="4">
        <v>29700</v>
      </c>
      <c r="Q14" s="4">
        <v>1</v>
      </c>
      <c r="R14" s="4" t="s">
        <v>92</v>
      </c>
      <c r="S14" s="4" t="s">
        <v>119</v>
      </c>
      <c r="T14" s="4" t="s">
        <v>148</v>
      </c>
      <c r="U14" s="6" t="s">
        <v>149</v>
      </c>
      <c r="V14" s="4" t="s">
        <v>68</v>
      </c>
    </row>
    <row r="15" spans="1:22">
      <c r="A15" s="7" t="s">
        <v>150</v>
      </c>
      <c r="B15" s="8" t="s">
        <v>131</v>
      </c>
      <c r="C15" s="8" t="s">
        <v>28</v>
      </c>
      <c r="D15" s="8" t="s">
        <v>151</v>
      </c>
      <c r="E15" s="8" t="s">
        <v>152</v>
      </c>
      <c r="F15" s="8" t="s">
        <v>153</v>
      </c>
      <c r="G15" s="8" t="s">
        <v>80</v>
      </c>
      <c r="H15" s="8" t="s">
        <v>154</v>
      </c>
      <c r="I15" s="8" t="s">
        <v>109</v>
      </c>
      <c r="J15" s="8" t="s">
        <v>110</v>
      </c>
      <c r="K15" s="8" t="s">
        <v>36</v>
      </c>
      <c r="L15" s="8" t="s">
        <v>37</v>
      </c>
      <c r="M15" s="8">
        <v>17</v>
      </c>
      <c r="N15" s="8">
        <v>2200</v>
      </c>
      <c r="O15" s="8">
        <v>5</v>
      </c>
      <c r="P15" s="8">
        <v>35530</v>
      </c>
      <c r="Q15" s="8">
        <v>1</v>
      </c>
      <c r="R15" s="8" t="s">
        <v>38</v>
      </c>
      <c r="S15" s="8" t="s">
        <v>155</v>
      </c>
      <c r="T15" s="10" t="s">
        <v>156</v>
      </c>
      <c r="U15" s="9" t="s">
        <v>157</v>
      </c>
      <c r="V15" s="8" t="s">
        <v>42</v>
      </c>
    </row>
    <row r="16" spans="1:22">
      <c r="A16" s="3" t="s">
        <v>158</v>
      </c>
      <c r="B16" s="4" t="s">
        <v>27</v>
      </c>
      <c r="C16" s="4" t="s">
        <v>96</v>
      </c>
      <c r="D16" s="4" t="s">
        <v>159</v>
      </c>
      <c r="E16" s="4" t="s">
        <v>160</v>
      </c>
      <c r="F16" s="4" t="s">
        <v>161</v>
      </c>
      <c r="G16" s="4" t="s">
        <v>32</v>
      </c>
      <c r="H16" s="4" t="s">
        <v>162</v>
      </c>
      <c r="I16" s="4" t="s">
        <v>109</v>
      </c>
      <c r="J16" s="4" t="s">
        <v>110</v>
      </c>
      <c r="K16" s="4" t="s">
        <v>36</v>
      </c>
      <c r="L16" s="4" t="s">
        <v>101</v>
      </c>
      <c r="M16" s="4">
        <v>15</v>
      </c>
      <c r="N16" s="4">
        <v>3500</v>
      </c>
      <c r="O16" s="4">
        <v>15</v>
      </c>
      <c r="P16" s="4">
        <v>44625</v>
      </c>
      <c r="Q16" s="4">
        <v>2</v>
      </c>
      <c r="R16" s="4" t="s">
        <v>38</v>
      </c>
      <c r="S16" s="4" t="s">
        <v>119</v>
      </c>
      <c r="T16" s="5" t="s">
        <v>54</v>
      </c>
      <c r="U16" s="6" t="s">
        <v>163</v>
      </c>
      <c r="V16" s="4" t="s">
        <v>73</v>
      </c>
    </row>
    <row r="17" spans="1:22">
      <c r="A17" s="7" t="s">
        <v>164</v>
      </c>
      <c r="B17" s="8" t="s">
        <v>57</v>
      </c>
      <c r="C17" s="8" t="s">
        <v>76</v>
      </c>
      <c r="D17" s="8" t="s">
        <v>165</v>
      </c>
      <c r="E17" s="8" t="s">
        <v>166</v>
      </c>
      <c r="F17" s="8" t="s">
        <v>167</v>
      </c>
      <c r="G17" s="8" t="s">
        <v>32</v>
      </c>
      <c r="H17" s="8" t="s">
        <v>168</v>
      </c>
      <c r="I17" s="8" t="s">
        <v>34</v>
      </c>
      <c r="J17" s="8" t="s">
        <v>35</v>
      </c>
      <c r="K17" s="8" t="s">
        <v>50</v>
      </c>
      <c r="L17" s="8" t="s">
        <v>82</v>
      </c>
      <c r="M17" s="8">
        <v>3</v>
      </c>
      <c r="N17" s="8">
        <v>1200</v>
      </c>
      <c r="O17" s="8">
        <v>5</v>
      </c>
      <c r="P17" s="8">
        <v>3420</v>
      </c>
      <c r="Q17" s="8">
        <v>5</v>
      </c>
      <c r="R17" s="8" t="s">
        <v>92</v>
      </c>
      <c r="S17" s="8" t="s">
        <v>39</v>
      </c>
      <c r="T17" s="8" t="s">
        <v>169</v>
      </c>
      <c r="U17" s="9" t="s">
        <v>170</v>
      </c>
      <c r="V17" s="8" t="s">
        <v>42</v>
      </c>
    </row>
    <row r="18" spans="1:22">
      <c r="A18" s="3" t="s">
        <v>171</v>
      </c>
      <c r="B18" s="4" t="s">
        <v>172</v>
      </c>
      <c r="C18" s="4" t="s">
        <v>173</v>
      </c>
      <c r="D18" s="4" t="s">
        <v>174</v>
      </c>
      <c r="E18" s="4" t="s">
        <v>175</v>
      </c>
      <c r="F18" s="4" t="s">
        <v>176</v>
      </c>
      <c r="G18" s="4" t="s">
        <v>32</v>
      </c>
      <c r="H18" s="4" t="s">
        <v>177</v>
      </c>
      <c r="I18" s="4" t="s">
        <v>118</v>
      </c>
      <c r="J18" s="4" t="s">
        <v>110</v>
      </c>
      <c r="K18" s="4" t="s">
        <v>36</v>
      </c>
      <c r="L18" s="4" t="s">
        <v>178</v>
      </c>
      <c r="M18" s="4">
        <v>13</v>
      </c>
      <c r="N18" s="4">
        <v>8500</v>
      </c>
      <c r="O18" s="4">
        <v>20</v>
      </c>
      <c r="P18" s="4">
        <v>88400</v>
      </c>
      <c r="Q18" s="4">
        <v>4</v>
      </c>
      <c r="R18" s="4" t="s">
        <v>83</v>
      </c>
      <c r="S18" s="4" t="s">
        <v>53</v>
      </c>
      <c r="T18" s="4" t="s">
        <v>179</v>
      </c>
      <c r="U18" s="6" t="s">
        <v>180</v>
      </c>
      <c r="V18" s="4" t="s">
        <v>68</v>
      </c>
    </row>
    <row r="19" spans="1:22">
      <c r="A19" s="7" t="s">
        <v>181</v>
      </c>
      <c r="B19" s="8" t="s">
        <v>87</v>
      </c>
      <c r="C19" s="8" t="s">
        <v>173</v>
      </c>
      <c r="D19" s="8" t="s">
        <v>182</v>
      </c>
      <c r="E19" s="8" t="s">
        <v>183</v>
      </c>
      <c r="F19" s="8" t="s">
        <v>184</v>
      </c>
      <c r="G19" s="8" t="s">
        <v>80</v>
      </c>
      <c r="H19" s="8" t="s">
        <v>185</v>
      </c>
      <c r="I19" s="8" t="s">
        <v>142</v>
      </c>
      <c r="J19" s="8" t="s">
        <v>110</v>
      </c>
      <c r="K19" s="8" t="s">
        <v>36</v>
      </c>
      <c r="L19" s="8" t="s">
        <v>178</v>
      </c>
      <c r="M19" s="8">
        <v>4</v>
      </c>
      <c r="N19" s="8">
        <v>8500</v>
      </c>
      <c r="O19" s="8">
        <v>20</v>
      </c>
      <c r="P19" s="8">
        <v>27200</v>
      </c>
      <c r="Q19" s="8">
        <v>5</v>
      </c>
      <c r="R19" s="8" t="s">
        <v>83</v>
      </c>
      <c r="S19" s="8" t="s">
        <v>65</v>
      </c>
      <c r="T19" s="8" t="s">
        <v>93</v>
      </c>
      <c r="U19" s="9" t="s">
        <v>186</v>
      </c>
      <c r="V19" s="8" t="s">
        <v>68</v>
      </c>
    </row>
    <row r="20" spans="1:22">
      <c r="A20" s="3" t="s">
        <v>187</v>
      </c>
      <c r="B20" s="4" t="s">
        <v>87</v>
      </c>
      <c r="C20" s="4" t="s">
        <v>188</v>
      </c>
      <c r="D20" s="4" t="s">
        <v>189</v>
      </c>
      <c r="E20" s="4" t="s">
        <v>190</v>
      </c>
      <c r="F20" s="4" t="s">
        <v>191</v>
      </c>
      <c r="G20" s="4" t="s">
        <v>80</v>
      </c>
      <c r="H20" s="4" t="s">
        <v>192</v>
      </c>
      <c r="I20" s="4" t="s">
        <v>109</v>
      </c>
      <c r="J20" s="4" t="s">
        <v>110</v>
      </c>
      <c r="K20" s="4" t="s">
        <v>50</v>
      </c>
      <c r="L20" s="4" t="s">
        <v>193</v>
      </c>
      <c r="M20" s="4">
        <v>9</v>
      </c>
      <c r="N20" s="4">
        <v>700</v>
      </c>
      <c r="O20" s="4">
        <v>5</v>
      </c>
      <c r="P20" s="4">
        <v>5985</v>
      </c>
      <c r="Q20" s="4">
        <v>3</v>
      </c>
      <c r="R20" s="4" t="s">
        <v>92</v>
      </c>
      <c r="S20" s="4" t="s">
        <v>39</v>
      </c>
      <c r="T20" s="5" t="s">
        <v>194</v>
      </c>
      <c r="U20" s="6" t="s">
        <v>195</v>
      </c>
      <c r="V20" s="4" t="s">
        <v>68</v>
      </c>
    </row>
    <row r="21" spans="1:22">
      <c r="A21" s="7" t="s">
        <v>196</v>
      </c>
      <c r="B21" s="8" t="s">
        <v>27</v>
      </c>
      <c r="C21" s="8" t="s">
        <v>58</v>
      </c>
      <c r="D21" s="8" t="s">
        <v>197</v>
      </c>
      <c r="E21" s="8" t="s">
        <v>198</v>
      </c>
      <c r="F21" s="8" t="s">
        <v>31</v>
      </c>
      <c r="G21" s="8" t="s">
        <v>32</v>
      </c>
      <c r="H21" s="8" t="s">
        <v>199</v>
      </c>
      <c r="I21" s="8" t="s">
        <v>142</v>
      </c>
      <c r="J21" s="8" t="s">
        <v>110</v>
      </c>
      <c r="K21" s="8" t="s">
        <v>50</v>
      </c>
      <c r="L21" s="8" t="s">
        <v>64</v>
      </c>
      <c r="M21" s="8">
        <v>8</v>
      </c>
      <c r="N21" s="8">
        <v>55000</v>
      </c>
      <c r="O21" s="8">
        <v>20</v>
      </c>
      <c r="P21" s="8">
        <v>352000</v>
      </c>
      <c r="Q21" s="8">
        <v>1</v>
      </c>
      <c r="R21" s="8" t="s">
        <v>38</v>
      </c>
      <c r="S21" s="8" t="s">
        <v>155</v>
      </c>
      <c r="T21" s="8" t="s">
        <v>54</v>
      </c>
      <c r="U21" s="9" t="s">
        <v>200</v>
      </c>
      <c r="V21" s="8" t="s">
        <v>42</v>
      </c>
    </row>
    <row r="22" spans="1:22">
      <c r="A22" s="3" t="s">
        <v>201</v>
      </c>
      <c r="B22" s="4" t="s">
        <v>131</v>
      </c>
      <c r="C22" s="4" t="s">
        <v>188</v>
      </c>
      <c r="D22" s="4" t="s">
        <v>202</v>
      </c>
      <c r="E22" s="4" t="s">
        <v>203</v>
      </c>
      <c r="F22" s="4" t="s">
        <v>204</v>
      </c>
      <c r="G22" s="4" t="s">
        <v>80</v>
      </c>
      <c r="H22" s="4" t="s">
        <v>205</v>
      </c>
      <c r="I22" s="4" t="s">
        <v>48</v>
      </c>
      <c r="J22" s="4" t="s">
        <v>49</v>
      </c>
      <c r="K22" s="4" t="s">
        <v>206</v>
      </c>
      <c r="L22" s="4" t="s">
        <v>193</v>
      </c>
      <c r="M22" s="4">
        <v>10</v>
      </c>
      <c r="N22" s="4">
        <v>700</v>
      </c>
      <c r="O22" s="4">
        <v>20</v>
      </c>
      <c r="P22" s="4">
        <v>5600</v>
      </c>
      <c r="Q22" s="4">
        <v>4</v>
      </c>
      <c r="R22" s="4" t="s">
        <v>83</v>
      </c>
      <c r="S22" s="4" t="s">
        <v>65</v>
      </c>
      <c r="T22" s="4" t="s">
        <v>136</v>
      </c>
      <c r="U22" s="6" t="s">
        <v>207</v>
      </c>
      <c r="V22" s="4" t="s">
        <v>73</v>
      </c>
    </row>
    <row r="23" spans="1:22">
      <c r="A23" s="7" t="s">
        <v>208</v>
      </c>
      <c r="B23" s="8" t="s">
        <v>27</v>
      </c>
      <c r="C23" s="8" t="s">
        <v>96</v>
      </c>
      <c r="D23" s="8" t="s">
        <v>209</v>
      </c>
      <c r="E23" s="8" t="s">
        <v>210</v>
      </c>
      <c r="F23" s="8" t="s">
        <v>116</v>
      </c>
      <c r="G23" s="8" t="s">
        <v>32</v>
      </c>
      <c r="H23" s="8" t="s">
        <v>211</v>
      </c>
      <c r="I23" s="8" t="s">
        <v>63</v>
      </c>
      <c r="J23" s="8" t="s">
        <v>35</v>
      </c>
      <c r="K23" s="8" t="s">
        <v>36</v>
      </c>
      <c r="L23" s="8" t="s">
        <v>101</v>
      </c>
      <c r="M23" s="8">
        <v>1</v>
      </c>
      <c r="N23" s="8">
        <v>3500</v>
      </c>
      <c r="O23" s="8">
        <v>5</v>
      </c>
      <c r="P23" s="8">
        <v>3325</v>
      </c>
      <c r="Q23" s="8">
        <v>3</v>
      </c>
      <c r="R23" s="8" t="s">
        <v>92</v>
      </c>
      <c r="S23" s="8" t="s">
        <v>119</v>
      </c>
      <c r="T23" s="8" t="s">
        <v>54</v>
      </c>
      <c r="U23" s="9" t="s">
        <v>212</v>
      </c>
      <c r="V23" s="8" t="s">
        <v>73</v>
      </c>
    </row>
    <row r="24" spans="1:22">
      <c r="A24" s="3" t="s">
        <v>213</v>
      </c>
      <c r="B24" s="4" t="s">
        <v>104</v>
      </c>
      <c r="C24" s="4" t="s">
        <v>188</v>
      </c>
      <c r="D24" s="4" t="s">
        <v>106</v>
      </c>
      <c r="E24" s="4" t="s">
        <v>214</v>
      </c>
      <c r="F24" s="4" t="s">
        <v>107</v>
      </c>
      <c r="G24" s="4" t="s">
        <v>32</v>
      </c>
      <c r="H24" s="4" t="s">
        <v>215</v>
      </c>
      <c r="I24" s="4" t="s">
        <v>216</v>
      </c>
      <c r="J24" s="4" t="s">
        <v>49</v>
      </c>
      <c r="K24" s="4" t="s">
        <v>50</v>
      </c>
      <c r="L24" s="4" t="s">
        <v>193</v>
      </c>
      <c r="M24" s="4">
        <v>19</v>
      </c>
      <c r="N24" s="4">
        <v>700</v>
      </c>
      <c r="O24" s="4">
        <v>15</v>
      </c>
      <c r="P24" s="4">
        <v>11305</v>
      </c>
      <c r="Q24" s="4">
        <v>3</v>
      </c>
      <c r="R24" s="4" t="s">
        <v>52</v>
      </c>
      <c r="S24" s="4" t="s">
        <v>155</v>
      </c>
      <c r="T24" s="4" t="s">
        <v>148</v>
      </c>
      <c r="U24" s="6" t="s">
        <v>217</v>
      </c>
      <c r="V24" s="4" t="s">
        <v>68</v>
      </c>
    </row>
    <row r="25" spans="1:22">
      <c r="A25" s="7" t="s">
        <v>218</v>
      </c>
      <c r="B25" s="8" t="s">
        <v>75</v>
      </c>
      <c r="C25" s="8" t="s">
        <v>58</v>
      </c>
      <c r="D25" s="8" t="s">
        <v>219</v>
      </c>
      <c r="E25" s="8" t="s">
        <v>220</v>
      </c>
      <c r="F25" s="8" t="s">
        <v>221</v>
      </c>
      <c r="G25" s="8" t="s">
        <v>80</v>
      </c>
      <c r="H25" s="8" t="s">
        <v>222</v>
      </c>
      <c r="I25" s="8" t="s">
        <v>63</v>
      </c>
      <c r="J25" s="8" t="s">
        <v>35</v>
      </c>
      <c r="K25" s="8" t="s">
        <v>50</v>
      </c>
      <c r="L25" s="8" t="s">
        <v>64</v>
      </c>
      <c r="M25" s="8">
        <v>12</v>
      </c>
      <c r="N25" s="8">
        <v>55000</v>
      </c>
      <c r="O25" s="8">
        <v>0</v>
      </c>
      <c r="P25" s="8">
        <v>660000</v>
      </c>
      <c r="Q25" s="8">
        <v>1</v>
      </c>
      <c r="R25" s="8" t="s">
        <v>83</v>
      </c>
      <c r="S25" s="8" t="s">
        <v>53</v>
      </c>
      <c r="T25" s="8" t="s">
        <v>84</v>
      </c>
      <c r="U25" s="9" t="s">
        <v>223</v>
      </c>
      <c r="V25" s="8" t="s">
        <v>68</v>
      </c>
    </row>
    <row r="26" spans="1:22">
      <c r="A26" s="3" t="s">
        <v>224</v>
      </c>
      <c r="B26" s="4" t="s">
        <v>225</v>
      </c>
      <c r="C26" s="4" t="s">
        <v>226</v>
      </c>
      <c r="D26" s="4" t="s">
        <v>227</v>
      </c>
      <c r="E26" s="4" t="s">
        <v>228</v>
      </c>
      <c r="F26" s="4" t="s">
        <v>229</v>
      </c>
      <c r="G26" s="4" t="s">
        <v>80</v>
      </c>
      <c r="H26" s="4" t="s">
        <v>230</v>
      </c>
      <c r="I26" s="4" t="s">
        <v>109</v>
      </c>
      <c r="J26" s="4" t="s">
        <v>110</v>
      </c>
      <c r="K26" s="4" t="s">
        <v>126</v>
      </c>
      <c r="L26" s="4" t="s">
        <v>231</v>
      </c>
      <c r="M26" s="4">
        <v>1</v>
      </c>
      <c r="N26" s="4">
        <v>20</v>
      </c>
      <c r="O26" s="4">
        <v>5</v>
      </c>
      <c r="P26" s="4">
        <v>19</v>
      </c>
      <c r="Q26" s="4">
        <v>5</v>
      </c>
      <c r="R26" s="4" t="s">
        <v>83</v>
      </c>
      <c r="S26" s="4" t="s">
        <v>39</v>
      </c>
      <c r="T26" s="4" t="s">
        <v>232</v>
      </c>
      <c r="U26" s="6" t="s">
        <v>233</v>
      </c>
      <c r="V26" s="4" t="s">
        <v>73</v>
      </c>
    </row>
    <row r="27" spans="1:22">
      <c r="A27" s="7" t="s">
        <v>234</v>
      </c>
      <c r="B27" s="8" t="s">
        <v>87</v>
      </c>
      <c r="C27" s="8" t="s">
        <v>226</v>
      </c>
      <c r="D27" s="8" t="s">
        <v>235</v>
      </c>
      <c r="E27" s="8" t="s">
        <v>236</v>
      </c>
      <c r="F27" s="8" t="s">
        <v>184</v>
      </c>
      <c r="G27" s="8" t="s">
        <v>80</v>
      </c>
      <c r="H27" s="8" t="s">
        <v>237</v>
      </c>
      <c r="I27" s="8" t="s">
        <v>109</v>
      </c>
      <c r="J27" s="8" t="s">
        <v>110</v>
      </c>
      <c r="K27" s="8" t="s">
        <v>126</v>
      </c>
      <c r="L27" s="8" t="s">
        <v>231</v>
      </c>
      <c r="M27" s="8">
        <v>2</v>
      </c>
      <c r="N27" s="8">
        <v>20</v>
      </c>
      <c r="O27" s="8">
        <v>15</v>
      </c>
      <c r="P27" s="8">
        <v>34</v>
      </c>
      <c r="Q27" s="8">
        <v>1</v>
      </c>
      <c r="R27" s="8" t="s">
        <v>92</v>
      </c>
      <c r="S27" s="8" t="s">
        <v>39</v>
      </c>
      <c r="T27" s="8" t="s">
        <v>93</v>
      </c>
      <c r="U27" s="9" t="s">
        <v>238</v>
      </c>
      <c r="V27" s="8" t="s">
        <v>68</v>
      </c>
    </row>
    <row r="28" spans="1:22">
      <c r="A28" s="3" t="s">
        <v>239</v>
      </c>
      <c r="B28" s="4" t="s">
        <v>75</v>
      </c>
      <c r="C28" s="4" t="s">
        <v>96</v>
      </c>
      <c r="D28" s="4" t="s">
        <v>240</v>
      </c>
      <c r="E28" s="4" t="s">
        <v>241</v>
      </c>
      <c r="F28" s="4" t="s">
        <v>221</v>
      </c>
      <c r="G28" s="4" t="s">
        <v>80</v>
      </c>
      <c r="H28" s="4" t="s">
        <v>242</v>
      </c>
      <c r="I28" s="4" t="s">
        <v>142</v>
      </c>
      <c r="J28" s="4" t="s">
        <v>110</v>
      </c>
      <c r="K28" s="4" t="s">
        <v>36</v>
      </c>
      <c r="L28" s="4" t="s">
        <v>101</v>
      </c>
      <c r="M28" s="4">
        <v>12</v>
      </c>
      <c r="N28" s="4">
        <v>3500</v>
      </c>
      <c r="O28" s="4">
        <v>15</v>
      </c>
      <c r="P28" s="4">
        <v>35700</v>
      </c>
      <c r="Q28" s="4">
        <v>4</v>
      </c>
      <c r="R28" s="4" t="s">
        <v>38</v>
      </c>
      <c r="S28" s="4" t="s">
        <v>53</v>
      </c>
      <c r="T28" s="4" t="s">
        <v>84</v>
      </c>
      <c r="U28" s="6" t="s">
        <v>243</v>
      </c>
      <c r="V28" s="4" t="s">
        <v>73</v>
      </c>
    </row>
    <row r="29" spans="1:22">
      <c r="A29" s="7" t="s">
        <v>244</v>
      </c>
      <c r="B29" s="8" t="s">
        <v>27</v>
      </c>
      <c r="C29" s="8" t="s">
        <v>76</v>
      </c>
      <c r="D29" s="8" t="s">
        <v>245</v>
      </c>
      <c r="E29" s="8" t="s">
        <v>246</v>
      </c>
      <c r="F29" s="8" t="s">
        <v>31</v>
      </c>
      <c r="G29" s="8" t="s">
        <v>32</v>
      </c>
      <c r="H29" s="8" t="s">
        <v>247</v>
      </c>
      <c r="I29" s="8" t="s">
        <v>142</v>
      </c>
      <c r="J29" s="8" t="s">
        <v>110</v>
      </c>
      <c r="K29" s="8" t="s">
        <v>50</v>
      </c>
      <c r="L29" s="8" t="s">
        <v>82</v>
      </c>
      <c r="M29" s="8">
        <v>11</v>
      </c>
      <c r="N29" s="8">
        <v>1200</v>
      </c>
      <c r="O29" s="8">
        <v>0</v>
      </c>
      <c r="P29" s="8">
        <v>13200</v>
      </c>
      <c r="Q29" s="8">
        <v>2</v>
      </c>
      <c r="R29" s="8" t="s">
        <v>92</v>
      </c>
      <c r="S29" s="8" t="s">
        <v>155</v>
      </c>
      <c r="T29" s="8" t="s">
        <v>54</v>
      </c>
      <c r="U29" s="9" t="s">
        <v>248</v>
      </c>
      <c r="V29" s="8" t="s">
        <v>42</v>
      </c>
    </row>
    <row r="30" spans="1:22">
      <c r="A30" s="3" t="s">
        <v>249</v>
      </c>
      <c r="B30" s="4" t="s">
        <v>131</v>
      </c>
      <c r="C30" s="4" t="s">
        <v>173</v>
      </c>
      <c r="D30" s="4" t="s">
        <v>250</v>
      </c>
      <c r="E30" s="4" t="s">
        <v>251</v>
      </c>
      <c r="F30" s="4" t="s">
        <v>204</v>
      </c>
      <c r="G30" s="4" t="s">
        <v>80</v>
      </c>
      <c r="H30" s="4" t="s">
        <v>252</v>
      </c>
      <c r="I30" s="4" t="s">
        <v>118</v>
      </c>
      <c r="J30" s="4" t="s">
        <v>110</v>
      </c>
      <c r="K30" s="4" t="s">
        <v>36</v>
      </c>
      <c r="L30" s="4" t="s">
        <v>178</v>
      </c>
      <c r="M30" s="4">
        <v>6</v>
      </c>
      <c r="N30" s="4">
        <v>8500</v>
      </c>
      <c r="O30" s="4">
        <v>65</v>
      </c>
      <c r="P30" s="4">
        <v>51000</v>
      </c>
      <c r="Q30" s="4">
        <v>1</v>
      </c>
      <c r="R30" s="4" t="s">
        <v>83</v>
      </c>
      <c r="S30" s="4" t="s">
        <v>65</v>
      </c>
      <c r="T30" s="4" t="s">
        <v>136</v>
      </c>
      <c r="U30" s="6" t="s">
        <v>253</v>
      </c>
      <c r="V30" s="4" t="s">
        <v>42</v>
      </c>
    </row>
    <row r="31" spans="1:22">
      <c r="A31" s="7" t="s">
        <v>254</v>
      </c>
      <c r="B31" s="8" t="s">
        <v>255</v>
      </c>
      <c r="C31" s="8" t="s">
        <v>122</v>
      </c>
      <c r="D31" s="8" t="s">
        <v>256</v>
      </c>
      <c r="E31" s="8" t="s">
        <v>257</v>
      </c>
      <c r="F31" s="8" t="s">
        <v>258</v>
      </c>
      <c r="G31" s="8" t="s">
        <v>32</v>
      </c>
      <c r="H31" s="8" t="s">
        <v>259</v>
      </c>
      <c r="I31" s="8" t="s">
        <v>118</v>
      </c>
      <c r="J31" s="8" t="s">
        <v>110</v>
      </c>
      <c r="K31" s="8" t="s">
        <v>126</v>
      </c>
      <c r="L31" s="8" t="s">
        <v>127</v>
      </c>
      <c r="M31" s="8">
        <v>2</v>
      </c>
      <c r="N31" s="8">
        <v>60</v>
      </c>
      <c r="O31" s="8">
        <v>5</v>
      </c>
      <c r="P31" s="8">
        <v>114</v>
      </c>
      <c r="Q31" s="8">
        <v>3</v>
      </c>
      <c r="R31" s="8" t="s">
        <v>38</v>
      </c>
      <c r="S31" s="8" t="s">
        <v>155</v>
      </c>
      <c r="T31" s="8" t="s">
        <v>260</v>
      </c>
      <c r="U31" s="9" t="s">
        <v>261</v>
      </c>
      <c r="V31" s="8" t="s">
        <v>73</v>
      </c>
    </row>
    <row r="32" spans="1:22">
      <c r="A32" s="3" t="s">
        <v>262</v>
      </c>
      <c r="B32" s="4" t="s">
        <v>27</v>
      </c>
      <c r="C32" s="4" t="s">
        <v>263</v>
      </c>
      <c r="D32" s="4" t="s">
        <v>264</v>
      </c>
      <c r="E32" s="4" t="s">
        <v>265</v>
      </c>
      <c r="F32" s="4" t="s">
        <v>31</v>
      </c>
      <c r="G32" s="4" t="s">
        <v>32</v>
      </c>
      <c r="H32" s="4" t="s">
        <v>266</v>
      </c>
      <c r="I32" s="4" t="s">
        <v>63</v>
      </c>
      <c r="J32" s="4" t="s">
        <v>35</v>
      </c>
      <c r="K32" s="4" t="s">
        <v>126</v>
      </c>
      <c r="L32" s="4" t="s">
        <v>267</v>
      </c>
      <c r="M32" s="4">
        <v>19</v>
      </c>
      <c r="N32" s="4">
        <v>45</v>
      </c>
      <c r="O32" s="4">
        <v>20</v>
      </c>
      <c r="P32" s="4">
        <v>684</v>
      </c>
      <c r="Q32" s="4">
        <v>4</v>
      </c>
      <c r="R32" s="4" t="s">
        <v>52</v>
      </c>
      <c r="S32" s="4" t="s">
        <v>65</v>
      </c>
      <c r="T32" s="4" t="s">
        <v>54</v>
      </c>
      <c r="U32" s="6" t="s">
        <v>268</v>
      </c>
      <c r="V32" s="4" t="s">
        <v>73</v>
      </c>
    </row>
    <row r="33" spans="1:22">
      <c r="A33" s="7" t="s">
        <v>269</v>
      </c>
      <c r="B33" s="8" t="s">
        <v>104</v>
      </c>
      <c r="C33" s="8" t="s">
        <v>44</v>
      </c>
      <c r="D33" s="8" t="s">
        <v>270</v>
      </c>
      <c r="E33" s="8" t="s">
        <v>271</v>
      </c>
      <c r="F33" s="8" t="s">
        <v>272</v>
      </c>
      <c r="G33" s="8" t="s">
        <v>32</v>
      </c>
      <c r="H33" s="8" t="s">
        <v>273</v>
      </c>
      <c r="I33" s="8" t="s">
        <v>142</v>
      </c>
      <c r="J33" s="8" t="s">
        <v>110</v>
      </c>
      <c r="K33" s="8" t="s">
        <v>50</v>
      </c>
      <c r="L33" s="8" t="s">
        <v>51</v>
      </c>
      <c r="M33" s="8">
        <v>11</v>
      </c>
      <c r="N33" s="8">
        <v>12000</v>
      </c>
      <c r="O33" s="8">
        <v>0</v>
      </c>
      <c r="P33" s="8">
        <v>132000</v>
      </c>
      <c r="Q33" s="8">
        <v>3</v>
      </c>
      <c r="R33" s="8" t="s">
        <v>92</v>
      </c>
      <c r="S33" s="8" t="s">
        <v>39</v>
      </c>
      <c r="T33" s="8" t="s">
        <v>148</v>
      </c>
      <c r="U33" s="9" t="s">
        <v>274</v>
      </c>
      <c r="V33" s="8" t="s">
        <v>68</v>
      </c>
    </row>
    <row r="34" spans="1:22">
      <c r="A34" s="3" t="s">
        <v>275</v>
      </c>
      <c r="B34" s="4" t="s">
        <v>255</v>
      </c>
      <c r="C34" s="4" t="s">
        <v>28</v>
      </c>
      <c r="D34" s="4" t="s">
        <v>276</v>
      </c>
      <c r="E34" s="4" t="s">
        <v>140</v>
      </c>
      <c r="F34" s="4" t="s">
        <v>258</v>
      </c>
      <c r="G34" s="4" t="s">
        <v>32</v>
      </c>
      <c r="H34" s="4" t="s">
        <v>277</v>
      </c>
      <c r="I34" s="4" t="s">
        <v>63</v>
      </c>
      <c r="J34" s="4" t="s">
        <v>35</v>
      </c>
      <c r="K34" s="4" t="s">
        <v>36</v>
      </c>
      <c r="L34" s="4" t="s">
        <v>37</v>
      </c>
      <c r="M34" s="4">
        <v>20</v>
      </c>
      <c r="N34" s="4">
        <v>2200</v>
      </c>
      <c r="O34" s="4">
        <v>5</v>
      </c>
      <c r="P34" s="4">
        <v>41800</v>
      </c>
      <c r="Q34" s="4">
        <v>1</v>
      </c>
      <c r="R34" s="4" t="s">
        <v>38</v>
      </c>
      <c r="S34" s="4" t="s">
        <v>53</v>
      </c>
      <c r="T34" s="4" t="s">
        <v>260</v>
      </c>
      <c r="U34" s="6" t="s">
        <v>278</v>
      </c>
      <c r="V34" s="4" t="s">
        <v>68</v>
      </c>
    </row>
    <row r="35" spans="1:22">
      <c r="A35" s="7" t="s">
        <v>279</v>
      </c>
      <c r="B35" s="8" t="s">
        <v>87</v>
      </c>
      <c r="C35" s="8" t="s">
        <v>226</v>
      </c>
      <c r="D35" s="8" t="s">
        <v>235</v>
      </c>
      <c r="E35" s="8" t="s">
        <v>280</v>
      </c>
      <c r="F35" s="8" t="s">
        <v>184</v>
      </c>
      <c r="G35" s="8" t="s">
        <v>80</v>
      </c>
      <c r="H35" s="8" t="s">
        <v>281</v>
      </c>
      <c r="I35" s="8" t="s">
        <v>142</v>
      </c>
      <c r="J35" s="8" t="s">
        <v>110</v>
      </c>
      <c r="K35" s="8" t="s">
        <v>126</v>
      </c>
      <c r="L35" s="8" t="s">
        <v>231</v>
      </c>
      <c r="M35" s="8">
        <v>3</v>
      </c>
      <c r="N35" s="8">
        <v>20</v>
      </c>
      <c r="O35" s="8">
        <v>0</v>
      </c>
      <c r="P35" s="8">
        <v>60</v>
      </c>
      <c r="Q35" s="8">
        <v>2</v>
      </c>
      <c r="R35" s="8" t="s">
        <v>83</v>
      </c>
      <c r="S35" s="8" t="s">
        <v>39</v>
      </c>
      <c r="T35" s="8" t="s">
        <v>282</v>
      </c>
      <c r="U35" s="9" t="s">
        <v>283</v>
      </c>
      <c r="V35" s="8" t="s">
        <v>73</v>
      </c>
    </row>
    <row r="36" spans="1:22">
      <c r="A36" s="3" t="s">
        <v>284</v>
      </c>
      <c r="B36" s="4" t="s">
        <v>131</v>
      </c>
      <c r="C36" s="4" t="s">
        <v>263</v>
      </c>
      <c r="D36" s="4" t="s">
        <v>285</v>
      </c>
      <c r="E36" s="4" t="s">
        <v>286</v>
      </c>
      <c r="F36" s="4" t="s">
        <v>204</v>
      </c>
      <c r="G36" s="4" t="s">
        <v>80</v>
      </c>
      <c r="H36" s="4" t="s">
        <v>287</v>
      </c>
      <c r="I36" s="4" t="s">
        <v>118</v>
      </c>
      <c r="J36" s="4" t="s">
        <v>110</v>
      </c>
      <c r="K36" s="4" t="s">
        <v>126</v>
      </c>
      <c r="L36" s="4" t="s">
        <v>267</v>
      </c>
      <c r="M36" s="4">
        <v>18</v>
      </c>
      <c r="N36" s="4">
        <v>45</v>
      </c>
      <c r="O36" s="4">
        <v>20</v>
      </c>
      <c r="P36" s="4">
        <v>648</v>
      </c>
      <c r="Q36" s="4">
        <v>4</v>
      </c>
      <c r="R36" s="4" t="s">
        <v>52</v>
      </c>
      <c r="S36" s="4" t="s">
        <v>39</v>
      </c>
      <c r="T36" s="4" t="s">
        <v>136</v>
      </c>
      <c r="U36" s="6" t="s">
        <v>288</v>
      </c>
      <c r="V36" s="4" t="s">
        <v>73</v>
      </c>
    </row>
    <row r="37" spans="1:22">
      <c r="A37" s="7" t="s">
        <v>289</v>
      </c>
      <c r="B37" s="8" t="s">
        <v>131</v>
      </c>
      <c r="C37" s="8" t="s">
        <v>76</v>
      </c>
      <c r="D37" s="8" t="s">
        <v>290</v>
      </c>
      <c r="E37" s="8" t="s">
        <v>291</v>
      </c>
      <c r="F37" s="8" t="s">
        <v>204</v>
      </c>
      <c r="G37" s="8" t="s">
        <v>80</v>
      </c>
      <c r="H37" s="8" t="s">
        <v>292</v>
      </c>
      <c r="I37" s="8" t="s">
        <v>63</v>
      </c>
      <c r="J37" s="8" t="s">
        <v>35</v>
      </c>
      <c r="K37" s="8" t="s">
        <v>50</v>
      </c>
      <c r="L37" s="8" t="s">
        <v>82</v>
      </c>
      <c r="M37" s="8">
        <v>4</v>
      </c>
      <c r="N37" s="8">
        <v>1200</v>
      </c>
      <c r="O37" s="8">
        <v>20</v>
      </c>
      <c r="P37" s="8">
        <v>3840</v>
      </c>
      <c r="Q37" s="8">
        <v>3</v>
      </c>
      <c r="R37" s="8" t="s">
        <v>52</v>
      </c>
      <c r="S37" s="8" t="s">
        <v>65</v>
      </c>
      <c r="T37" s="8" t="s">
        <v>136</v>
      </c>
      <c r="U37" s="9" t="s">
        <v>293</v>
      </c>
      <c r="V37" s="8" t="s">
        <v>42</v>
      </c>
    </row>
    <row r="38" spans="1:22">
      <c r="A38" s="3" t="s">
        <v>294</v>
      </c>
      <c r="B38" s="4" t="s">
        <v>75</v>
      </c>
      <c r="C38" s="4" t="s">
        <v>58</v>
      </c>
      <c r="D38" s="4" t="s">
        <v>295</v>
      </c>
      <c r="E38" s="4" t="s">
        <v>296</v>
      </c>
      <c r="F38" s="4" t="s">
        <v>221</v>
      </c>
      <c r="G38" s="4" t="s">
        <v>80</v>
      </c>
      <c r="H38" s="4" t="s">
        <v>297</v>
      </c>
      <c r="I38" s="4" t="s">
        <v>298</v>
      </c>
      <c r="J38" s="4" t="s">
        <v>299</v>
      </c>
      <c r="K38" s="4" t="s">
        <v>50</v>
      </c>
      <c r="L38" s="4" t="s">
        <v>64</v>
      </c>
      <c r="M38" s="4">
        <v>10</v>
      </c>
      <c r="N38" s="4">
        <v>55000</v>
      </c>
      <c r="O38" s="4">
        <v>0</v>
      </c>
      <c r="P38" s="4">
        <v>550000</v>
      </c>
      <c r="Q38" s="4">
        <v>1</v>
      </c>
      <c r="R38" s="4" t="s">
        <v>92</v>
      </c>
      <c r="S38" s="4" t="s">
        <v>53</v>
      </c>
      <c r="T38" s="4" t="s">
        <v>84</v>
      </c>
      <c r="U38" s="6" t="s">
        <v>300</v>
      </c>
      <c r="V38" s="4" t="s">
        <v>73</v>
      </c>
    </row>
    <row r="39" spans="1:22">
      <c r="A39" s="7" t="s">
        <v>301</v>
      </c>
      <c r="B39" s="8" t="s">
        <v>255</v>
      </c>
      <c r="C39" s="8" t="s">
        <v>96</v>
      </c>
      <c r="D39" s="8" t="s">
        <v>302</v>
      </c>
      <c r="E39" s="8" t="s">
        <v>246</v>
      </c>
      <c r="F39" s="8" t="s">
        <v>258</v>
      </c>
      <c r="G39" s="8" t="s">
        <v>32</v>
      </c>
      <c r="H39" s="8" t="s">
        <v>303</v>
      </c>
      <c r="I39" s="8" t="s">
        <v>48</v>
      </c>
      <c r="J39" s="8" t="s">
        <v>49</v>
      </c>
      <c r="K39" s="8" t="s">
        <v>36</v>
      </c>
      <c r="L39" s="8" t="s">
        <v>101</v>
      </c>
      <c r="M39" s="8">
        <v>20</v>
      </c>
      <c r="N39" s="8">
        <v>3500</v>
      </c>
      <c r="O39" s="8">
        <v>10</v>
      </c>
      <c r="P39" s="8">
        <v>63000</v>
      </c>
      <c r="Q39" s="8">
        <v>3</v>
      </c>
      <c r="R39" s="8" t="s">
        <v>83</v>
      </c>
      <c r="S39" s="8" t="s">
        <v>53</v>
      </c>
      <c r="T39" s="8" t="s">
        <v>260</v>
      </c>
      <c r="U39" s="9" t="s">
        <v>304</v>
      </c>
      <c r="V39" s="8" t="s">
        <v>73</v>
      </c>
    </row>
    <row r="40" spans="1:22">
      <c r="A40" s="3" t="s">
        <v>305</v>
      </c>
      <c r="B40" s="4" t="s">
        <v>27</v>
      </c>
      <c r="C40" s="4" t="s">
        <v>226</v>
      </c>
      <c r="D40" s="4" t="s">
        <v>306</v>
      </c>
      <c r="E40" s="4" t="s">
        <v>307</v>
      </c>
      <c r="F40" s="4" t="s">
        <v>31</v>
      </c>
      <c r="G40" s="4" t="s">
        <v>32</v>
      </c>
      <c r="H40" s="4" t="s">
        <v>308</v>
      </c>
      <c r="I40" s="4" t="s">
        <v>118</v>
      </c>
      <c r="J40" s="4" t="s">
        <v>110</v>
      </c>
      <c r="K40" s="4" t="s">
        <v>126</v>
      </c>
      <c r="L40" s="4" t="s">
        <v>231</v>
      </c>
      <c r="M40" s="4">
        <v>5</v>
      </c>
      <c r="N40" s="4" t="s">
        <v>309</v>
      </c>
      <c r="O40" s="4">
        <v>0</v>
      </c>
      <c r="P40" s="4">
        <v>100</v>
      </c>
      <c r="Q40" s="4">
        <v>1</v>
      </c>
      <c r="R40" s="4" t="s">
        <v>38</v>
      </c>
      <c r="S40" s="4" t="s">
        <v>53</v>
      </c>
      <c r="T40" s="4" t="s">
        <v>54</v>
      </c>
      <c r="U40" s="6" t="s">
        <v>310</v>
      </c>
      <c r="V40" s="4" t="s">
        <v>73</v>
      </c>
    </row>
    <row r="41" spans="1:22">
      <c r="A41" s="7" t="s">
        <v>311</v>
      </c>
      <c r="B41" s="8" t="s">
        <v>57</v>
      </c>
      <c r="C41" s="8" t="s">
        <v>173</v>
      </c>
      <c r="D41" s="8" t="s">
        <v>312</v>
      </c>
      <c r="E41" s="8" t="s">
        <v>313</v>
      </c>
      <c r="F41" s="8" t="s">
        <v>167</v>
      </c>
      <c r="G41" s="8" t="s">
        <v>32</v>
      </c>
      <c r="H41" s="8" t="s">
        <v>314</v>
      </c>
      <c r="I41" s="8" t="s">
        <v>109</v>
      </c>
      <c r="J41" s="8" t="s">
        <v>110</v>
      </c>
      <c r="K41" s="8" t="s">
        <v>36</v>
      </c>
      <c r="L41" s="8" t="s">
        <v>178</v>
      </c>
      <c r="M41" s="8">
        <v>20</v>
      </c>
      <c r="N41" s="8">
        <v>8500</v>
      </c>
      <c r="O41" s="8">
        <v>0</v>
      </c>
      <c r="P41" s="8">
        <v>170000</v>
      </c>
      <c r="Q41" s="8">
        <v>1</v>
      </c>
      <c r="R41" s="8" t="s">
        <v>92</v>
      </c>
      <c r="S41" s="8" t="s">
        <v>119</v>
      </c>
      <c r="T41" s="8" t="s">
        <v>66</v>
      </c>
      <c r="U41" s="9" t="s">
        <v>315</v>
      </c>
      <c r="V41" s="8" t="s">
        <v>73</v>
      </c>
    </row>
    <row r="42" spans="1:22">
      <c r="A42" s="3" t="s">
        <v>316</v>
      </c>
      <c r="B42" s="4" t="s">
        <v>87</v>
      </c>
      <c r="C42" s="4" t="s">
        <v>122</v>
      </c>
      <c r="D42" s="4" t="s">
        <v>317</v>
      </c>
      <c r="E42" s="4" t="s">
        <v>318</v>
      </c>
      <c r="F42" s="4" t="s">
        <v>184</v>
      </c>
      <c r="G42" s="4" t="s">
        <v>80</v>
      </c>
      <c r="H42" s="4" t="s">
        <v>319</v>
      </c>
      <c r="I42" s="4" t="s">
        <v>63</v>
      </c>
      <c r="J42" s="4" t="s">
        <v>35</v>
      </c>
      <c r="K42" s="4" t="s">
        <v>126</v>
      </c>
      <c r="L42" s="4" t="s">
        <v>127</v>
      </c>
      <c r="M42" s="4">
        <v>8</v>
      </c>
      <c r="N42" s="4">
        <v>60</v>
      </c>
      <c r="O42" s="4">
        <v>15</v>
      </c>
      <c r="P42" s="4">
        <v>408</v>
      </c>
      <c r="Q42" s="4">
        <v>5</v>
      </c>
      <c r="R42" s="4" t="s">
        <v>92</v>
      </c>
      <c r="S42" s="4" t="s">
        <v>53</v>
      </c>
      <c r="T42" s="4" t="s">
        <v>93</v>
      </c>
      <c r="U42" s="6" t="s">
        <v>320</v>
      </c>
      <c r="V42" s="4" t="s">
        <v>68</v>
      </c>
    </row>
    <row r="43" spans="1:22">
      <c r="A43" s="7" t="s">
        <v>321</v>
      </c>
      <c r="B43" s="8" t="s">
        <v>57</v>
      </c>
      <c r="C43" s="8" t="s">
        <v>96</v>
      </c>
      <c r="D43" s="8" t="s">
        <v>322</v>
      </c>
      <c r="E43" s="8" t="s">
        <v>264</v>
      </c>
      <c r="F43" s="8" t="s">
        <v>167</v>
      </c>
      <c r="G43" s="8" t="s">
        <v>32</v>
      </c>
      <c r="H43" s="8" t="s">
        <v>323</v>
      </c>
      <c r="I43" s="8" t="s">
        <v>118</v>
      </c>
      <c r="J43" s="8" t="s">
        <v>110</v>
      </c>
      <c r="K43" s="8" t="s">
        <v>36</v>
      </c>
      <c r="L43" s="8" t="s">
        <v>101</v>
      </c>
      <c r="M43" s="8">
        <v>8</v>
      </c>
      <c r="N43" s="8">
        <v>3500</v>
      </c>
      <c r="O43" s="8">
        <v>5</v>
      </c>
      <c r="P43" s="8">
        <v>26600</v>
      </c>
      <c r="Q43" s="8">
        <v>1</v>
      </c>
      <c r="R43" s="8" t="s">
        <v>83</v>
      </c>
      <c r="S43" s="8" t="s">
        <v>119</v>
      </c>
      <c r="T43" s="8" t="s">
        <v>66</v>
      </c>
      <c r="U43" s="9" t="s">
        <v>324</v>
      </c>
      <c r="V43" s="8" t="s">
        <v>68</v>
      </c>
    </row>
    <row r="44" spans="1:22">
      <c r="A44" s="3" t="s">
        <v>325</v>
      </c>
      <c r="B44" s="4" t="s">
        <v>75</v>
      </c>
      <c r="C44" s="4" t="s">
        <v>173</v>
      </c>
      <c r="D44" s="4" t="s">
        <v>326</v>
      </c>
      <c r="E44" s="4" t="s">
        <v>327</v>
      </c>
      <c r="F44" s="4" t="s">
        <v>221</v>
      </c>
      <c r="G44" s="4" t="s">
        <v>80</v>
      </c>
      <c r="H44" s="4" t="s">
        <v>328</v>
      </c>
      <c r="I44" s="4" t="s">
        <v>216</v>
      </c>
      <c r="J44" s="4" t="s">
        <v>49</v>
      </c>
      <c r="K44" s="4" t="s">
        <v>36</v>
      </c>
      <c r="L44" s="4" t="s">
        <v>178</v>
      </c>
      <c r="M44" s="4">
        <v>1</v>
      </c>
      <c r="N44" s="4">
        <v>8500</v>
      </c>
      <c r="O44" s="4">
        <v>0</v>
      </c>
      <c r="P44" s="4">
        <v>8500</v>
      </c>
      <c r="Q44" s="4">
        <v>2</v>
      </c>
      <c r="R44" s="4" t="s">
        <v>83</v>
      </c>
      <c r="S44" s="4" t="s">
        <v>119</v>
      </c>
      <c r="T44" s="4" t="s">
        <v>84</v>
      </c>
      <c r="U44" s="6" t="s">
        <v>329</v>
      </c>
      <c r="V44" s="4" t="s">
        <v>68</v>
      </c>
    </row>
    <row r="45" spans="1:22">
      <c r="A45" s="7" t="s">
        <v>330</v>
      </c>
      <c r="B45" s="8" t="s">
        <v>331</v>
      </c>
      <c r="C45" s="8" t="s">
        <v>263</v>
      </c>
      <c r="D45" s="8" t="s">
        <v>332</v>
      </c>
      <c r="E45" s="8" t="s">
        <v>333</v>
      </c>
      <c r="F45" s="8" t="s">
        <v>334</v>
      </c>
      <c r="G45" s="8" t="s">
        <v>80</v>
      </c>
      <c r="H45" s="8" t="s">
        <v>335</v>
      </c>
      <c r="I45" s="8" t="s">
        <v>118</v>
      </c>
      <c r="J45" s="8" t="s">
        <v>110</v>
      </c>
      <c r="K45" s="8" t="s">
        <v>126</v>
      </c>
      <c r="L45" s="8" t="s">
        <v>267</v>
      </c>
      <c r="M45" s="8">
        <v>8</v>
      </c>
      <c r="N45" s="8">
        <v>45</v>
      </c>
      <c r="O45" s="8">
        <v>15</v>
      </c>
      <c r="P45" s="8">
        <v>306</v>
      </c>
      <c r="Q45" s="8">
        <v>2</v>
      </c>
      <c r="R45" s="8" t="s">
        <v>83</v>
      </c>
      <c r="S45" s="8" t="s">
        <v>65</v>
      </c>
      <c r="T45" s="8" t="s">
        <v>336</v>
      </c>
      <c r="U45" s="9" t="s">
        <v>337</v>
      </c>
      <c r="V45" s="8" t="s">
        <v>42</v>
      </c>
    </row>
    <row r="46" spans="1:22">
      <c r="A46" s="3" t="s">
        <v>338</v>
      </c>
      <c r="B46" s="4" t="s">
        <v>255</v>
      </c>
      <c r="C46" s="4" t="s">
        <v>28</v>
      </c>
      <c r="D46" s="4" t="s">
        <v>339</v>
      </c>
      <c r="E46" s="4" t="s">
        <v>340</v>
      </c>
      <c r="F46" s="4" t="s">
        <v>258</v>
      </c>
      <c r="G46" s="4" t="s">
        <v>32</v>
      </c>
      <c r="H46" s="4" t="s">
        <v>341</v>
      </c>
      <c r="I46" s="4" t="s">
        <v>118</v>
      </c>
      <c r="J46" s="4" t="s">
        <v>110</v>
      </c>
      <c r="K46" s="4" t="s">
        <v>36</v>
      </c>
      <c r="L46" s="4" t="s">
        <v>37</v>
      </c>
      <c r="M46" s="4">
        <v>16</v>
      </c>
      <c r="N46" s="4">
        <v>2200</v>
      </c>
      <c r="O46" s="4">
        <v>5</v>
      </c>
      <c r="P46" s="4">
        <v>33440</v>
      </c>
      <c r="Q46" s="4">
        <v>5</v>
      </c>
      <c r="R46" s="4" t="s">
        <v>83</v>
      </c>
      <c r="S46" s="4" t="s">
        <v>65</v>
      </c>
      <c r="T46" s="4" t="s">
        <v>260</v>
      </c>
      <c r="U46" s="6" t="s">
        <v>342</v>
      </c>
      <c r="V46" s="4" t="s">
        <v>73</v>
      </c>
    </row>
    <row r="47" spans="1:22">
      <c r="A47" s="7" t="s">
        <v>343</v>
      </c>
      <c r="B47" s="8" t="s">
        <v>75</v>
      </c>
      <c r="C47" s="8" t="s">
        <v>96</v>
      </c>
      <c r="D47" s="8" t="s">
        <v>344</v>
      </c>
      <c r="E47" s="8" t="s">
        <v>345</v>
      </c>
      <c r="F47" s="8" t="s">
        <v>221</v>
      </c>
      <c r="G47" s="8" t="s">
        <v>80</v>
      </c>
      <c r="H47" s="8" t="s">
        <v>346</v>
      </c>
      <c r="I47" s="8" t="s">
        <v>63</v>
      </c>
      <c r="J47" s="8" t="s">
        <v>35</v>
      </c>
      <c r="K47" s="8" t="s">
        <v>36</v>
      </c>
      <c r="L47" s="8" t="s">
        <v>101</v>
      </c>
      <c r="M47" s="8">
        <v>19</v>
      </c>
      <c r="N47" s="8">
        <v>3500</v>
      </c>
      <c r="O47" s="8">
        <v>20</v>
      </c>
      <c r="P47" s="8">
        <v>53200</v>
      </c>
      <c r="Q47" s="8">
        <v>3</v>
      </c>
      <c r="R47" s="8" t="s">
        <v>38</v>
      </c>
      <c r="S47" s="8" t="s">
        <v>155</v>
      </c>
      <c r="T47" s="8" t="s">
        <v>84</v>
      </c>
      <c r="U47" s="9" t="s">
        <v>347</v>
      </c>
      <c r="V47" s="8" t="s">
        <v>73</v>
      </c>
    </row>
    <row r="48" spans="1:22">
      <c r="A48" s="3" t="s">
        <v>348</v>
      </c>
      <c r="B48" s="4" t="s">
        <v>255</v>
      </c>
      <c r="C48" s="4" t="s">
        <v>188</v>
      </c>
      <c r="D48" s="4" t="s">
        <v>349</v>
      </c>
      <c r="E48" s="4" t="s">
        <v>350</v>
      </c>
      <c r="F48" s="4" t="s">
        <v>258</v>
      </c>
      <c r="G48" s="4" t="s">
        <v>32</v>
      </c>
      <c r="H48" s="4" t="s">
        <v>351</v>
      </c>
      <c r="I48" s="4" t="s">
        <v>118</v>
      </c>
      <c r="J48" s="4" t="s">
        <v>110</v>
      </c>
      <c r="K48" s="4" t="s">
        <v>50</v>
      </c>
      <c r="L48" s="4" t="s">
        <v>193</v>
      </c>
      <c r="M48" s="4">
        <v>15</v>
      </c>
      <c r="N48" s="4">
        <v>700</v>
      </c>
      <c r="O48" s="4">
        <v>15</v>
      </c>
      <c r="P48" s="4">
        <v>8925</v>
      </c>
      <c r="Q48" s="4">
        <v>4</v>
      </c>
      <c r="R48" s="4" t="s">
        <v>92</v>
      </c>
      <c r="S48" s="4" t="s">
        <v>119</v>
      </c>
      <c r="T48" s="4" t="s">
        <v>352</v>
      </c>
      <c r="U48" s="6" t="s">
        <v>353</v>
      </c>
      <c r="V48" s="4" t="s">
        <v>42</v>
      </c>
    </row>
    <row r="49" spans="1:22">
      <c r="A49" s="7" t="s">
        <v>354</v>
      </c>
      <c r="B49" s="8" t="s">
        <v>255</v>
      </c>
      <c r="C49" s="8" t="s">
        <v>188</v>
      </c>
      <c r="D49" s="8" t="s">
        <v>355</v>
      </c>
      <c r="E49" s="8" t="s">
        <v>356</v>
      </c>
      <c r="F49" s="8" t="s">
        <v>258</v>
      </c>
      <c r="G49" s="8" t="s">
        <v>32</v>
      </c>
      <c r="H49" s="8" t="s">
        <v>357</v>
      </c>
      <c r="I49" s="8" t="s">
        <v>216</v>
      </c>
      <c r="J49" s="8" t="s">
        <v>49</v>
      </c>
      <c r="K49" s="8" t="s">
        <v>50</v>
      </c>
      <c r="L49" s="8" t="s">
        <v>193</v>
      </c>
      <c r="M49" s="8">
        <v>19</v>
      </c>
      <c r="N49" s="8">
        <v>700</v>
      </c>
      <c r="O49" s="8">
        <v>20</v>
      </c>
      <c r="P49" s="8">
        <v>10640</v>
      </c>
      <c r="Q49" s="8">
        <v>1</v>
      </c>
      <c r="R49" s="8" t="s">
        <v>38</v>
      </c>
      <c r="S49" s="8" t="s">
        <v>119</v>
      </c>
      <c r="T49" s="8" t="s">
        <v>260</v>
      </c>
      <c r="U49" s="9" t="s">
        <v>358</v>
      </c>
      <c r="V49" s="8" t="s">
        <v>42</v>
      </c>
    </row>
    <row r="50" spans="1:22">
      <c r="A50" s="3" t="s">
        <v>359</v>
      </c>
      <c r="B50" s="4" t="s">
        <v>75</v>
      </c>
      <c r="C50" s="4" t="s">
        <v>44</v>
      </c>
      <c r="D50" s="4" t="s">
        <v>360</v>
      </c>
      <c r="E50" s="4"/>
      <c r="F50" s="4" t="s">
        <v>221</v>
      </c>
      <c r="G50" s="4" t="s">
        <v>80</v>
      </c>
      <c r="H50" s="4" t="s">
        <v>361</v>
      </c>
      <c r="I50" s="4" t="s">
        <v>48</v>
      </c>
      <c r="J50" s="4" t="s">
        <v>49</v>
      </c>
      <c r="K50" s="4" t="s">
        <v>50</v>
      </c>
      <c r="L50" s="4" t="s">
        <v>51</v>
      </c>
      <c r="M50" s="4">
        <v>19</v>
      </c>
      <c r="N50" s="4">
        <v>12000</v>
      </c>
      <c r="O50" s="4">
        <v>0</v>
      </c>
      <c r="P50" s="4">
        <v>228000</v>
      </c>
      <c r="Q50" s="4">
        <v>1</v>
      </c>
      <c r="R50" s="4" t="s">
        <v>52</v>
      </c>
      <c r="S50" s="4" t="s">
        <v>65</v>
      </c>
      <c r="T50" s="4" t="s">
        <v>84</v>
      </c>
      <c r="U50" s="6" t="s">
        <v>362</v>
      </c>
      <c r="V50" s="4" t="s">
        <v>42</v>
      </c>
    </row>
    <row r="51" spans="1:22">
      <c r="A51" s="7" t="s">
        <v>363</v>
      </c>
      <c r="B51" s="8" t="s">
        <v>172</v>
      </c>
      <c r="C51" s="8" t="s">
        <v>76</v>
      </c>
      <c r="D51" s="8" t="s">
        <v>360</v>
      </c>
      <c r="E51" s="8" t="s">
        <v>364</v>
      </c>
      <c r="F51" s="8" t="s">
        <v>365</v>
      </c>
      <c r="G51" s="8" t="s">
        <v>32</v>
      </c>
      <c r="H51" s="8" t="s">
        <v>366</v>
      </c>
      <c r="I51" s="8" t="s">
        <v>118</v>
      </c>
      <c r="J51" s="8" t="s">
        <v>110</v>
      </c>
      <c r="K51" s="8" t="s">
        <v>50</v>
      </c>
      <c r="L51" s="8" t="s">
        <v>82</v>
      </c>
      <c r="M51" s="8">
        <v>6</v>
      </c>
      <c r="N51" s="8">
        <v>1200</v>
      </c>
      <c r="O51" s="8">
        <v>5</v>
      </c>
      <c r="P51" s="8">
        <v>6840</v>
      </c>
      <c r="Q51" s="8">
        <v>2</v>
      </c>
      <c r="R51" s="8" t="s">
        <v>38</v>
      </c>
      <c r="S51" s="8" t="s">
        <v>39</v>
      </c>
      <c r="T51" s="8" t="s">
        <v>179</v>
      </c>
      <c r="U51" s="9" t="s">
        <v>367</v>
      </c>
      <c r="V51" s="8" t="s">
        <v>68</v>
      </c>
    </row>
    <row r="52" spans="1:22">
      <c r="A52" s="3" t="s">
        <v>368</v>
      </c>
      <c r="B52" s="4" t="s">
        <v>57</v>
      </c>
      <c r="C52" s="4" t="s">
        <v>28</v>
      </c>
      <c r="D52" s="4" t="s">
        <v>369</v>
      </c>
      <c r="E52" s="4" t="s">
        <v>370</v>
      </c>
      <c r="F52" s="4" t="s">
        <v>371</v>
      </c>
      <c r="G52" s="4" t="s">
        <v>32</v>
      </c>
      <c r="H52" s="4" t="s">
        <v>372</v>
      </c>
      <c r="I52" s="4" t="s">
        <v>63</v>
      </c>
      <c r="J52" s="4" t="s">
        <v>35</v>
      </c>
      <c r="K52" s="4" t="s">
        <v>36</v>
      </c>
      <c r="L52" s="4" t="s">
        <v>37</v>
      </c>
      <c r="M52" s="4">
        <v>7</v>
      </c>
      <c r="N52" s="4">
        <v>2200</v>
      </c>
      <c r="O52" s="4">
        <v>15</v>
      </c>
      <c r="P52" s="4">
        <v>13090</v>
      </c>
      <c r="Q52" s="4">
        <v>1</v>
      </c>
      <c r="R52" s="4" t="s">
        <v>92</v>
      </c>
      <c r="S52" s="4" t="s">
        <v>65</v>
      </c>
      <c r="T52" s="4" t="s">
        <v>66</v>
      </c>
      <c r="U52" s="6" t="s">
        <v>373</v>
      </c>
      <c r="V52" s="4" t="s">
        <v>42</v>
      </c>
    </row>
    <row r="53" spans="1:22">
      <c r="A53" s="7" t="s">
        <v>374</v>
      </c>
      <c r="B53" s="8" t="s">
        <v>104</v>
      </c>
      <c r="C53" s="8" t="s">
        <v>122</v>
      </c>
      <c r="D53" s="8" t="s">
        <v>375</v>
      </c>
      <c r="E53" s="8" t="s">
        <v>376</v>
      </c>
      <c r="F53" s="8" t="s">
        <v>107</v>
      </c>
      <c r="G53" s="8" t="s">
        <v>32</v>
      </c>
      <c r="H53" s="8" t="s">
        <v>377</v>
      </c>
      <c r="I53" s="8" t="s">
        <v>216</v>
      </c>
      <c r="J53" s="8" t="s">
        <v>49</v>
      </c>
      <c r="K53" s="8" t="s">
        <v>126</v>
      </c>
      <c r="L53" s="8" t="s">
        <v>127</v>
      </c>
      <c r="M53" s="8">
        <v>8</v>
      </c>
      <c r="N53" s="8">
        <v>60</v>
      </c>
      <c r="O53" s="8">
        <v>10</v>
      </c>
      <c r="P53" s="8">
        <v>432</v>
      </c>
      <c r="Q53" s="8">
        <v>5</v>
      </c>
      <c r="R53" s="8" t="s">
        <v>83</v>
      </c>
      <c r="S53" s="8" t="s">
        <v>65</v>
      </c>
      <c r="T53" s="8" t="s">
        <v>148</v>
      </c>
      <c r="U53" s="9" t="s">
        <v>378</v>
      </c>
      <c r="V53" s="8" t="s">
        <v>73</v>
      </c>
    </row>
    <row r="54" spans="1:22">
      <c r="A54" s="3" t="s">
        <v>379</v>
      </c>
      <c r="B54" s="4" t="s">
        <v>225</v>
      </c>
      <c r="C54" s="4" t="s">
        <v>58</v>
      </c>
      <c r="D54" s="4" t="s">
        <v>380</v>
      </c>
      <c r="E54" s="4" t="s">
        <v>381</v>
      </c>
      <c r="F54" s="4" t="s">
        <v>229</v>
      </c>
      <c r="G54" s="4" t="s">
        <v>80</v>
      </c>
      <c r="H54" s="4" t="s">
        <v>382</v>
      </c>
      <c r="I54" s="4" t="s">
        <v>298</v>
      </c>
      <c r="J54" s="4" t="s">
        <v>299</v>
      </c>
      <c r="K54" s="4" t="s">
        <v>50</v>
      </c>
      <c r="L54" s="4" t="s">
        <v>64</v>
      </c>
      <c r="M54" s="4">
        <v>12</v>
      </c>
      <c r="N54" s="4">
        <v>55000</v>
      </c>
      <c r="O54" s="4">
        <v>5</v>
      </c>
      <c r="P54" s="4">
        <v>627000</v>
      </c>
      <c r="Q54" s="4">
        <v>2</v>
      </c>
      <c r="R54" s="4" t="s">
        <v>92</v>
      </c>
      <c r="S54" s="4" t="s">
        <v>53</v>
      </c>
      <c r="T54" s="4" t="s">
        <v>232</v>
      </c>
      <c r="U54" s="6" t="s">
        <v>383</v>
      </c>
      <c r="V54" s="4" t="s">
        <v>68</v>
      </c>
    </row>
    <row r="55" spans="1:22">
      <c r="A55" s="7" t="s">
        <v>384</v>
      </c>
      <c r="B55" s="8" t="s">
        <v>27</v>
      </c>
      <c r="C55" s="8" t="s">
        <v>188</v>
      </c>
      <c r="D55" s="8" t="s">
        <v>385</v>
      </c>
      <c r="E55" s="8" t="s">
        <v>386</v>
      </c>
      <c r="F55" s="8" t="s">
        <v>31</v>
      </c>
      <c r="G55" s="8" t="s">
        <v>32</v>
      </c>
      <c r="H55" s="8" t="s">
        <v>387</v>
      </c>
      <c r="I55" s="8" t="s">
        <v>216</v>
      </c>
      <c r="J55" s="8" t="s">
        <v>49</v>
      </c>
      <c r="K55" s="8" t="s">
        <v>50</v>
      </c>
      <c r="L55" s="8" t="s">
        <v>193</v>
      </c>
      <c r="M55" s="8">
        <v>3</v>
      </c>
      <c r="N55" s="8">
        <v>700</v>
      </c>
      <c r="O55" s="8">
        <v>0</v>
      </c>
      <c r="P55" s="8">
        <v>2100</v>
      </c>
      <c r="Q55" s="8">
        <v>3</v>
      </c>
      <c r="R55" s="8" t="s">
        <v>83</v>
      </c>
      <c r="S55" s="8" t="s">
        <v>155</v>
      </c>
      <c r="T55" s="8" t="s">
        <v>54</v>
      </c>
      <c r="U55" s="9" t="s">
        <v>388</v>
      </c>
      <c r="V55" s="8" t="s">
        <v>73</v>
      </c>
    </row>
    <row r="56" spans="1:22">
      <c r="A56" s="3" t="s">
        <v>389</v>
      </c>
      <c r="B56" s="4" t="s">
        <v>131</v>
      </c>
      <c r="C56" s="4" t="s">
        <v>122</v>
      </c>
      <c r="D56" s="4" t="s">
        <v>390</v>
      </c>
      <c r="E56" s="4" t="s">
        <v>391</v>
      </c>
      <c r="F56" s="4" t="s">
        <v>392</v>
      </c>
      <c r="G56" s="4" t="s">
        <v>80</v>
      </c>
      <c r="H56" s="4" t="s">
        <v>393</v>
      </c>
      <c r="I56" s="4" t="s">
        <v>142</v>
      </c>
      <c r="J56" s="4" t="s">
        <v>110</v>
      </c>
      <c r="K56" s="4" t="s">
        <v>126</v>
      </c>
      <c r="L56" s="4" t="s">
        <v>127</v>
      </c>
      <c r="M56" s="4">
        <v>19</v>
      </c>
      <c r="N56" s="4">
        <v>60</v>
      </c>
      <c r="O56" s="4">
        <v>15</v>
      </c>
      <c r="P56" s="4">
        <v>969</v>
      </c>
      <c r="Q56" s="4">
        <v>4</v>
      </c>
      <c r="R56" s="4" t="s">
        <v>83</v>
      </c>
      <c r="S56" s="4" t="s">
        <v>53</v>
      </c>
      <c r="T56" s="4" t="s">
        <v>136</v>
      </c>
      <c r="U56" s="6" t="s">
        <v>394</v>
      </c>
      <c r="V56" s="4" t="s">
        <v>73</v>
      </c>
    </row>
    <row r="57" spans="1:22">
      <c r="A57" s="7" t="s">
        <v>395</v>
      </c>
      <c r="B57" s="8" t="s">
        <v>331</v>
      </c>
      <c r="C57" s="8" t="s">
        <v>122</v>
      </c>
      <c r="D57" s="8" t="s">
        <v>396</v>
      </c>
      <c r="E57" s="8" t="s">
        <v>397</v>
      </c>
      <c r="F57" s="8" t="s">
        <v>398</v>
      </c>
      <c r="G57" s="8" t="s">
        <v>80</v>
      </c>
      <c r="H57" s="8" t="s">
        <v>399</v>
      </c>
      <c r="I57" s="8" t="s">
        <v>216</v>
      </c>
      <c r="J57" s="8" t="s">
        <v>49</v>
      </c>
      <c r="K57" s="8" t="s">
        <v>126</v>
      </c>
      <c r="L57" s="8" t="s">
        <v>127</v>
      </c>
      <c r="M57" s="8">
        <v>9</v>
      </c>
      <c r="N57" s="8">
        <v>60</v>
      </c>
      <c r="O57" s="8">
        <v>20</v>
      </c>
      <c r="P57" s="8">
        <v>432</v>
      </c>
      <c r="Q57" s="8">
        <v>1</v>
      </c>
      <c r="R57" s="8" t="s">
        <v>52</v>
      </c>
      <c r="S57" s="8" t="s">
        <v>119</v>
      </c>
      <c r="T57" s="8" t="s">
        <v>336</v>
      </c>
      <c r="U57" s="9" t="s">
        <v>400</v>
      </c>
      <c r="V57" s="8" t="s">
        <v>68</v>
      </c>
    </row>
    <row r="58" spans="1:22">
      <c r="A58" s="3" t="s">
        <v>401</v>
      </c>
      <c r="B58" s="4" t="s">
        <v>331</v>
      </c>
      <c r="C58" s="4" t="s">
        <v>188</v>
      </c>
      <c r="D58" s="4" t="s">
        <v>402</v>
      </c>
      <c r="E58" s="4" t="s">
        <v>403</v>
      </c>
      <c r="F58" s="4" t="s">
        <v>398</v>
      </c>
      <c r="G58" s="4" t="s">
        <v>80</v>
      </c>
      <c r="H58" s="4" t="s">
        <v>404</v>
      </c>
      <c r="I58" s="4" t="s">
        <v>63</v>
      </c>
      <c r="J58" s="4" t="s">
        <v>35</v>
      </c>
      <c r="K58" s="4" t="s">
        <v>50</v>
      </c>
      <c r="L58" s="4" t="s">
        <v>193</v>
      </c>
      <c r="M58" s="4">
        <v>6</v>
      </c>
      <c r="N58" s="4">
        <v>700</v>
      </c>
      <c r="O58" s="4">
        <v>0</v>
      </c>
      <c r="P58" s="4">
        <v>4200</v>
      </c>
      <c r="Q58" s="4">
        <v>4</v>
      </c>
      <c r="R58" s="4" t="s">
        <v>92</v>
      </c>
      <c r="S58" s="4" t="s">
        <v>53</v>
      </c>
      <c r="T58" s="4" t="s">
        <v>405</v>
      </c>
      <c r="U58" s="6" t="s">
        <v>406</v>
      </c>
      <c r="V58" s="4" t="s">
        <v>73</v>
      </c>
    </row>
    <row r="59" spans="1:22">
      <c r="A59" s="7" t="s">
        <v>407</v>
      </c>
      <c r="B59" s="8" t="s">
        <v>131</v>
      </c>
      <c r="C59" s="8" t="s">
        <v>263</v>
      </c>
      <c r="D59" s="8" t="s">
        <v>245</v>
      </c>
      <c r="E59" s="8" t="s">
        <v>408</v>
      </c>
      <c r="F59" s="8" t="s">
        <v>204</v>
      </c>
      <c r="G59" s="8" t="s">
        <v>80</v>
      </c>
      <c r="H59" s="8" t="s">
        <v>409</v>
      </c>
      <c r="I59" s="8" t="s">
        <v>48</v>
      </c>
      <c r="J59" s="8" t="s">
        <v>49</v>
      </c>
      <c r="K59" s="8" t="s">
        <v>126</v>
      </c>
      <c r="L59" s="8" t="s">
        <v>267</v>
      </c>
      <c r="M59" s="8">
        <v>18</v>
      </c>
      <c r="N59" s="8">
        <v>45</v>
      </c>
      <c r="O59" s="8">
        <v>5</v>
      </c>
      <c r="P59" s="8">
        <v>769.5</v>
      </c>
      <c r="Q59" s="8">
        <v>1</v>
      </c>
      <c r="R59" s="8" t="s">
        <v>83</v>
      </c>
      <c r="S59" s="8" t="s">
        <v>65</v>
      </c>
      <c r="T59" s="8" t="s">
        <v>136</v>
      </c>
      <c r="U59" s="9" t="s">
        <v>410</v>
      </c>
      <c r="V59" s="8" t="s">
        <v>68</v>
      </c>
    </row>
    <row r="60" spans="1:22">
      <c r="A60" s="3" t="s">
        <v>411</v>
      </c>
      <c r="B60" s="4" t="s">
        <v>87</v>
      </c>
      <c r="C60" s="4" t="s">
        <v>226</v>
      </c>
      <c r="D60" s="4" t="s">
        <v>412</v>
      </c>
      <c r="E60" s="4" t="s">
        <v>265</v>
      </c>
      <c r="F60" s="4" t="s">
        <v>184</v>
      </c>
      <c r="G60" s="4" t="s">
        <v>80</v>
      </c>
      <c r="H60" s="4" t="s">
        <v>413</v>
      </c>
      <c r="I60" s="4" t="s">
        <v>216</v>
      </c>
      <c r="J60" s="4" t="s">
        <v>49</v>
      </c>
      <c r="K60" s="4" t="s">
        <v>126</v>
      </c>
      <c r="L60" s="4" t="s">
        <v>231</v>
      </c>
      <c r="M60" s="4">
        <v>8</v>
      </c>
      <c r="N60" s="4">
        <v>20</v>
      </c>
      <c r="O60" s="4">
        <v>5</v>
      </c>
      <c r="P60" s="4">
        <v>152</v>
      </c>
      <c r="Q60" s="4">
        <v>1</v>
      </c>
      <c r="R60" s="4" t="s">
        <v>83</v>
      </c>
      <c r="S60" s="4" t="s">
        <v>39</v>
      </c>
      <c r="T60" s="4" t="s">
        <v>93</v>
      </c>
      <c r="U60" s="6" t="s">
        <v>414</v>
      </c>
      <c r="V60" s="4" t="s">
        <v>415</v>
      </c>
    </row>
    <row r="61" spans="1:22">
      <c r="A61" s="7" t="s">
        <v>416</v>
      </c>
      <c r="B61" s="8" t="s">
        <v>225</v>
      </c>
      <c r="C61" s="8" t="s">
        <v>188</v>
      </c>
      <c r="D61" s="8" t="s">
        <v>417</v>
      </c>
      <c r="E61" s="8" t="s">
        <v>418</v>
      </c>
      <c r="F61" s="8" t="s">
        <v>229</v>
      </c>
      <c r="G61" s="8" t="s">
        <v>80</v>
      </c>
      <c r="H61" s="8" t="s">
        <v>419</v>
      </c>
      <c r="I61" s="8" t="s">
        <v>216</v>
      </c>
      <c r="J61" s="8" t="s">
        <v>49</v>
      </c>
      <c r="K61" s="8" t="s">
        <v>50</v>
      </c>
      <c r="L61" s="8" t="s">
        <v>193</v>
      </c>
      <c r="M61" s="8">
        <v>8</v>
      </c>
      <c r="N61" s="8">
        <v>700</v>
      </c>
      <c r="O61" s="8">
        <v>10</v>
      </c>
      <c r="P61" s="8">
        <v>5040</v>
      </c>
      <c r="Q61" s="8">
        <v>1</v>
      </c>
      <c r="R61" s="8" t="s">
        <v>52</v>
      </c>
      <c r="S61" s="8" t="s">
        <v>65</v>
      </c>
      <c r="T61" s="10" t="s">
        <v>420</v>
      </c>
      <c r="U61" s="9" t="s">
        <v>421</v>
      </c>
      <c r="V61" s="8" t="s">
        <v>73</v>
      </c>
    </row>
    <row r="62" spans="1:22">
      <c r="A62" s="3" t="s">
        <v>422</v>
      </c>
      <c r="B62" s="4" t="s">
        <v>27</v>
      </c>
      <c r="C62" s="4" t="s">
        <v>226</v>
      </c>
      <c r="D62" s="4" t="s">
        <v>227</v>
      </c>
      <c r="E62" s="4" t="s">
        <v>360</v>
      </c>
      <c r="F62" s="4" t="s">
        <v>31</v>
      </c>
      <c r="G62" s="4" t="s">
        <v>32</v>
      </c>
      <c r="H62" s="4" t="s">
        <v>423</v>
      </c>
      <c r="I62" s="4" t="s">
        <v>48</v>
      </c>
      <c r="J62" s="4" t="s">
        <v>49</v>
      </c>
      <c r="K62" s="4" t="s">
        <v>126</v>
      </c>
      <c r="L62" s="4" t="s">
        <v>231</v>
      </c>
      <c r="M62" s="4">
        <v>7</v>
      </c>
      <c r="N62" s="4">
        <v>20</v>
      </c>
      <c r="O62" s="4">
        <v>15</v>
      </c>
      <c r="P62" s="4">
        <v>119</v>
      </c>
      <c r="Q62" s="4">
        <v>5</v>
      </c>
      <c r="R62" s="4" t="s">
        <v>83</v>
      </c>
      <c r="S62" s="4" t="s">
        <v>53</v>
      </c>
      <c r="T62" s="4" t="s">
        <v>54</v>
      </c>
      <c r="U62" s="6" t="s">
        <v>424</v>
      </c>
      <c r="V62" s="4" t="s">
        <v>42</v>
      </c>
    </row>
    <row r="63" spans="1:22">
      <c r="A63" s="7" t="s">
        <v>425</v>
      </c>
      <c r="B63" s="8" t="s">
        <v>104</v>
      </c>
      <c r="C63" s="8" t="s">
        <v>226</v>
      </c>
      <c r="D63" s="8" t="s">
        <v>426</v>
      </c>
      <c r="E63" s="8" t="s">
        <v>375</v>
      </c>
      <c r="F63" s="8" t="s">
        <v>107</v>
      </c>
      <c r="G63" s="8" t="s">
        <v>32</v>
      </c>
      <c r="H63" s="8" t="s">
        <v>427</v>
      </c>
      <c r="I63" s="8" t="s">
        <v>118</v>
      </c>
      <c r="J63" s="8" t="s">
        <v>110</v>
      </c>
      <c r="K63" s="8" t="s">
        <v>126</v>
      </c>
      <c r="L63" s="8" t="s">
        <v>231</v>
      </c>
      <c r="M63" s="8">
        <v>16</v>
      </c>
      <c r="N63" s="8">
        <v>20</v>
      </c>
      <c r="O63" s="8">
        <v>0</v>
      </c>
      <c r="P63" s="8">
        <v>320</v>
      </c>
      <c r="Q63" s="8">
        <v>5</v>
      </c>
      <c r="R63" s="8" t="s">
        <v>52</v>
      </c>
      <c r="S63" s="8" t="s">
        <v>65</v>
      </c>
      <c r="T63" s="8" t="s">
        <v>148</v>
      </c>
      <c r="U63" s="9" t="s">
        <v>428</v>
      </c>
      <c r="V63" s="8" t="s">
        <v>68</v>
      </c>
    </row>
    <row r="64" spans="1:22">
      <c r="A64" s="3" t="s">
        <v>429</v>
      </c>
      <c r="B64" s="4" t="s">
        <v>57</v>
      </c>
      <c r="C64" s="4" t="s">
        <v>263</v>
      </c>
      <c r="D64" s="4" t="s">
        <v>430</v>
      </c>
      <c r="E64" s="4" t="s">
        <v>431</v>
      </c>
      <c r="F64" s="4" t="s">
        <v>167</v>
      </c>
      <c r="G64" s="4" t="s">
        <v>32</v>
      </c>
      <c r="H64" s="4" t="s">
        <v>432</v>
      </c>
      <c r="I64" s="4" t="s">
        <v>109</v>
      </c>
      <c r="J64" s="4" t="s">
        <v>110</v>
      </c>
      <c r="K64" s="4" t="s">
        <v>126</v>
      </c>
      <c r="L64" s="4" t="s">
        <v>267</v>
      </c>
      <c r="M64" s="4">
        <v>15</v>
      </c>
      <c r="N64" s="4">
        <v>45</v>
      </c>
      <c r="O64" s="4">
        <v>0</v>
      </c>
      <c r="P64" s="4">
        <v>675</v>
      </c>
      <c r="Q64" s="4">
        <v>4</v>
      </c>
      <c r="R64" s="4" t="s">
        <v>38</v>
      </c>
      <c r="S64" s="4" t="s">
        <v>65</v>
      </c>
      <c r="T64" s="4" t="s">
        <v>66</v>
      </c>
      <c r="U64" s="6" t="s">
        <v>433</v>
      </c>
      <c r="V64" s="4" t="s">
        <v>73</v>
      </c>
    </row>
    <row r="65" spans="1:22">
      <c r="A65" s="7" t="s">
        <v>434</v>
      </c>
      <c r="B65" s="8" t="s">
        <v>255</v>
      </c>
      <c r="C65" s="8" t="s">
        <v>188</v>
      </c>
      <c r="D65" s="8" t="s">
        <v>435</v>
      </c>
      <c r="E65" s="8" t="s">
        <v>417</v>
      </c>
      <c r="F65" s="8" t="s">
        <v>258</v>
      </c>
      <c r="G65" s="8" t="s">
        <v>32</v>
      </c>
      <c r="H65" s="8" t="s">
        <v>436</v>
      </c>
      <c r="I65" s="8" t="s">
        <v>142</v>
      </c>
      <c r="J65" s="8" t="s">
        <v>110</v>
      </c>
      <c r="K65" s="8" t="s">
        <v>50</v>
      </c>
      <c r="L65" s="8" t="s">
        <v>193</v>
      </c>
      <c r="M65" s="8">
        <v>15</v>
      </c>
      <c r="N65" s="8">
        <v>700</v>
      </c>
      <c r="O65" s="8">
        <v>10</v>
      </c>
      <c r="P65" s="8">
        <v>9450</v>
      </c>
      <c r="Q65" s="8">
        <v>3</v>
      </c>
      <c r="R65" s="8" t="s">
        <v>52</v>
      </c>
      <c r="S65" s="8" t="s">
        <v>155</v>
      </c>
      <c r="T65" s="8" t="s">
        <v>260</v>
      </c>
      <c r="U65" s="9" t="s">
        <v>437</v>
      </c>
      <c r="V65" s="8" t="s">
        <v>42</v>
      </c>
    </row>
    <row r="66" spans="1:22">
      <c r="A66" s="3" t="s">
        <v>438</v>
      </c>
      <c r="B66" s="4" t="s">
        <v>57</v>
      </c>
      <c r="C66" s="4" t="s">
        <v>263</v>
      </c>
      <c r="D66" s="4" t="s">
        <v>439</v>
      </c>
      <c r="E66" s="4" t="s">
        <v>440</v>
      </c>
      <c r="F66" s="4" t="s">
        <v>167</v>
      </c>
      <c r="G66" s="4" t="s">
        <v>32</v>
      </c>
      <c r="H66" s="4" t="s">
        <v>441</v>
      </c>
      <c r="I66" s="4" t="s">
        <v>298</v>
      </c>
      <c r="J66" s="4" t="s">
        <v>299</v>
      </c>
      <c r="K66" s="4" t="s">
        <v>126</v>
      </c>
      <c r="L66" s="4" t="s">
        <v>267</v>
      </c>
      <c r="M66" s="4">
        <v>3</v>
      </c>
      <c r="N66" s="4">
        <v>45</v>
      </c>
      <c r="O66" s="4">
        <v>15</v>
      </c>
      <c r="P66" s="4">
        <v>114.75</v>
      </c>
      <c r="Q66" s="4">
        <v>2</v>
      </c>
      <c r="R66" s="4" t="s">
        <v>92</v>
      </c>
      <c r="S66" s="4" t="s">
        <v>119</v>
      </c>
      <c r="T66" s="4" t="s">
        <v>66</v>
      </c>
      <c r="U66" s="6" t="s">
        <v>442</v>
      </c>
      <c r="V66" s="4" t="s">
        <v>68</v>
      </c>
    </row>
    <row r="67" spans="1:22">
      <c r="A67" s="7" t="s">
        <v>443</v>
      </c>
      <c r="B67" s="8" t="s">
        <v>104</v>
      </c>
      <c r="C67" s="8" t="s">
        <v>28</v>
      </c>
      <c r="D67" s="8" t="s">
        <v>444</v>
      </c>
      <c r="E67" s="8" t="s">
        <v>445</v>
      </c>
      <c r="F67" s="8" t="s">
        <v>107</v>
      </c>
      <c r="G67" s="8" t="s">
        <v>32</v>
      </c>
      <c r="H67" s="8" t="s">
        <v>446</v>
      </c>
      <c r="I67" s="8" t="s">
        <v>298</v>
      </c>
      <c r="J67" s="8" t="s">
        <v>299</v>
      </c>
      <c r="K67" s="8" t="s">
        <v>36</v>
      </c>
      <c r="L67" s="8" t="s">
        <v>37</v>
      </c>
      <c r="M67" s="8">
        <v>7</v>
      </c>
      <c r="N67" s="8">
        <v>2200</v>
      </c>
      <c r="O67" s="8">
        <v>15</v>
      </c>
      <c r="P67" s="8">
        <v>13090</v>
      </c>
      <c r="Q67" s="8">
        <v>5</v>
      </c>
      <c r="R67" s="8" t="s">
        <v>92</v>
      </c>
      <c r="S67" s="8" t="s">
        <v>119</v>
      </c>
      <c r="T67" s="8" t="s">
        <v>148</v>
      </c>
      <c r="U67" s="9" t="s">
        <v>447</v>
      </c>
      <c r="V67" s="8" t="s">
        <v>42</v>
      </c>
    </row>
    <row r="68" spans="1:22">
      <c r="A68" s="3" t="s">
        <v>448</v>
      </c>
      <c r="B68" s="4" t="s">
        <v>27</v>
      </c>
      <c r="C68" s="4" t="s">
        <v>263</v>
      </c>
      <c r="D68" s="4" t="s">
        <v>449</v>
      </c>
      <c r="E68" s="4" t="s">
        <v>450</v>
      </c>
      <c r="F68" s="4" t="s">
        <v>31</v>
      </c>
      <c r="G68" s="4" t="s">
        <v>32</v>
      </c>
      <c r="H68" s="4" t="s">
        <v>451</v>
      </c>
      <c r="I68" s="4" t="s">
        <v>48</v>
      </c>
      <c r="J68" s="4" t="s">
        <v>49</v>
      </c>
      <c r="K68" s="4" t="s">
        <v>126</v>
      </c>
      <c r="L68" s="4" t="s">
        <v>267</v>
      </c>
      <c r="M68" s="4">
        <v>19</v>
      </c>
      <c r="N68" s="4">
        <v>45</v>
      </c>
      <c r="O68" s="4">
        <v>10</v>
      </c>
      <c r="P68" s="4">
        <v>769.5</v>
      </c>
      <c r="Q68" s="4">
        <v>5</v>
      </c>
      <c r="R68" s="4" t="s">
        <v>83</v>
      </c>
      <c r="S68" s="4" t="s">
        <v>119</v>
      </c>
      <c r="T68" s="4" t="s">
        <v>54</v>
      </c>
      <c r="U68" s="6" t="s">
        <v>452</v>
      </c>
      <c r="V68" s="4" t="s">
        <v>73</v>
      </c>
    </row>
    <row r="69" spans="1:22">
      <c r="A69" s="7" t="s">
        <v>453</v>
      </c>
      <c r="B69" s="8" t="s">
        <v>255</v>
      </c>
      <c r="C69" s="8" t="s">
        <v>96</v>
      </c>
      <c r="D69" s="8" t="s">
        <v>454</v>
      </c>
      <c r="E69" s="8" t="s">
        <v>327</v>
      </c>
      <c r="F69" s="8" t="s">
        <v>258</v>
      </c>
      <c r="G69" s="8" t="s">
        <v>32</v>
      </c>
      <c r="H69" s="8" t="s">
        <v>455</v>
      </c>
      <c r="I69" s="8" t="s">
        <v>34</v>
      </c>
      <c r="J69" s="8" t="s">
        <v>35</v>
      </c>
      <c r="K69" s="8" t="s">
        <v>36</v>
      </c>
      <c r="L69" s="8" t="s">
        <v>101</v>
      </c>
      <c r="M69" s="8">
        <v>7</v>
      </c>
      <c r="N69" s="8">
        <v>3500</v>
      </c>
      <c r="O69" s="8">
        <v>15</v>
      </c>
      <c r="P69" s="8">
        <v>20825</v>
      </c>
      <c r="Q69" s="8">
        <v>1</v>
      </c>
      <c r="R69" s="8" t="s">
        <v>38</v>
      </c>
      <c r="S69" s="8" t="s">
        <v>155</v>
      </c>
      <c r="T69" s="8" t="s">
        <v>260</v>
      </c>
      <c r="U69" s="9" t="s">
        <v>456</v>
      </c>
      <c r="V69" s="8" t="s">
        <v>68</v>
      </c>
    </row>
    <row r="70" spans="1:22">
      <c r="A70" s="3" t="s">
        <v>457</v>
      </c>
      <c r="B70" s="4" t="s">
        <v>57</v>
      </c>
      <c r="C70" s="4" t="s">
        <v>173</v>
      </c>
      <c r="D70" s="4" t="s">
        <v>458</v>
      </c>
      <c r="E70" s="4" t="s">
        <v>459</v>
      </c>
      <c r="F70" s="4" t="s">
        <v>167</v>
      </c>
      <c r="G70" s="4" t="s">
        <v>32</v>
      </c>
      <c r="H70" s="4" t="s">
        <v>460</v>
      </c>
      <c r="I70" s="4" t="s">
        <v>216</v>
      </c>
      <c r="J70" s="4" t="s">
        <v>49</v>
      </c>
      <c r="K70" s="4" t="s">
        <v>36</v>
      </c>
      <c r="L70" s="4" t="s">
        <v>178</v>
      </c>
      <c r="M70" s="4">
        <v>7</v>
      </c>
      <c r="N70" s="4">
        <v>8500</v>
      </c>
      <c r="O70" s="4">
        <v>20</v>
      </c>
      <c r="P70" s="4">
        <v>47600</v>
      </c>
      <c r="Q70" s="4">
        <v>4</v>
      </c>
      <c r="R70" s="4" t="s">
        <v>52</v>
      </c>
      <c r="S70" s="4" t="s">
        <v>119</v>
      </c>
      <c r="T70" s="4" t="s">
        <v>66</v>
      </c>
      <c r="U70" s="6" t="s">
        <v>461</v>
      </c>
      <c r="V70" s="4" t="s">
        <v>42</v>
      </c>
    </row>
    <row r="71" spans="1:22">
      <c r="A71" s="7" t="s">
        <v>462</v>
      </c>
      <c r="B71" s="8" t="s">
        <v>27</v>
      </c>
      <c r="C71" s="8" t="s">
        <v>58</v>
      </c>
      <c r="D71" s="8" t="s">
        <v>370</v>
      </c>
      <c r="E71" s="8" t="s">
        <v>463</v>
      </c>
      <c r="F71" s="8" t="s">
        <v>31</v>
      </c>
      <c r="G71" s="8" t="s">
        <v>32</v>
      </c>
      <c r="H71" s="8" t="s">
        <v>464</v>
      </c>
      <c r="I71" s="8" t="s">
        <v>63</v>
      </c>
      <c r="J71" s="8" t="s">
        <v>35</v>
      </c>
      <c r="K71" s="8" t="s">
        <v>50</v>
      </c>
      <c r="L71" s="8" t="s">
        <v>64</v>
      </c>
      <c r="M71" s="8">
        <v>16</v>
      </c>
      <c r="N71" s="8">
        <v>55000</v>
      </c>
      <c r="O71" s="8">
        <v>10</v>
      </c>
      <c r="P71" s="8">
        <v>792000</v>
      </c>
      <c r="Q71" s="8">
        <v>1</v>
      </c>
      <c r="R71" s="8" t="s">
        <v>83</v>
      </c>
      <c r="S71" s="8" t="s">
        <v>65</v>
      </c>
      <c r="T71" s="8" t="s">
        <v>54</v>
      </c>
      <c r="U71" s="9" t="s">
        <v>465</v>
      </c>
      <c r="V71" s="8" t="s">
        <v>42</v>
      </c>
    </row>
    <row r="72" spans="1:22">
      <c r="A72" s="3" t="s">
        <v>466</v>
      </c>
      <c r="B72" s="4" t="s">
        <v>172</v>
      </c>
      <c r="C72" s="4" t="s">
        <v>44</v>
      </c>
      <c r="D72" s="4" t="s">
        <v>467</v>
      </c>
      <c r="E72" s="4" t="s">
        <v>468</v>
      </c>
      <c r="F72" s="4" t="s">
        <v>365</v>
      </c>
      <c r="G72" s="4" t="s">
        <v>32</v>
      </c>
      <c r="H72" s="4" t="s">
        <v>469</v>
      </c>
      <c r="I72" s="4" t="s">
        <v>109</v>
      </c>
      <c r="J72" s="4" t="s">
        <v>110</v>
      </c>
      <c r="K72" s="4" t="s">
        <v>50</v>
      </c>
      <c r="L72" s="4" t="s">
        <v>51</v>
      </c>
      <c r="M72" s="4">
        <v>2</v>
      </c>
      <c r="N72" s="4">
        <v>12000</v>
      </c>
      <c r="O72" s="4">
        <v>20</v>
      </c>
      <c r="P72" s="4">
        <v>19200</v>
      </c>
      <c r="Q72" s="4">
        <v>1</v>
      </c>
      <c r="R72" s="4" t="s">
        <v>38</v>
      </c>
      <c r="S72" s="4" t="s">
        <v>155</v>
      </c>
      <c r="T72" s="5" t="s">
        <v>470</v>
      </c>
      <c r="U72" s="6" t="s">
        <v>471</v>
      </c>
      <c r="V72" s="4" t="s">
        <v>68</v>
      </c>
    </row>
    <row r="73" spans="1:22">
      <c r="A73" s="7" t="s">
        <v>472</v>
      </c>
      <c r="B73" s="8" t="s">
        <v>131</v>
      </c>
      <c r="C73" s="8" t="s">
        <v>263</v>
      </c>
      <c r="D73" s="8" t="s">
        <v>473</v>
      </c>
      <c r="E73" s="8" t="s">
        <v>450</v>
      </c>
      <c r="F73" s="8" t="s">
        <v>204</v>
      </c>
      <c r="G73" s="8" t="s">
        <v>80</v>
      </c>
      <c r="H73" s="8" t="s">
        <v>474</v>
      </c>
      <c r="I73" s="8" t="s">
        <v>63</v>
      </c>
      <c r="J73" s="8" t="s">
        <v>35</v>
      </c>
      <c r="K73" s="8" t="s">
        <v>126</v>
      </c>
      <c r="L73" s="8" t="s">
        <v>267</v>
      </c>
      <c r="M73" s="8">
        <v>4</v>
      </c>
      <c r="N73" s="8">
        <v>45</v>
      </c>
      <c r="O73" s="8">
        <v>5</v>
      </c>
      <c r="P73" s="8">
        <v>171</v>
      </c>
      <c r="Q73" s="8">
        <v>1</v>
      </c>
      <c r="R73" s="8" t="s">
        <v>83</v>
      </c>
      <c r="S73" s="8" t="s">
        <v>53</v>
      </c>
      <c r="T73" s="8" t="s">
        <v>136</v>
      </c>
      <c r="U73" s="9" t="s">
        <v>475</v>
      </c>
      <c r="V73" s="8" t="s">
        <v>68</v>
      </c>
    </row>
    <row r="74" spans="1:22">
      <c r="A74" s="3" t="s">
        <v>476</v>
      </c>
      <c r="B74" s="4" t="s">
        <v>27</v>
      </c>
      <c r="C74" s="4" t="s">
        <v>76</v>
      </c>
      <c r="D74" s="4" t="s">
        <v>477</v>
      </c>
      <c r="E74" s="4" t="s">
        <v>478</v>
      </c>
      <c r="F74" s="4" t="s">
        <v>31</v>
      </c>
      <c r="G74" s="4" t="s">
        <v>32</v>
      </c>
      <c r="H74" s="4" t="s">
        <v>479</v>
      </c>
      <c r="I74" s="4" t="s">
        <v>216</v>
      </c>
      <c r="J74" s="4" t="s">
        <v>49</v>
      </c>
      <c r="K74" s="4" t="s">
        <v>50</v>
      </c>
      <c r="L74" s="4" t="s">
        <v>82</v>
      </c>
      <c r="M74" s="4">
        <v>1</v>
      </c>
      <c r="N74" s="4">
        <v>1200</v>
      </c>
      <c r="O74" s="4">
        <v>5</v>
      </c>
      <c r="P74" s="4">
        <v>1140</v>
      </c>
      <c r="Q74" s="4">
        <v>3</v>
      </c>
      <c r="R74" s="4" t="s">
        <v>92</v>
      </c>
      <c r="S74" s="4" t="s">
        <v>65</v>
      </c>
      <c r="T74" s="4" t="s">
        <v>54</v>
      </c>
      <c r="U74" s="6" t="s">
        <v>480</v>
      </c>
      <c r="V74" s="4" t="s">
        <v>73</v>
      </c>
    </row>
    <row r="75" spans="1:22">
      <c r="A75" s="7" t="s">
        <v>481</v>
      </c>
      <c r="B75" s="8" t="s">
        <v>57</v>
      </c>
      <c r="C75" s="8" t="s">
        <v>28</v>
      </c>
      <c r="D75" s="8" t="s">
        <v>482</v>
      </c>
      <c r="E75" s="8" t="s">
        <v>483</v>
      </c>
      <c r="F75" s="8" t="s">
        <v>167</v>
      </c>
      <c r="G75" s="8" t="s">
        <v>32</v>
      </c>
      <c r="H75" s="8" t="s">
        <v>484</v>
      </c>
      <c r="I75" s="8"/>
      <c r="J75" s="8" t="s">
        <v>35</v>
      </c>
      <c r="K75" s="8" t="s">
        <v>36</v>
      </c>
      <c r="L75" s="8" t="s">
        <v>37</v>
      </c>
      <c r="M75" s="8">
        <v>1</v>
      </c>
      <c r="N75" s="8">
        <v>2200</v>
      </c>
      <c r="O75" s="8">
        <v>15</v>
      </c>
      <c r="P75" s="8">
        <v>1870</v>
      </c>
      <c r="Q75" s="8">
        <v>4</v>
      </c>
      <c r="R75" s="8" t="s">
        <v>83</v>
      </c>
      <c r="S75" s="8" t="s">
        <v>65</v>
      </c>
      <c r="T75" s="8" t="s">
        <v>66</v>
      </c>
      <c r="U75" s="9" t="s">
        <v>485</v>
      </c>
      <c r="V75" s="8" t="s">
        <v>42</v>
      </c>
    </row>
    <row r="76" spans="1:22">
      <c r="A76" s="3" t="s">
        <v>486</v>
      </c>
      <c r="B76" s="4" t="s">
        <v>131</v>
      </c>
      <c r="C76" s="4" t="s">
        <v>76</v>
      </c>
      <c r="D76" s="4" t="s">
        <v>487</v>
      </c>
      <c r="E76" s="4" t="s">
        <v>488</v>
      </c>
      <c r="F76" s="4" t="s">
        <v>204</v>
      </c>
      <c r="G76" s="4" t="s">
        <v>80</v>
      </c>
      <c r="H76" s="4" t="s">
        <v>489</v>
      </c>
      <c r="I76" s="4" t="s">
        <v>118</v>
      </c>
      <c r="J76" s="4" t="s">
        <v>110</v>
      </c>
      <c r="K76" s="4" t="s">
        <v>50</v>
      </c>
      <c r="L76" s="4" t="s">
        <v>82</v>
      </c>
      <c r="M76" s="4">
        <v>3</v>
      </c>
      <c r="N76" s="4">
        <v>1200</v>
      </c>
      <c r="O76" s="4">
        <v>10</v>
      </c>
      <c r="P76" s="4">
        <v>3240</v>
      </c>
      <c r="Q76" s="4">
        <v>5</v>
      </c>
      <c r="R76" s="4" t="s">
        <v>38</v>
      </c>
      <c r="S76" s="4" t="s">
        <v>53</v>
      </c>
      <c r="T76" s="4" t="s">
        <v>136</v>
      </c>
      <c r="U76" s="6" t="s">
        <v>490</v>
      </c>
      <c r="V76" s="4" t="s">
        <v>42</v>
      </c>
    </row>
    <row r="77" spans="1:22">
      <c r="A77" s="7" t="s">
        <v>491</v>
      </c>
      <c r="B77" s="8" t="s">
        <v>27</v>
      </c>
      <c r="C77" s="8" t="s">
        <v>96</v>
      </c>
      <c r="D77" s="8" t="s">
        <v>492</v>
      </c>
      <c r="E77" s="8" t="s">
        <v>493</v>
      </c>
      <c r="F77" s="8" t="s">
        <v>31</v>
      </c>
      <c r="G77" s="8" t="s">
        <v>32</v>
      </c>
      <c r="H77" s="8" t="s">
        <v>494</v>
      </c>
      <c r="I77" s="8" t="s">
        <v>63</v>
      </c>
      <c r="J77" s="8" t="s">
        <v>35</v>
      </c>
      <c r="K77" s="8" t="s">
        <v>36</v>
      </c>
      <c r="L77" s="8" t="s">
        <v>101</v>
      </c>
      <c r="M77" s="8">
        <v>10</v>
      </c>
      <c r="N77" s="8">
        <v>3500</v>
      </c>
      <c r="O77" s="8">
        <v>20</v>
      </c>
      <c r="P77" s="8">
        <v>28000</v>
      </c>
      <c r="Q77" s="8">
        <v>5</v>
      </c>
      <c r="R77" s="8" t="s">
        <v>83</v>
      </c>
      <c r="S77" s="8" t="s">
        <v>39</v>
      </c>
      <c r="T77" s="8" t="s">
        <v>54</v>
      </c>
      <c r="U77" s="9" t="s">
        <v>495</v>
      </c>
      <c r="V77" s="8" t="s">
        <v>42</v>
      </c>
    </row>
    <row r="78" spans="1:22">
      <c r="A78" s="3" t="s">
        <v>496</v>
      </c>
      <c r="B78" s="4" t="s">
        <v>87</v>
      </c>
      <c r="C78" s="4" t="s">
        <v>188</v>
      </c>
      <c r="D78" s="4" t="s">
        <v>497</v>
      </c>
      <c r="E78" s="4" t="s">
        <v>408</v>
      </c>
      <c r="F78" s="4" t="s">
        <v>184</v>
      </c>
      <c r="G78" s="4" t="s">
        <v>80</v>
      </c>
      <c r="H78" s="4" t="s">
        <v>498</v>
      </c>
      <c r="I78" s="4" t="s">
        <v>48</v>
      </c>
      <c r="J78" s="4" t="s">
        <v>49</v>
      </c>
      <c r="K78" s="4" t="s">
        <v>50</v>
      </c>
      <c r="L78" s="4" t="s">
        <v>193</v>
      </c>
      <c r="M78" s="4">
        <v>18</v>
      </c>
      <c r="N78" s="4">
        <v>700</v>
      </c>
      <c r="O78" s="4">
        <v>5</v>
      </c>
      <c r="P78" s="4">
        <v>11970</v>
      </c>
      <c r="Q78" s="4">
        <v>3</v>
      </c>
      <c r="R78" s="4" t="s">
        <v>83</v>
      </c>
      <c r="S78" s="4" t="s">
        <v>119</v>
      </c>
      <c r="T78" s="4" t="s">
        <v>93</v>
      </c>
      <c r="U78" s="6" t="s">
        <v>499</v>
      </c>
      <c r="V78" s="4" t="s">
        <v>73</v>
      </c>
    </row>
    <row r="79" spans="1:22">
      <c r="A79" s="7" t="s">
        <v>500</v>
      </c>
      <c r="B79" s="8" t="s">
        <v>225</v>
      </c>
      <c r="C79" s="8" t="s">
        <v>188</v>
      </c>
      <c r="D79" s="8" t="s">
        <v>501</v>
      </c>
      <c r="E79" s="8" t="s">
        <v>502</v>
      </c>
      <c r="F79" s="8" t="s">
        <v>229</v>
      </c>
      <c r="G79" s="8" t="s">
        <v>80</v>
      </c>
      <c r="H79" s="8" t="s">
        <v>503</v>
      </c>
      <c r="I79" s="8" t="s">
        <v>63</v>
      </c>
      <c r="J79" s="8" t="s">
        <v>35</v>
      </c>
      <c r="K79" s="8" t="s">
        <v>50</v>
      </c>
      <c r="L79" s="8" t="s">
        <v>193</v>
      </c>
      <c r="M79" s="8">
        <v>12</v>
      </c>
      <c r="N79" s="8">
        <v>700</v>
      </c>
      <c r="O79" s="8">
        <v>15</v>
      </c>
      <c r="P79" s="8">
        <v>7140</v>
      </c>
      <c r="Q79" s="8">
        <v>2</v>
      </c>
      <c r="R79" s="8" t="s">
        <v>92</v>
      </c>
      <c r="S79" s="8" t="s">
        <v>53</v>
      </c>
      <c r="T79" s="8" t="s">
        <v>232</v>
      </c>
      <c r="U79" s="9" t="s">
        <v>504</v>
      </c>
      <c r="V79" s="8" t="s">
        <v>42</v>
      </c>
    </row>
    <row r="80" spans="1:22">
      <c r="A80" s="3" t="s">
        <v>505</v>
      </c>
      <c r="B80" s="4" t="s">
        <v>75</v>
      </c>
      <c r="C80" s="4" t="s">
        <v>76</v>
      </c>
      <c r="D80" s="4" t="s">
        <v>506</v>
      </c>
      <c r="E80" s="4" t="s">
        <v>507</v>
      </c>
      <c r="F80" s="4" t="s">
        <v>221</v>
      </c>
      <c r="G80" s="4" t="s">
        <v>80</v>
      </c>
      <c r="H80" s="4" t="s">
        <v>508</v>
      </c>
      <c r="I80" s="4" t="s">
        <v>109</v>
      </c>
      <c r="J80" s="4" t="s">
        <v>110</v>
      </c>
      <c r="K80" s="4" t="s">
        <v>50</v>
      </c>
      <c r="L80" s="4" t="s">
        <v>82</v>
      </c>
      <c r="M80" s="4">
        <v>8</v>
      </c>
      <c r="N80" s="4">
        <v>1200</v>
      </c>
      <c r="O80" s="4">
        <v>0</v>
      </c>
      <c r="P80" s="4">
        <v>9600</v>
      </c>
      <c r="Q80" s="4">
        <v>4</v>
      </c>
      <c r="R80" s="4" t="s">
        <v>83</v>
      </c>
      <c r="S80" s="4" t="s">
        <v>53</v>
      </c>
      <c r="T80" s="4" t="s">
        <v>84</v>
      </c>
      <c r="U80" s="6" t="s">
        <v>509</v>
      </c>
      <c r="V80" s="4" t="s">
        <v>68</v>
      </c>
    </row>
    <row r="81" spans="1:22">
      <c r="A81" s="7" t="s">
        <v>510</v>
      </c>
      <c r="B81" s="8" t="s">
        <v>131</v>
      </c>
      <c r="C81" s="8" t="s">
        <v>122</v>
      </c>
      <c r="D81" s="8" t="s">
        <v>511</v>
      </c>
      <c r="E81" s="8" t="s">
        <v>512</v>
      </c>
      <c r="F81" s="8" t="s">
        <v>204</v>
      </c>
      <c r="G81" s="8" t="s">
        <v>80</v>
      </c>
      <c r="H81" s="8" t="s">
        <v>513</v>
      </c>
      <c r="I81" s="8" t="s">
        <v>118</v>
      </c>
      <c r="J81" s="8" t="s">
        <v>110</v>
      </c>
      <c r="K81" s="8" t="s">
        <v>126</v>
      </c>
      <c r="L81" s="8" t="s">
        <v>127</v>
      </c>
      <c r="M81" s="8">
        <v>2</v>
      </c>
      <c r="N81" s="8">
        <v>60</v>
      </c>
      <c r="O81" s="8">
        <v>0</v>
      </c>
      <c r="P81" s="8">
        <v>120</v>
      </c>
      <c r="Q81" s="8">
        <v>2</v>
      </c>
      <c r="R81" s="8" t="s">
        <v>92</v>
      </c>
      <c r="S81" s="8" t="s">
        <v>53</v>
      </c>
      <c r="T81" s="8" t="s">
        <v>136</v>
      </c>
      <c r="U81" s="9" t="s">
        <v>514</v>
      </c>
      <c r="V81" s="8" t="s">
        <v>42</v>
      </c>
    </row>
    <row r="82" spans="1:22">
      <c r="A82" s="3" t="s">
        <v>515</v>
      </c>
      <c r="B82" s="4" t="s">
        <v>331</v>
      </c>
      <c r="C82" s="4" t="s">
        <v>263</v>
      </c>
      <c r="D82" s="4" t="s">
        <v>516</v>
      </c>
      <c r="E82" s="4" t="s">
        <v>517</v>
      </c>
      <c r="F82" s="4" t="s">
        <v>398</v>
      </c>
      <c r="G82" s="4" t="s">
        <v>80</v>
      </c>
      <c r="H82" s="4" t="s">
        <v>518</v>
      </c>
      <c r="I82" s="4" t="s">
        <v>118</v>
      </c>
      <c r="J82" s="4" t="s">
        <v>110</v>
      </c>
      <c r="K82" s="4" t="s">
        <v>126</v>
      </c>
      <c r="L82" s="4" t="s">
        <v>267</v>
      </c>
      <c r="M82" s="4">
        <v>10</v>
      </c>
      <c r="N82" s="4">
        <v>45</v>
      </c>
      <c r="O82" s="4">
        <v>15</v>
      </c>
      <c r="P82" s="4">
        <v>382.5</v>
      </c>
      <c r="Q82" s="4">
        <v>3</v>
      </c>
      <c r="R82" s="4" t="s">
        <v>52</v>
      </c>
      <c r="S82" s="4" t="s">
        <v>39</v>
      </c>
      <c r="T82" s="4" t="s">
        <v>336</v>
      </c>
      <c r="U82" s="6" t="s">
        <v>519</v>
      </c>
      <c r="V82" s="4" t="s">
        <v>73</v>
      </c>
    </row>
    <row r="83" spans="1:22">
      <c r="A83" s="7" t="s">
        <v>520</v>
      </c>
      <c r="B83" s="8" t="s">
        <v>225</v>
      </c>
      <c r="C83" s="8" t="s">
        <v>96</v>
      </c>
      <c r="D83" s="8" t="s">
        <v>521</v>
      </c>
      <c r="E83" s="8" t="s">
        <v>522</v>
      </c>
      <c r="F83" s="8" t="s">
        <v>229</v>
      </c>
      <c r="G83" s="8" t="s">
        <v>80</v>
      </c>
      <c r="H83" s="8" t="s">
        <v>523</v>
      </c>
      <c r="I83" s="8" t="s">
        <v>298</v>
      </c>
      <c r="J83" s="8" t="s">
        <v>299</v>
      </c>
      <c r="K83" s="8" t="s">
        <v>36</v>
      </c>
      <c r="L83" s="8" t="s">
        <v>101</v>
      </c>
      <c r="M83" s="8">
        <v>12</v>
      </c>
      <c r="N83" s="8">
        <v>3500</v>
      </c>
      <c r="O83" s="8">
        <v>5</v>
      </c>
      <c r="P83" s="8">
        <v>39900</v>
      </c>
      <c r="Q83" s="8">
        <v>3</v>
      </c>
      <c r="R83" s="8" t="s">
        <v>52</v>
      </c>
      <c r="S83" s="8" t="s">
        <v>65</v>
      </c>
      <c r="T83" s="8" t="s">
        <v>232</v>
      </c>
      <c r="U83" s="9" t="s">
        <v>524</v>
      </c>
      <c r="V83" s="8" t="s">
        <v>68</v>
      </c>
    </row>
    <row r="84" spans="1:22">
      <c r="A84" s="3" t="s">
        <v>525</v>
      </c>
      <c r="B84" s="4" t="s">
        <v>131</v>
      </c>
      <c r="C84" s="4" t="s">
        <v>122</v>
      </c>
      <c r="D84" s="4" t="s">
        <v>132</v>
      </c>
      <c r="E84" s="4" t="s">
        <v>77</v>
      </c>
      <c r="F84" s="4" t="s">
        <v>204</v>
      </c>
      <c r="G84" s="4" t="s">
        <v>80</v>
      </c>
      <c r="H84" s="4" t="s">
        <v>526</v>
      </c>
      <c r="I84" s="4" t="s">
        <v>109</v>
      </c>
      <c r="J84" s="4" t="s">
        <v>110</v>
      </c>
      <c r="K84" s="4" t="s">
        <v>126</v>
      </c>
      <c r="L84" s="4" t="s">
        <v>127</v>
      </c>
      <c r="M84" s="4">
        <v>2</v>
      </c>
      <c r="N84" s="4">
        <v>60</v>
      </c>
      <c r="O84" s="4">
        <v>15</v>
      </c>
      <c r="P84" s="4">
        <v>102</v>
      </c>
      <c r="Q84" s="4">
        <v>1</v>
      </c>
      <c r="R84" s="4" t="s">
        <v>92</v>
      </c>
      <c r="S84" s="4" t="s">
        <v>119</v>
      </c>
      <c r="T84" s="4" t="s">
        <v>136</v>
      </c>
      <c r="U84" s="6" t="s">
        <v>527</v>
      </c>
      <c r="V84" s="4" t="s">
        <v>42</v>
      </c>
    </row>
    <row r="85" spans="1:22">
      <c r="A85" s="7" t="s">
        <v>528</v>
      </c>
      <c r="B85" s="8" t="s">
        <v>131</v>
      </c>
      <c r="C85" s="8" t="s">
        <v>76</v>
      </c>
      <c r="D85" s="8" t="s">
        <v>529</v>
      </c>
      <c r="E85" s="8" t="s">
        <v>530</v>
      </c>
      <c r="F85" s="8" t="s">
        <v>204</v>
      </c>
      <c r="G85" s="8" t="s">
        <v>80</v>
      </c>
      <c r="H85" s="8" t="s">
        <v>531</v>
      </c>
      <c r="I85" s="8" t="s">
        <v>34</v>
      </c>
      <c r="J85" s="8" t="s">
        <v>35</v>
      </c>
      <c r="K85" s="8" t="s">
        <v>50</v>
      </c>
      <c r="L85" s="8" t="s">
        <v>82</v>
      </c>
      <c r="M85" s="8">
        <v>18</v>
      </c>
      <c r="N85" s="8">
        <v>1200</v>
      </c>
      <c r="O85" s="8">
        <v>15</v>
      </c>
      <c r="P85" s="8">
        <v>18360</v>
      </c>
      <c r="Q85" s="8">
        <v>3</v>
      </c>
      <c r="R85" s="8" t="s">
        <v>83</v>
      </c>
      <c r="S85" s="8" t="s">
        <v>119</v>
      </c>
      <c r="T85" s="8" t="s">
        <v>136</v>
      </c>
      <c r="U85" s="9" t="s">
        <v>532</v>
      </c>
      <c r="V85" s="8" t="s">
        <v>68</v>
      </c>
    </row>
    <row r="86" spans="1:22">
      <c r="A86" s="3" t="s">
        <v>533</v>
      </c>
      <c r="B86" s="4" t="s">
        <v>27</v>
      </c>
      <c r="C86" s="4" t="s">
        <v>44</v>
      </c>
      <c r="D86" s="4" t="s">
        <v>534</v>
      </c>
      <c r="E86" s="4" t="s">
        <v>535</v>
      </c>
      <c r="F86" s="4" t="s">
        <v>31</v>
      </c>
      <c r="G86" s="4" t="s">
        <v>32</v>
      </c>
      <c r="H86" s="4" t="s">
        <v>536</v>
      </c>
      <c r="I86" s="4" t="s">
        <v>109</v>
      </c>
      <c r="J86" s="4" t="s">
        <v>110</v>
      </c>
      <c r="K86" s="4" t="s">
        <v>50</v>
      </c>
      <c r="L86" s="4" t="s">
        <v>51</v>
      </c>
      <c r="M86" s="4">
        <v>18</v>
      </c>
      <c r="N86" s="4">
        <v>12000</v>
      </c>
      <c r="O86" s="4">
        <v>15</v>
      </c>
      <c r="P86" s="4">
        <v>183600</v>
      </c>
      <c r="Q86" s="4">
        <v>2</v>
      </c>
      <c r="R86" s="4" t="s">
        <v>38</v>
      </c>
      <c r="S86" s="4" t="s">
        <v>53</v>
      </c>
      <c r="T86" s="4" t="s">
        <v>54</v>
      </c>
      <c r="U86" s="6" t="s">
        <v>537</v>
      </c>
      <c r="V86" s="4" t="s">
        <v>42</v>
      </c>
    </row>
    <row r="87" spans="1:22">
      <c r="A87" s="7" t="s">
        <v>538</v>
      </c>
      <c r="B87" s="8" t="s">
        <v>87</v>
      </c>
      <c r="C87" s="8" t="s">
        <v>226</v>
      </c>
      <c r="D87" s="8" t="s">
        <v>535</v>
      </c>
      <c r="E87" s="8" t="s">
        <v>539</v>
      </c>
      <c r="F87" s="8" t="s">
        <v>184</v>
      </c>
      <c r="G87" s="8" t="s">
        <v>80</v>
      </c>
      <c r="H87" s="8" t="s">
        <v>540</v>
      </c>
      <c r="I87" s="8" t="s">
        <v>142</v>
      </c>
      <c r="J87" s="8" t="s">
        <v>110</v>
      </c>
      <c r="K87" s="8" t="s">
        <v>126</v>
      </c>
      <c r="L87" s="8" t="s">
        <v>231</v>
      </c>
      <c r="M87" s="8">
        <v>7</v>
      </c>
      <c r="N87" s="8">
        <v>20</v>
      </c>
      <c r="O87" s="8">
        <v>0</v>
      </c>
      <c r="P87" s="8">
        <v>140</v>
      </c>
      <c r="Q87" s="8">
        <v>2</v>
      </c>
      <c r="R87" s="8" t="s">
        <v>83</v>
      </c>
      <c r="S87" s="8" t="s">
        <v>39</v>
      </c>
      <c r="T87" s="8" t="s">
        <v>93</v>
      </c>
      <c r="U87" s="9" t="s">
        <v>541</v>
      </c>
      <c r="V87" s="8" t="s">
        <v>73</v>
      </c>
    </row>
    <row r="88" spans="1:22">
      <c r="A88" s="3" t="s">
        <v>542</v>
      </c>
      <c r="B88" s="4" t="s">
        <v>255</v>
      </c>
      <c r="C88" s="4" t="s">
        <v>96</v>
      </c>
      <c r="D88" s="4" t="s">
        <v>463</v>
      </c>
      <c r="E88" s="4" t="s">
        <v>543</v>
      </c>
      <c r="F88" s="4" t="s">
        <v>258</v>
      </c>
      <c r="G88" s="4" t="s">
        <v>32</v>
      </c>
      <c r="H88" s="4" t="s">
        <v>544</v>
      </c>
      <c r="I88" s="4" t="s">
        <v>118</v>
      </c>
      <c r="J88" s="4" t="s">
        <v>110</v>
      </c>
      <c r="K88" s="4" t="s">
        <v>36</v>
      </c>
      <c r="L88" s="4" t="s">
        <v>101</v>
      </c>
      <c r="M88" s="4">
        <v>20</v>
      </c>
      <c r="N88" s="4">
        <v>3500</v>
      </c>
      <c r="O88" s="4">
        <v>20</v>
      </c>
      <c r="P88" s="4">
        <v>56000</v>
      </c>
      <c r="Q88" s="4">
        <v>4</v>
      </c>
      <c r="R88" s="4" t="s">
        <v>83</v>
      </c>
      <c r="S88" s="4" t="s">
        <v>119</v>
      </c>
      <c r="T88" s="4" t="s">
        <v>260</v>
      </c>
      <c r="U88" s="6" t="s">
        <v>545</v>
      </c>
      <c r="V88" s="4" t="s">
        <v>68</v>
      </c>
    </row>
    <row r="89" spans="1:22">
      <c r="A89" s="7" t="s">
        <v>546</v>
      </c>
      <c r="B89" s="8" t="s">
        <v>104</v>
      </c>
      <c r="C89" s="8" t="s">
        <v>173</v>
      </c>
      <c r="D89" s="8" t="s">
        <v>547</v>
      </c>
      <c r="E89" s="8" t="s">
        <v>548</v>
      </c>
      <c r="F89" s="8" t="s">
        <v>107</v>
      </c>
      <c r="G89" s="8" t="s">
        <v>32</v>
      </c>
      <c r="H89" s="8" t="s">
        <v>549</v>
      </c>
      <c r="I89" s="8" t="s">
        <v>142</v>
      </c>
      <c r="J89" s="8" t="s">
        <v>110</v>
      </c>
      <c r="K89" s="8" t="s">
        <v>36</v>
      </c>
      <c r="L89" s="8" t="s">
        <v>178</v>
      </c>
      <c r="M89" s="8">
        <v>8</v>
      </c>
      <c r="N89" s="8">
        <v>8500</v>
      </c>
      <c r="O89" s="8">
        <v>20</v>
      </c>
      <c r="P89" s="8">
        <v>54400</v>
      </c>
      <c r="Q89" s="8">
        <v>3</v>
      </c>
      <c r="R89" s="8" t="s">
        <v>83</v>
      </c>
      <c r="S89" s="8" t="s">
        <v>119</v>
      </c>
      <c r="T89" s="8" t="s">
        <v>148</v>
      </c>
      <c r="U89" s="9" t="s">
        <v>550</v>
      </c>
      <c r="V89" s="8" t="s">
        <v>68</v>
      </c>
    </row>
    <row r="90" spans="1:22">
      <c r="A90" s="3" t="s">
        <v>551</v>
      </c>
      <c r="B90" s="4" t="s">
        <v>331</v>
      </c>
      <c r="C90" s="4" t="s">
        <v>44</v>
      </c>
      <c r="D90" s="4" t="s">
        <v>552</v>
      </c>
      <c r="E90" s="4" t="s">
        <v>553</v>
      </c>
      <c r="F90" s="4" t="s">
        <v>398</v>
      </c>
      <c r="G90" s="4" t="s">
        <v>80</v>
      </c>
      <c r="H90" s="4" t="s">
        <v>554</v>
      </c>
      <c r="I90" s="4" t="s">
        <v>142</v>
      </c>
      <c r="J90" s="4" t="s">
        <v>555</v>
      </c>
      <c r="K90" s="4" t="s">
        <v>50</v>
      </c>
      <c r="L90" s="4" t="s">
        <v>51</v>
      </c>
      <c r="M90" s="4">
        <v>6</v>
      </c>
      <c r="N90" s="4">
        <v>12000</v>
      </c>
      <c r="O90" s="4">
        <v>5</v>
      </c>
      <c r="P90" s="4">
        <v>68400</v>
      </c>
      <c r="Q90" s="4">
        <v>4</v>
      </c>
      <c r="R90" s="4" t="s">
        <v>52</v>
      </c>
      <c r="S90" s="4" t="s">
        <v>39</v>
      </c>
      <c r="T90" s="4" t="s">
        <v>336</v>
      </c>
      <c r="U90" s="6" t="s">
        <v>556</v>
      </c>
      <c r="V90" s="4" t="s">
        <v>42</v>
      </c>
    </row>
    <row r="91" spans="1:22">
      <c r="A91" s="7" t="s">
        <v>557</v>
      </c>
      <c r="B91" s="8" t="s">
        <v>27</v>
      </c>
      <c r="C91" s="8" t="s">
        <v>173</v>
      </c>
      <c r="D91" s="8" t="s">
        <v>558</v>
      </c>
      <c r="E91" s="8" t="s">
        <v>408</v>
      </c>
      <c r="F91" s="8" t="s">
        <v>31</v>
      </c>
      <c r="G91" s="8" t="s">
        <v>32</v>
      </c>
      <c r="H91" s="8" t="s">
        <v>559</v>
      </c>
      <c r="I91" s="8" t="s">
        <v>118</v>
      </c>
      <c r="J91" s="8" t="s">
        <v>110</v>
      </c>
      <c r="K91" s="8" t="s">
        <v>36</v>
      </c>
      <c r="L91" s="8" t="s">
        <v>178</v>
      </c>
      <c r="M91" s="8">
        <v>15</v>
      </c>
      <c r="N91" s="8">
        <v>8500</v>
      </c>
      <c r="O91" s="8">
        <v>0</v>
      </c>
      <c r="P91" s="8">
        <v>127500</v>
      </c>
      <c r="Q91" s="8">
        <v>4</v>
      </c>
      <c r="R91" s="8" t="s">
        <v>52</v>
      </c>
      <c r="S91" s="8" t="s">
        <v>39</v>
      </c>
      <c r="T91" s="8" t="s">
        <v>54</v>
      </c>
      <c r="U91" s="9" t="s">
        <v>560</v>
      </c>
      <c r="V91" s="8" t="s">
        <v>73</v>
      </c>
    </row>
    <row r="92" spans="1:22">
      <c r="A92" s="3" t="s">
        <v>561</v>
      </c>
      <c r="B92" s="4" t="s">
        <v>57</v>
      </c>
      <c r="C92" s="4" t="s">
        <v>76</v>
      </c>
      <c r="D92" s="4" t="s">
        <v>562</v>
      </c>
      <c r="E92" s="4" t="s">
        <v>381</v>
      </c>
      <c r="F92" s="4" t="s">
        <v>167</v>
      </c>
      <c r="G92" s="4" t="s">
        <v>32</v>
      </c>
      <c r="H92" s="4" t="s">
        <v>563</v>
      </c>
      <c r="I92" s="4" t="s">
        <v>216</v>
      </c>
      <c r="J92" s="4" t="s">
        <v>49</v>
      </c>
      <c r="K92" s="4" t="s">
        <v>50</v>
      </c>
      <c r="L92" s="4" t="s">
        <v>82</v>
      </c>
      <c r="M92" s="4">
        <v>5</v>
      </c>
      <c r="N92" s="4">
        <v>1200</v>
      </c>
      <c r="O92" s="4">
        <v>15</v>
      </c>
      <c r="P92" s="4">
        <v>5100</v>
      </c>
      <c r="Q92" s="4">
        <v>1</v>
      </c>
      <c r="R92" s="4" t="s">
        <v>52</v>
      </c>
      <c r="S92" s="4" t="s">
        <v>39</v>
      </c>
      <c r="T92" s="4" t="s">
        <v>66</v>
      </c>
      <c r="U92" s="6" t="s">
        <v>564</v>
      </c>
      <c r="V92" s="4" t="s">
        <v>73</v>
      </c>
    </row>
    <row r="93" spans="1:22">
      <c r="A93" s="7" t="s">
        <v>565</v>
      </c>
      <c r="B93" s="8" t="s">
        <v>57</v>
      </c>
      <c r="C93" s="8" t="s">
        <v>226</v>
      </c>
      <c r="D93" s="8" t="s">
        <v>566</v>
      </c>
      <c r="E93" s="8" t="s">
        <v>567</v>
      </c>
      <c r="F93" s="8" t="s">
        <v>167</v>
      </c>
      <c r="G93" s="8" t="s">
        <v>32</v>
      </c>
      <c r="H93" s="8" t="s">
        <v>568</v>
      </c>
      <c r="I93" s="8" t="s">
        <v>34</v>
      </c>
      <c r="J93" s="8" t="s">
        <v>35</v>
      </c>
      <c r="K93" s="8" t="s">
        <v>126</v>
      </c>
      <c r="L93" s="8" t="s">
        <v>231</v>
      </c>
      <c r="M93" s="8">
        <v>4</v>
      </c>
      <c r="N93" s="8">
        <v>20</v>
      </c>
      <c r="O93" s="8">
        <v>0</v>
      </c>
      <c r="P93" s="8">
        <v>80</v>
      </c>
      <c r="Q93" s="8">
        <v>4</v>
      </c>
      <c r="R93" s="8" t="s">
        <v>52</v>
      </c>
      <c r="S93" s="8" t="s">
        <v>53</v>
      </c>
      <c r="T93" s="8" t="s">
        <v>66</v>
      </c>
      <c r="U93" s="9" t="s">
        <v>569</v>
      </c>
      <c r="V93" s="8" t="s">
        <v>42</v>
      </c>
    </row>
    <row r="94" spans="1:22">
      <c r="A94" s="3" t="s">
        <v>570</v>
      </c>
      <c r="B94" s="4" t="s">
        <v>27</v>
      </c>
      <c r="C94" s="4" t="s">
        <v>226</v>
      </c>
      <c r="D94" s="4" t="s">
        <v>571</v>
      </c>
      <c r="E94" s="4" t="s">
        <v>572</v>
      </c>
      <c r="F94" s="4" t="s">
        <v>31</v>
      </c>
      <c r="G94" s="4" t="s">
        <v>32</v>
      </c>
      <c r="H94" s="4" t="s">
        <v>573</v>
      </c>
      <c r="I94" s="4" t="s">
        <v>63</v>
      </c>
      <c r="J94" s="4" t="s">
        <v>35</v>
      </c>
      <c r="K94" s="4" t="s">
        <v>126</v>
      </c>
      <c r="L94" s="4" t="s">
        <v>231</v>
      </c>
      <c r="M94" s="4">
        <v>10</v>
      </c>
      <c r="N94" s="4">
        <v>20</v>
      </c>
      <c r="O94" s="4">
        <v>0</v>
      </c>
      <c r="P94" s="4">
        <v>200</v>
      </c>
      <c r="Q94" s="4">
        <v>3</v>
      </c>
      <c r="R94" s="4" t="s">
        <v>38</v>
      </c>
      <c r="S94" s="4" t="s">
        <v>155</v>
      </c>
      <c r="T94" s="4" t="s">
        <v>54</v>
      </c>
      <c r="U94" s="6" t="s">
        <v>574</v>
      </c>
      <c r="V94" s="4" t="s">
        <v>68</v>
      </c>
    </row>
    <row r="95" spans="1:22">
      <c r="A95" s="7" t="s">
        <v>575</v>
      </c>
      <c r="B95" s="8" t="s">
        <v>172</v>
      </c>
      <c r="C95" s="8" t="s">
        <v>28</v>
      </c>
      <c r="D95" s="8" t="s">
        <v>576</v>
      </c>
      <c r="E95" s="8" t="s">
        <v>577</v>
      </c>
      <c r="F95" s="8" t="s">
        <v>365</v>
      </c>
      <c r="G95" s="8" t="s">
        <v>32</v>
      </c>
      <c r="H95" s="8" t="s">
        <v>578</v>
      </c>
      <c r="I95" s="8" t="s">
        <v>48</v>
      </c>
      <c r="J95" s="8" t="s">
        <v>49</v>
      </c>
      <c r="K95" s="8" t="s">
        <v>36</v>
      </c>
      <c r="L95" s="8" t="s">
        <v>37</v>
      </c>
      <c r="M95" s="8">
        <v>18</v>
      </c>
      <c r="N95" s="8">
        <v>2200</v>
      </c>
      <c r="O95" s="8">
        <v>10</v>
      </c>
      <c r="P95" s="8">
        <v>35640</v>
      </c>
      <c r="Q95" s="8">
        <v>3</v>
      </c>
      <c r="R95" s="8" t="s">
        <v>38</v>
      </c>
      <c r="S95" s="8" t="s">
        <v>39</v>
      </c>
      <c r="T95" s="8" t="s">
        <v>179</v>
      </c>
      <c r="U95" s="9" t="s">
        <v>579</v>
      </c>
      <c r="V95" s="8" t="s">
        <v>73</v>
      </c>
    </row>
    <row r="96" spans="1:22">
      <c r="A96" s="3" t="s">
        <v>580</v>
      </c>
      <c r="B96" s="4" t="s">
        <v>331</v>
      </c>
      <c r="C96" s="4" t="s">
        <v>96</v>
      </c>
      <c r="D96" s="4" t="s">
        <v>581</v>
      </c>
      <c r="E96" s="4" t="s">
        <v>582</v>
      </c>
      <c r="F96" s="4" t="s">
        <v>398</v>
      </c>
      <c r="G96" s="4" t="s">
        <v>80</v>
      </c>
      <c r="H96" s="4" t="s">
        <v>583</v>
      </c>
      <c r="I96" s="4" t="s">
        <v>48</v>
      </c>
      <c r="J96" s="4" t="s">
        <v>49</v>
      </c>
      <c r="K96" s="4" t="s">
        <v>36</v>
      </c>
      <c r="L96" s="4" t="s">
        <v>101</v>
      </c>
      <c r="M96" s="4">
        <v>7</v>
      </c>
      <c r="N96" s="4">
        <v>3500</v>
      </c>
      <c r="O96" s="4">
        <v>15</v>
      </c>
      <c r="P96" s="4">
        <v>20825</v>
      </c>
      <c r="Q96" s="4">
        <v>3</v>
      </c>
      <c r="R96" s="4" t="s">
        <v>52</v>
      </c>
      <c r="S96" s="4" t="s">
        <v>53</v>
      </c>
      <c r="T96" s="4" t="s">
        <v>336</v>
      </c>
      <c r="U96" s="6" t="s">
        <v>584</v>
      </c>
      <c r="V96" s="4" t="s">
        <v>42</v>
      </c>
    </row>
    <row r="97" spans="1:22">
      <c r="A97" s="7" t="s">
        <v>585</v>
      </c>
      <c r="B97" s="8" t="s">
        <v>104</v>
      </c>
      <c r="C97" s="8" t="s">
        <v>173</v>
      </c>
      <c r="D97" s="8" t="s">
        <v>586</v>
      </c>
      <c r="E97" s="8" t="s">
        <v>587</v>
      </c>
      <c r="F97" s="8" t="s">
        <v>107</v>
      </c>
      <c r="G97" s="8" t="s">
        <v>32</v>
      </c>
      <c r="H97" s="8" t="s">
        <v>588</v>
      </c>
      <c r="I97" s="8" t="s">
        <v>298</v>
      </c>
      <c r="J97" s="8" t="s">
        <v>299</v>
      </c>
      <c r="K97" s="8" t="s">
        <v>36</v>
      </c>
      <c r="L97" s="8" t="s">
        <v>178</v>
      </c>
      <c r="M97" s="8">
        <v>19</v>
      </c>
      <c r="N97" s="8">
        <v>8500</v>
      </c>
      <c r="O97" s="8">
        <v>15</v>
      </c>
      <c r="P97" s="8">
        <v>137275</v>
      </c>
      <c r="Q97" s="8">
        <v>4</v>
      </c>
      <c r="R97" s="8" t="s">
        <v>83</v>
      </c>
      <c r="S97" s="8" t="s">
        <v>155</v>
      </c>
      <c r="T97" s="8" t="s">
        <v>148</v>
      </c>
      <c r="U97" s="9" t="s">
        <v>589</v>
      </c>
      <c r="V97" s="8" t="s">
        <v>68</v>
      </c>
    </row>
    <row r="98" spans="1:22">
      <c r="A98" s="3" t="s">
        <v>590</v>
      </c>
      <c r="B98" s="4" t="s">
        <v>255</v>
      </c>
      <c r="C98" s="4" t="s">
        <v>44</v>
      </c>
      <c r="D98" s="4" t="s">
        <v>591</v>
      </c>
      <c r="E98" s="4" t="s">
        <v>592</v>
      </c>
      <c r="F98" s="4" t="s">
        <v>258</v>
      </c>
      <c r="G98" s="4" t="s">
        <v>32</v>
      </c>
      <c r="H98" s="4" t="s">
        <v>593</v>
      </c>
      <c r="I98" s="4" t="s">
        <v>142</v>
      </c>
      <c r="J98" s="4" t="s">
        <v>110</v>
      </c>
      <c r="K98" s="4" t="s">
        <v>50</v>
      </c>
      <c r="L98" s="4" t="s">
        <v>51</v>
      </c>
      <c r="M98" s="4">
        <v>13</v>
      </c>
      <c r="N98" s="4">
        <v>12000</v>
      </c>
      <c r="O98" s="4">
        <v>15</v>
      </c>
      <c r="P98" s="4">
        <v>132600</v>
      </c>
      <c r="Q98" s="4">
        <v>4</v>
      </c>
      <c r="R98" s="4" t="s">
        <v>38</v>
      </c>
      <c r="S98" s="4" t="s">
        <v>53</v>
      </c>
      <c r="T98" s="4" t="s">
        <v>260</v>
      </c>
      <c r="U98" s="6" t="s">
        <v>594</v>
      </c>
      <c r="V98" s="4" t="s">
        <v>42</v>
      </c>
    </row>
    <row r="99" spans="1:22">
      <c r="A99" s="7" t="s">
        <v>595</v>
      </c>
      <c r="B99" s="8" t="s">
        <v>331</v>
      </c>
      <c r="C99" s="8" t="s">
        <v>226</v>
      </c>
      <c r="D99" s="8" t="s">
        <v>596</v>
      </c>
      <c r="E99" s="8" t="s">
        <v>402</v>
      </c>
      <c r="F99" s="8" t="s">
        <v>398</v>
      </c>
      <c r="G99" s="8" t="s">
        <v>80</v>
      </c>
      <c r="H99" s="8" t="s">
        <v>597</v>
      </c>
      <c r="I99" s="8" t="s">
        <v>118</v>
      </c>
      <c r="J99" s="8" t="s">
        <v>110</v>
      </c>
      <c r="K99" s="8" t="s">
        <v>126</v>
      </c>
      <c r="L99" s="8" t="s">
        <v>231</v>
      </c>
      <c r="M99" s="8">
        <v>7</v>
      </c>
      <c r="N99" s="8">
        <v>20</v>
      </c>
      <c r="O99" s="8">
        <v>0</v>
      </c>
      <c r="P99" s="8">
        <v>140</v>
      </c>
      <c r="Q99" s="8">
        <v>1</v>
      </c>
      <c r="R99" s="8" t="s">
        <v>83</v>
      </c>
      <c r="S99" s="8" t="s">
        <v>155</v>
      </c>
      <c r="T99" s="8" t="s">
        <v>336</v>
      </c>
      <c r="U99" s="9" t="s">
        <v>598</v>
      </c>
      <c r="V99" s="8" t="s">
        <v>73</v>
      </c>
    </row>
    <row r="100" spans="1:22">
      <c r="A100" s="3" t="s">
        <v>599</v>
      </c>
      <c r="B100" s="4" t="s">
        <v>172</v>
      </c>
      <c r="C100" s="4" t="s">
        <v>188</v>
      </c>
      <c r="D100" s="4" t="s">
        <v>600</v>
      </c>
      <c r="E100" s="4" t="s">
        <v>601</v>
      </c>
      <c r="F100" s="4" t="s">
        <v>365</v>
      </c>
      <c r="G100" s="4" t="s">
        <v>32</v>
      </c>
      <c r="H100" s="4" t="s">
        <v>602</v>
      </c>
      <c r="I100" s="4" t="s">
        <v>48</v>
      </c>
      <c r="J100" s="4" t="s">
        <v>49</v>
      </c>
      <c r="K100" s="4" t="s">
        <v>50</v>
      </c>
      <c r="L100" s="4" t="s">
        <v>193</v>
      </c>
      <c r="M100" s="4">
        <v>5</v>
      </c>
      <c r="N100" s="4">
        <v>700</v>
      </c>
      <c r="O100" s="4">
        <v>15</v>
      </c>
      <c r="P100" s="4">
        <v>999999</v>
      </c>
      <c r="Q100" s="4">
        <v>4</v>
      </c>
      <c r="R100" s="4" t="s">
        <v>83</v>
      </c>
      <c r="S100" s="4" t="s">
        <v>39</v>
      </c>
      <c r="T100" s="4" t="s">
        <v>179</v>
      </c>
      <c r="U100" s="6" t="s">
        <v>603</v>
      </c>
      <c r="V100" s="4" t="s">
        <v>68</v>
      </c>
    </row>
    <row r="101" spans="1:22">
      <c r="A101" s="7" t="s">
        <v>604</v>
      </c>
      <c r="B101" s="8" t="s">
        <v>87</v>
      </c>
      <c r="C101" s="8" t="s">
        <v>263</v>
      </c>
      <c r="D101" s="8" t="s">
        <v>587</v>
      </c>
      <c r="E101" s="8" t="s">
        <v>605</v>
      </c>
      <c r="F101" s="8" t="s">
        <v>184</v>
      </c>
      <c r="G101" s="8" t="s">
        <v>80</v>
      </c>
      <c r="H101" s="8" t="s">
        <v>606</v>
      </c>
      <c r="I101" s="8" t="s">
        <v>63</v>
      </c>
      <c r="J101" s="8" t="s">
        <v>35</v>
      </c>
      <c r="K101" s="8" t="s">
        <v>126</v>
      </c>
      <c r="L101" s="8" t="s">
        <v>267</v>
      </c>
      <c r="M101" s="8">
        <v>9</v>
      </c>
      <c r="N101" s="8">
        <v>45</v>
      </c>
      <c r="O101" s="8">
        <v>5</v>
      </c>
      <c r="P101" s="8">
        <v>384.75</v>
      </c>
      <c r="Q101" s="8">
        <v>3</v>
      </c>
      <c r="R101" s="8" t="s">
        <v>38</v>
      </c>
      <c r="S101" s="8" t="s">
        <v>39</v>
      </c>
      <c r="T101" s="8" t="s">
        <v>93</v>
      </c>
      <c r="U101" s="9" t="s">
        <v>607</v>
      </c>
      <c r="V101" s="8" t="s">
        <v>42</v>
      </c>
    </row>
    <row r="102" spans="1:22">
      <c r="A102" s="3" t="s">
        <v>608</v>
      </c>
      <c r="B102" s="4" t="s">
        <v>131</v>
      </c>
      <c r="C102" s="4" t="s">
        <v>122</v>
      </c>
      <c r="D102" s="4" t="s">
        <v>609</v>
      </c>
      <c r="E102" s="4" t="s">
        <v>610</v>
      </c>
      <c r="F102" s="4" t="s">
        <v>204</v>
      </c>
      <c r="G102" s="4" t="s">
        <v>80</v>
      </c>
      <c r="H102" s="4" t="s">
        <v>611</v>
      </c>
      <c r="I102" s="4" t="s">
        <v>298</v>
      </c>
      <c r="J102" s="4" t="s">
        <v>299</v>
      </c>
      <c r="K102" s="4" t="s">
        <v>126</v>
      </c>
      <c r="L102" s="4" t="s">
        <v>127</v>
      </c>
      <c r="M102" s="4">
        <v>19</v>
      </c>
      <c r="N102" s="4">
        <v>60</v>
      </c>
      <c r="O102" s="4">
        <v>10</v>
      </c>
      <c r="P102" s="4">
        <v>1026</v>
      </c>
      <c r="Q102" s="4">
        <v>5</v>
      </c>
      <c r="R102" s="4" t="s">
        <v>52</v>
      </c>
      <c r="S102" s="4" t="s">
        <v>119</v>
      </c>
      <c r="T102" s="4" t="s">
        <v>136</v>
      </c>
      <c r="U102" s="6" t="s">
        <v>612</v>
      </c>
      <c r="V102" s="4" t="s">
        <v>42</v>
      </c>
    </row>
    <row r="103" spans="1:22">
      <c r="A103" s="7" t="s">
        <v>613</v>
      </c>
      <c r="B103" s="8" t="s">
        <v>331</v>
      </c>
      <c r="C103" s="8" t="s">
        <v>188</v>
      </c>
      <c r="D103" s="8" t="s">
        <v>614</v>
      </c>
      <c r="E103" s="8" t="s">
        <v>615</v>
      </c>
      <c r="F103" s="8" t="s">
        <v>398</v>
      </c>
      <c r="G103" s="8" t="s">
        <v>80</v>
      </c>
      <c r="H103" s="8" t="s">
        <v>616</v>
      </c>
      <c r="I103" s="8" t="s">
        <v>142</v>
      </c>
      <c r="J103" s="8" t="s">
        <v>110</v>
      </c>
      <c r="K103" s="8" t="s">
        <v>50</v>
      </c>
      <c r="L103" s="8" t="s">
        <v>193</v>
      </c>
      <c r="M103" s="8">
        <v>4</v>
      </c>
      <c r="N103" s="8">
        <v>700</v>
      </c>
      <c r="O103" s="8">
        <v>5</v>
      </c>
      <c r="P103" s="8">
        <v>2660</v>
      </c>
      <c r="Q103" s="8">
        <v>3</v>
      </c>
      <c r="R103" s="8" t="s">
        <v>52</v>
      </c>
      <c r="S103" s="8" t="s">
        <v>65</v>
      </c>
      <c r="T103" s="8" t="s">
        <v>336</v>
      </c>
      <c r="U103" s="9" t="s">
        <v>617</v>
      </c>
      <c r="V103" s="8" t="s">
        <v>42</v>
      </c>
    </row>
    <row r="104" spans="1:22">
      <c r="A104" s="3" t="s">
        <v>618</v>
      </c>
      <c r="B104" s="4" t="s">
        <v>331</v>
      </c>
      <c r="C104" s="4" t="s">
        <v>96</v>
      </c>
      <c r="D104" s="4" t="s">
        <v>587</v>
      </c>
      <c r="E104" s="4" t="s">
        <v>619</v>
      </c>
      <c r="F104" s="4" t="s">
        <v>398</v>
      </c>
      <c r="G104" s="4" t="s">
        <v>80</v>
      </c>
      <c r="H104" s="4" t="s">
        <v>620</v>
      </c>
      <c r="I104" s="4" t="s">
        <v>118</v>
      </c>
      <c r="J104" s="4" t="s">
        <v>110</v>
      </c>
      <c r="K104" s="4" t="s">
        <v>36</v>
      </c>
      <c r="L104" s="4" t="s">
        <v>101</v>
      </c>
      <c r="M104" s="4">
        <v>16</v>
      </c>
      <c r="N104" s="4">
        <v>3500</v>
      </c>
      <c r="O104" s="4">
        <v>0</v>
      </c>
      <c r="P104" s="4">
        <v>56000</v>
      </c>
      <c r="Q104" s="4">
        <v>2</v>
      </c>
      <c r="R104" s="4" t="s">
        <v>83</v>
      </c>
      <c r="S104" s="4" t="s">
        <v>53</v>
      </c>
      <c r="T104" s="4" t="s">
        <v>336</v>
      </c>
      <c r="U104" s="6" t="s">
        <v>621</v>
      </c>
      <c r="V104" s="4" t="s">
        <v>42</v>
      </c>
    </row>
    <row r="105" spans="1:22">
      <c r="A105" s="7" t="s">
        <v>622</v>
      </c>
      <c r="B105" s="8" t="s">
        <v>255</v>
      </c>
      <c r="C105" s="8" t="s">
        <v>263</v>
      </c>
      <c r="D105" s="8" t="s">
        <v>623</v>
      </c>
      <c r="E105" s="8" t="s">
        <v>624</v>
      </c>
      <c r="F105" s="8" t="s">
        <v>258</v>
      </c>
      <c r="G105" s="8" t="s">
        <v>32</v>
      </c>
      <c r="H105" s="8" t="s">
        <v>625</v>
      </c>
      <c r="I105" s="8" t="s">
        <v>63</v>
      </c>
      <c r="J105" s="8" t="s">
        <v>35</v>
      </c>
      <c r="K105" s="8" t="s">
        <v>126</v>
      </c>
      <c r="L105" s="8" t="s">
        <v>267</v>
      </c>
      <c r="M105" s="8">
        <v>5</v>
      </c>
      <c r="N105" s="8">
        <v>45</v>
      </c>
      <c r="O105" s="8">
        <v>20</v>
      </c>
      <c r="P105" s="8">
        <v>180</v>
      </c>
      <c r="Q105" s="8">
        <v>3</v>
      </c>
      <c r="R105" s="8" t="s">
        <v>83</v>
      </c>
      <c r="S105" s="8" t="s">
        <v>39</v>
      </c>
      <c r="T105" s="8" t="s">
        <v>260</v>
      </c>
      <c r="U105" s="9" t="s">
        <v>626</v>
      </c>
      <c r="V105" s="8" t="s">
        <v>42</v>
      </c>
    </row>
    <row r="106" spans="1:22">
      <c r="A106" s="3" t="s">
        <v>627</v>
      </c>
      <c r="B106" s="4" t="s">
        <v>87</v>
      </c>
      <c r="C106" s="4" t="s">
        <v>226</v>
      </c>
      <c r="D106" s="4" t="s">
        <v>628</v>
      </c>
      <c r="E106" s="4" t="s">
        <v>529</v>
      </c>
      <c r="F106" s="4" t="s">
        <v>184</v>
      </c>
      <c r="G106" s="4" t="s">
        <v>80</v>
      </c>
      <c r="H106" s="4" t="s">
        <v>629</v>
      </c>
      <c r="I106" s="4" t="s">
        <v>109</v>
      </c>
      <c r="J106" s="4" t="s">
        <v>110</v>
      </c>
      <c r="K106" s="4" t="s">
        <v>126</v>
      </c>
      <c r="L106" s="4" t="s">
        <v>231</v>
      </c>
      <c r="M106" s="4">
        <v>9</v>
      </c>
      <c r="N106" s="4">
        <v>20</v>
      </c>
      <c r="O106" s="4">
        <v>10</v>
      </c>
      <c r="P106" s="4">
        <v>162</v>
      </c>
      <c r="Q106" s="4">
        <v>4</v>
      </c>
      <c r="R106" s="4" t="s">
        <v>83</v>
      </c>
      <c r="S106" s="4" t="s">
        <v>39</v>
      </c>
      <c r="T106" s="4" t="s">
        <v>93</v>
      </c>
      <c r="U106" s="6" t="s">
        <v>630</v>
      </c>
      <c r="V106" s="4" t="s">
        <v>68</v>
      </c>
    </row>
    <row r="107" spans="1:22">
      <c r="A107" s="7" t="s">
        <v>631</v>
      </c>
      <c r="B107" s="8" t="s">
        <v>57</v>
      </c>
      <c r="C107" s="8" t="s">
        <v>76</v>
      </c>
      <c r="D107" s="8" t="s">
        <v>632</v>
      </c>
      <c r="E107" s="8" t="s">
        <v>435</v>
      </c>
      <c r="F107" s="8" t="s">
        <v>167</v>
      </c>
      <c r="G107" s="8" t="s">
        <v>32</v>
      </c>
      <c r="H107" s="8" t="s">
        <v>633</v>
      </c>
      <c r="I107" s="8" t="s">
        <v>48</v>
      </c>
      <c r="J107" s="8" t="s">
        <v>49</v>
      </c>
      <c r="K107" s="8" t="s">
        <v>50</v>
      </c>
      <c r="L107" s="8" t="s">
        <v>82</v>
      </c>
      <c r="M107" s="8">
        <v>9</v>
      </c>
      <c r="N107" s="8">
        <v>1200</v>
      </c>
      <c r="O107" s="8">
        <v>5</v>
      </c>
      <c r="P107" s="8">
        <v>10260</v>
      </c>
      <c r="Q107" s="8">
        <v>3</v>
      </c>
      <c r="R107" s="8" t="s">
        <v>92</v>
      </c>
      <c r="S107" s="8" t="s">
        <v>39</v>
      </c>
      <c r="T107" s="8" t="s">
        <v>66</v>
      </c>
      <c r="U107" s="9" t="s">
        <v>634</v>
      </c>
      <c r="V107" s="8" t="s">
        <v>68</v>
      </c>
    </row>
    <row r="108" spans="1:22">
      <c r="A108" s="3" t="s">
        <v>635</v>
      </c>
      <c r="B108" s="4" t="s">
        <v>104</v>
      </c>
      <c r="C108" s="4" t="s">
        <v>96</v>
      </c>
      <c r="D108" s="4" t="s">
        <v>391</v>
      </c>
      <c r="E108" s="4" t="s">
        <v>636</v>
      </c>
      <c r="F108" s="4" t="s">
        <v>107</v>
      </c>
      <c r="G108" s="4" t="s">
        <v>32</v>
      </c>
      <c r="H108" s="4" t="s">
        <v>637</v>
      </c>
      <c r="I108" s="4" t="s">
        <v>48</v>
      </c>
      <c r="J108" s="4" t="s">
        <v>49</v>
      </c>
      <c r="K108" s="4" t="s">
        <v>36</v>
      </c>
      <c r="L108" s="4" t="s">
        <v>101</v>
      </c>
      <c r="M108" s="4">
        <v>3</v>
      </c>
      <c r="N108" s="4">
        <v>3500</v>
      </c>
      <c r="O108" s="4">
        <v>10</v>
      </c>
      <c r="P108" s="4">
        <v>9450</v>
      </c>
      <c r="Q108" s="4">
        <v>2</v>
      </c>
      <c r="R108" s="4" t="s">
        <v>83</v>
      </c>
      <c r="S108" s="4" t="s">
        <v>155</v>
      </c>
      <c r="T108" s="4" t="s">
        <v>148</v>
      </c>
      <c r="U108" s="6" t="s">
        <v>638</v>
      </c>
      <c r="V108" s="4" t="s">
        <v>73</v>
      </c>
    </row>
    <row r="109" spans="1:22">
      <c r="A109" s="7" t="s">
        <v>639</v>
      </c>
      <c r="B109" s="8" t="s">
        <v>225</v>
      </c>
      <c r="C109" s="8" t="s">
        <v>76</v>
      </c>
      <c r="D109" s="8" t="s">
        <v>245</v>
      </c>
      <c r="E109" s="8" t="s">
        <v>640</v>
      </c>
      <c r="F109" s="8" t="s">
        <v>229</v>
      </c>
      <c r="G109" s="8" t="s">
        <v>80</v>
      </c>
      <c r="H109" s="8" t="s">
        <v>641</v>
      </c>
      <c r="I109" s="8" t="s">
        <v>109</v>
      </c>
      <c r="J109" s="8" t="s">
        <v>110</v>
      </c>
      <c r="K109" s="8" t="s">
        <v>50</v>
      </c>
      <c r="L109" s="8" t="s">
        <v>82</v>
      </c>
      <c r="M109" s="8">
        <v>6</v>
      </c>
      <c r="N109" s="8">
        <v>1200</v>
      </c>
      <c r="O109" s="8">
        <v>15</v>
      </c>
      <c r="P109" s="8">
        <v>6120</v>
      </c>
      <c r="Q109" s="8">
        <v>4</v>
      </c>
      <c r="R109" s="8" t="s">
        <v>92</v>
      </c>
      <c r="S109" s="8" t="s">
        <v>39</v>
      </c>
      <c r="T109" s="8" t="s">
        <v>232</v>
      </c>
      <c r="U109" s="9" t="s">
        <v>642</v>
      </c>
      <c r="V109" s="8" t="s">
        <v>73</v>
      </c>
    </row>
    <row r="110" spans="1:22">
      <c r="A110" s="3" t="s">
        <v>643</v>
      </c>
      <c r="B110" s="4" t="s">
        <v>87</v>
      </c>
      <c r="C110" s="4" t="s">
        <v>76</v>
      </c>
      <c r="D110" s="4" t="s">
        <v>644</v>
      </c>
      <c r="E110" s="4" t="s">
        <v>645</v>
      </c>
      <c r="F110" s="4" t="s">
        <v>184</v>
      </c>
      <c r="G110" s="4" t="s">
        <v>80</v>
      </c>
      <c r="H110" s="4" t="s">
        <v>646</v>
      </c>
      <c r="I110" s="4" t="s">
        <v>216</v>
      </c>
      <c r="J110" s="4" t="s">
        <v>49</v>
      </c>
      <c r="K110" s="4" t="s">
        <v>50</v>
      </c>
      <c r="L110" s="4" t="s">
        <v>82</v>
      </c>
      <c r="M110" s="4">
        <v>17</v>
      </c>
      <c r="N110" s="4">
        <v>1200</v>
      </c>
      <c r="O110" s="4">
        <v>15</v>
      </c>
      <c r="P110" s="4">
        <v>17340</v>
      </c>
      <c r="Q110" s="4">
        <v>1</v>
      </c>
      <c r="R110" s="4" t="s">
        <v>38</v>
      </c>
      <c r="S110" s="4" t="s">
        <v>65</v>
      </c>
      <c r="T110" s="4" t="s">
        <v>93</v>
      </c>
      <c r="U110" s="6" t="s">
        <v>647</v>
      </c>
      <c r="V110" s="4" t="s">
        <v>42</v>
      </c>
    </row>
    <row r="111" spans="1:22">
      <c r="A111" s="7" t="s">
        <v>648</v>
      </c>
      <c r="B111" s="8" t="s">
        <v>225</v>
      </c>
      <c r="C111" s="8" t="s">
        <v>173</v>
      </c>
      <c r="D111" s="8" t="s">
        <v>649</v>
      </c>
      <c r="E111" s="8" t="s">
        <v>291</v>
      </c>
      <c r="F111" s="8" t="s">
        <v>229</v>
      </c>
      <c r="G111" s="8" t="s">
        <v>80</v>
      </c>
      <c r="H111" s="8" t="s">
        <v>650</v>
      </c>
      <c r="I111" s="8" t="s">
        <v>63</v>
      </c>
      <c r="J111" s="8" t="s">
        <v>35</v>
      </c>
      <c r="K111" s="8" t="s">
        <v>36</v>
      </c>
      <c r="L111" s="8" t="s">
        <v>178</v>
      </c>
      <c r="M111" s="8">
        <v>15</v>
      </c>
      <c r="N111" s="8">
        <v>8500</v>
      </c>
      <c r="O111" s="8">
        <v>0</v>
      </c>
      <c r="P111" s="8">
        <v>127500</v>
      </c>
      <c r="Q111" s="8">
        <v>3</v>
      </c>
      <c r="R111" s="8" t="s">
        <v>38</v>
      </c>
      <c r="S111" s="8" t="s">
        <v>119</v>
      </c>
      <c r="T111" s="8" t="s">
        <v>232</v>
      </c>
      <c r="U111" s="9" t="s">
        <v>651</v>
      </c>
      <c r="V111" s="8" t="s">
        <v>68</v>
      </c>
    </row>
    <row r="112" spans="1:22">
      <c r="A112" s="3" t="s">
        <v>652</v>
      </c>
      <c r="B112" s="4" t="s">
        <v>131</v>
      </c>
      <c r="C112" s="4" t="s">
        <v>76</v>
      </c>
      <c r="D112" s="4" t="s">
        <v>105</v>
      </c>
      <c r="E112" s="4" t="s">
        <v>106</v>
      </c>
      <c r="F112" s="4" t="s">
        <v>204</v>
      </c>
      <c r="G112" s="4" t="s">
        <v>80</v>
      </c>
      <c r="H112" s="4" t="s">
        <v>653</v>
      </c>
      <c r="I112" s="4" t="s">
        <v>34</v>
      </c>
      <c r="J112" s="4" t="s">
        <v>35</v>
      </c>
      <c r="K112" s="4" t="s">
        <v>50</v>
      </c>
      <c r="L112" s="4" t="s">
        <v>82</v>
      </c>
      <c r="M112" s="4">
        <v>1</v>
      </c>
      <c r="N112" s="4">
        <v>1200</v>
      </c>
      <c r="O112" s="4">
        <v>20</v>
      </c>
      <c r="P112" s="4">
        <v>960</v>
      </c>
      <c r="Q112" s="4">
        <v>1</v>
      </c>
      <c r="R112" s="4" t="s">
        <v>92</v>
      </c>
      <c r="S112" s="4" t="s">
        <v>119</v>
      </c>
      <c r="T112" s="4" t="s">
        <v>136</v>
      </c>
      <c r="U112" s="6" t="s">
        <v>654</v>
      </c>
      <c r="V112" s="4" t="s">
        <v>68</v>
      </c>
    </row>
    <row r="113" spans="1:22">
      <c r="A113" s="7" t="s">
        <v>655</v>
      </c>
      <c r="B113" s="8" t="s">
        <v>131</v>
      </c>
      <c r="C113" s="8" t="s">
        <v>173</v>
      </c>
      <c r="D113" s="8" t="s">
        <v>656</v>
      </c>
      <c r="E113" s="8" t="s">
        <v>543</v>
      </c>
      <c r="F113" s="8" t="s">
        <v>204</v>
      </c>
      <c r="G113" s="8" t="s">
        <v>80</v>
      </c>
      <c r="H113" s="8" t="s">
        <v>657</v>
      </c>
      <c r="I113" s="8" t="s">
        <v>298</v>
      </c>
      <c r="J113" s="8" t="s">
        <v>299</v>
      </c>
      <c r="K113" s="8" t="s">
        <v>36</v>
      </c>
      <c r="L113" s="8" t="s">
        <v>178</v>
      </c>
      <c r="M113" s="8">
        <v>5</v>
      </c>
      <c r="N113" s="8">
        <v>8500</v>
      </c>
      <c r="O113" s="8">
        <v>10</v>
      </c>
      <c r="P113" s="8">
        <v>38250</v>
      </c>
      <c r="Q113" s="8">
        <v>1</v>
      </c>
      <c r="R113" s="8" t="s">
        <v>83</v>
      </c>
      <c r="S113" s="8" t="s">
        <v>65</v>
      </c>
      <c r="T113" s="8" t="s">
        <v>136</v>
      </c>
      <c r="U113" s="9" t="s">
        <v>658</v>
      </c>
      <c r="V113" s="8" t="s">
        <v>42</v>
      </c>
    </row>
    <row r="114" spans="1:22">
      <c r="A114" s="3" t="s">
        <v>659</v>
      </c>
      <c r="B114" s="4" t="s">
        <v>57</v>
      </c>
      <c r="C114" s="4" t="s">
        <v>263</v>
      </c>
      <c r="D114" s="4" t="s">
        <v>660</v>
      </c>
      <c r="E114" s="4" t="s">
        <v>661</v>
      </c>
      <c r="F114" s="4" t="s">
        <v>167</v>
      </c>
      <c r="G114" s="4" t="s">
        <v>32</v>
      </c>
      <c r="H114" s="4" t="s">
        <v>662</v>
      </c>
      <c r="I114" s="4" t="s">
        <v>34</v>
      </c>
      <c r="J114" s="4" t="s">
        <v>35</v>
      </c>
      <c r="K114" s="4" t="s">
        <v>126</v>
      </c>
      <c r="L114" s="4" t="s">
        <v>267</v>
      </c>
      <c r="M114" s="4">
        <v>12</v>
      </c>
      <c r="N114" s="4">
        <v>45</v>
      </c>
      <c r="O114" s="4">
        <v>5</v>
      </c>
      <c r="P114" s="4">
        <v>513</v>
      </c>
      <c r="Q114" s="4">
        <v>2</v>
      </c>
      <c r="R114" s="4" t="s">
        <v>52</v>
      </c>
      <c r="S114" s="4" t="s">
        <v>39</v>
      </c>
      <c r="T114" s="4" t="s">
        <v>66</v>
      </c>
      <c r="U114" s="6" t="s">
        <v>663</v>
      </c>
      <c r="V114" s="4" t="s">
        <v>73</v>
      </c>
    </row>
    <row r="115" spans="1:22">
      <c r="A115" s="7" t="s">
        <v>664</v>
      </c>
      <c r="B115" s="8" t="s">
        <v>225</v>
      </c>
      <c r="C115" s="8" t="s">
        <v>122</v>
      </c>
      <c r="D115" s="8" t="s">
        <v>345</v>
      </c>
      <c r="E115" s="8" t="s">
        <v>665</v>
      </c>
      <c r="F115" s="8" t="s">
        <v>229</v>
      </c>
      <c r="G115" s="8" t="s">
        <v>80</v>
      </c>
      <c r="H115" s="8" t="s">
        <v>666</v>
      </c>
      <c r="I115" s="8" t="s">
        <v>118</v>
      </c>
      <c r="J115" s="8" t="s">
        <v>110</v>
      </c>
      <c r="K115" s="8" t="s">
        <v>126</v>
      </c>
      <c r="L115" s="8" t="s">
        <v>127</v>
      </c>
      <c r="M115" s="8">
        <v>5</v>
      </c>
      <c r="N115" s="8">
        <v>60</v>
      </c>
      <c r="O115" s="8">
        <v>5</v>
      </c>
      <c r="P115" s="8">
        <v>285</v>
      </c>
      <c r="Q115" s="8">
        <v>2</v>
      </c>
      <c r="R115" s="8" t="s">
        <v>38</v>
      </c>
      <c r="S115" s="8" t="s">
        <v>65</v>
      </c>
      <c r="T115" s="8" t="s">
        <v>232</v>
      </c>
      <c r="U115" s="9" t="s">
        <v>667</v>
      </c>
      <c r="V115" s="8" t="s">
        <v>42</v>
      </c>
    </row>
    <row r="116" spans="1:22">
      <c r="A116" s="3" t="s">
        <v>668</v>
      </c>
      <c r="B116" s="4" t="s">
        <v>57</v>
      </c>
      <c r="C116" s="4" t="s">
        <v>188</v>
      </c>
      <c r="D116" s="4" t="s">
        <v>669</v>
      </c>
      <c r="E116" s="4" t="s">
        <v>670</v>
      </c>
      <c r="F116" s="4" t="s">
        <v>167</v>
      </c>
      <c r="G116" s="4" t="s">
        <v>32</v>
      </c>
      <c r="H116" s="4" t="s">
        <v>671</v>
      </c>
      <c r="I116" s="4" t="s">
        <v>298</v>
      </c>
      <c r="J116" s="4" t="s">
        <v>299</v>
      </c>
      <c r="K116" s="4" t="s">
        <v>50</v>
      </c>
      <c r="L116" s="4" t="s">
        <v>193</v>
      </c>
      <c r="M116" s="4">
        <v>3</v>
      </c>
      <c r="N116" s="4">
        <v>700</v>
      </c>
      <c r="O116" s="4">
        <v>0</v>
      </c>
      <c r="P116" s="4">
        <v>2100</v>
      </c>
      <c r="Q116" s="4">
        <v>4</v>
      </c>
      <c r="R116" s="4" t="s">
        <v>83</v>
      </c>
      <c r="S116" s="4" t="s">
        <v>65</v>
      </c>
      <c r="T116" s="4" t="s">
        <v>66</v>
      </c>
      <c r="U116" s="6" t="s">
        <v>672</v>
      </c>
      <c r="V116" s="4" t="s">
        <v>42</v>
      </c>
    </row>
    <row r="117" spans="1:22">
      <c r="A117" s="7" t="s">
        <v>673</v>
      </c>
      <c r="B117" s="8" t="s">
        <v>172</v>
      </c>
      <c r="C117" s="8" t="s">
        <v>226</v>
      </c>
      <c r="D117" s="8" t="s">
        <v>339</v>
      </c>
      <c r="E117" s="8" t="s">
        <v>610</v>
      </c>
      <c r="F117" s="8" t="s">
        <v>365</v>
      </c>
      <c r="G117" s="8" t="s">
        <v>32</v>
      </c>
      <c r="H117" s="8" t="s">
        <v>674</v>
      </c>
      <c r="I117" s="8" t="s">
        <v>48</v>
      </c>
      <c r="J117" s="8" t="s">
        <v>49</v>
      </c>
      <c r="K117" s="8" t="s">
        <v>126</v>
      </c>
      <c r="L117" s="8" t="s">
        <v>231</v>
      </c>
      <c r="M117" s="8">
        <v>6</v>
      </c>
      <c r="N117" s="8">
        <v>20</v>
      </c>
      <c r="O117" s="8">
        <v>15</v>
      </c>
      <c r="P117" s="8">
        <v>102</v>
      </c>
      <c r="Q117" s="8">
        <v>5</v>
      </c>
      <c r="R117" s="8" t="s">
        <v>83</v>
      </c>
      <c r="S117" s="8" t="s">
        <v>155</v>
      </c>
      <c r="T117" s="8" t="s">
        <v>179</v>
      </c>
      <c r="U117" s="9" t="s">
        <v>675</v>
      </c>
      <c r="V117" s="8" t="s">
        <v>42</v>
      </c>
    </row>
    <row r="118" spans="1:22">
      <c r="A118" s="3" t="s">
        <v>676</v>
      </c>
      <c r="B118" s="4" t="s">
        <v>104</v>
      </c>
      <c r="C118" s="4" t="s">
        <v>188</v>
      </c>
      <c r="D118" s="4" t="s">
        <v>677</v>
      </c>
      <c r="E118" s="4" t="s">
        <v>678</v>
      </c>
      <c r="F118" s="4" t="s">
        <v>107</v>
      </c>
      <c r="G118" s="4" t="s">
        <v>32</v>
      </c>
      <c r="H118" s="4" t="s">
        <v>679</v>
      </c>
      <c r="I118" s="4" t="s">
        <v>63</v>
      </c>
      <c r="J118" s="4" t="s">
        <v>35</v>
      </c>
      <c r="K118" s="4" t="s">
        <v>50</v>
      </c>
      <c r="L118" s="4" t="s">
        <v>193</v>
      </c>
      <c r="M118" s="4">
        <v>2</v>
      </c>
      <c r="N118" s="4">
        <v>700</v>
      </c>
      <c r="O118" s="4">
        <v>15</v>
      </c>
      <c r="P118" s="4">
        <v>1190</v>
      </c>
      <c r="Q118" s="4">
        <v>4</v>
      </c>
      <c r="R118" s="4" t="s">
        <v>38</v>
      </c>
      <c r="S118" s="4" t="s">
        <v>155</v>
      </c>
      <c r="T118" s="4" t="s">
        <v>148</v>
      </c>
      <c r="U118" s="6" t="s">
        <v>680</v>
      </c>
      <c r="V118" s="4" t="s">
        <v>68</v>
      </c>
    </row>
    <row r="119" spans="1:22">
      <c r="A119" s="7" t="s">
        <v>681</v>
      </c>
      <c r="B119" s="8" t="s">
        <v>331</v>
      </c>
      <c r="C119" s="8" t="s">
        <v>263</v>
      </c>
      <c r="D119" s="8" t="s">
        <v>682</v>
      </c>
      <c r="E119" s="8" t="s">
        <v>683</v>
      </c>
      <c r="F119" s="8" t="s">
        <v>398</v>
      </c>
      <c r="G119" s="8" t="s">
        <v>80</v>
      </c>
      <c r="H119" s="8" t="s">
        <v>684</v>
      </c>
      <c r="I119" s="8" t="s">
        <v>118</v>
      </c>
      <c r="J119" s="8" t="s">
        <v>110</v>
      </c>
      <c r="K119" s="8" t="s">
        <v>126</v>
      </c>
      <c r="L119" s="8" t="s">
        <v>267</v>
      </c>
      <c r="M119" s="8">
        <v>16</v>
      </c>
      <c r="N119" s="8">
        <v>45</v>
      </c>
      <c r="O119" s="8">
        <v>0</v>
      </c>
      <c r="P119" s="8">
        <v>720</v>
      </c>
      <c r="Q119" s="8">
        <v>1</v>
      </c>
      <c r="R119" s="8" t="s">
        <v>52</v>
      </c>
      <c r="S119" s="8" t="s">
        <v>65</v>
      </c>
      <c r="T119" s="8" t="s">
        <v>336</v>
      </c>
      <c r="U119" s="9" t="s">
        <v>685</v>
      </c>
      <c r="V119" s="8" t="s">
        <v>42</v>
      </c>
    </row>
    <row r="120" spans="1:22">
      <c r="A120" s="3" t="s">
        <v>686</v>
      </c>
      <c r="B120" s="4" t="s">
        <v>75</v>
      </c>
      <c r="C120" s="4" t="s">
        <v>76</v>
      </c>
      <c r="D120" s="4" t="s">
        <v>687</v>
      </c>
      <c r="E120" s="4" t="s">
        <v>688</v>
      </c>
      <c r="F120" s="4" t="s">
        <v>221</v>
      </c>
      <c r="G120" s="4" t="s">
        <v>80</v>
      </c>
      <c r="H120" s="4" t="s">
        <v>689</v>
      </c>
      <c r="I120" s="4" t="s">
        <v>142</v>
      </c>
      <c r="J120" s="4" t="s">
        <v>110</v>
      </c>
      <c r="K120" s="4" t="s">
        <v>50</v>
      </c>
      <c r="L120" s="4" t="s">
        <v>82</v>
      </c>
      <c r="M120" s="4" t="s">
        <v>690</v>
      </c>
      <c r="N120" s="4">
        <v>1200</v>
      </c>
      <c r="O120" s="4">
        <v>15</v>
      </c>
      <c r="P120" s="4">
        <v>7140</v>
      </c>
      <c r="Q120" s="4">
        <v>4</v>
      </c>
      <c r="R120" s="4" t="s">
        <v>92</v>
      </c>
      <c r="S120" s="4" t="s">
        <v>155</v>
      </c>
      <c r="T120" s="4" t="s">
        <v>84</v>
      </c>
      <c r="U120" s="6" t="s">
        <v>691</v>
      </c>
      <c r="V120" s="4" t="s">
        <v>68</v>
      </c>
    </row>
    <row r="121" spans="1:22">
      <c r="A121" s="7" t="s">
        <v>692</v>
      </c>
      <c r="B121" s="8" t="s">
        <v>104</v>
      </c>
      <c r="C121" s="8" t="s">
        <v>44</v>
      </c>
      <c r="D121" s="8" t="s">
        <v>380</v>
      </c>
      <c r="E121" s="8" t="s">
        <v>473</v>
      </c>
      <c r="F121" s="8" t="s">
        <v>107</v>
      </c>
      <c r="G121" s="8" t="s">
        <v>32</v>
      </c>
      <c r="H121" s="8" t="s">
        <v>693</v>
      </c>
      <c r="I121" s="8" t="s">
        <v>216</v>
      </c>
      <c r="J121" s="8" t="s">
        <v>49</v>
      </c>
      <c r="K121" s="8" t="s">
        <v>50</v>
      </c>
      <c r="L121" s="8" t="s">
        <v>51</v>
      </c>
      <c r="M121" s="8">
        <v>14</v>
      </c>
      <c r="N121" s="8">
        <v>12000</v>
      </c>
      <c r="O121" s="8">
        <v>15</v>
      </c>
      <c r="P121" s="8">
        <v>142800</v>
      </c>
      <c r="Q121" s="8">
        <v>2</v>
      </c>
      <c r="R121" s="8" t="s">
        <v>52</v>
      </c>
      <c r="S121" s="8" t="s">
        <v>65</v>
      </c>
      <c r="T121" s="8" t="s">
        <v>148</v>
      </c>
      <c r="U121" s="9" t="s">
        <v>694</v>
      </c>
      <c r="V121" s="8" t="s">
        <v>68</v>
      </c>
    </row>
    <row r="122" spans="1:22">
      <c r="A122" s="3" t="s">
        <v>695</v>
      </c>
      <c r="B122" s="4" t="s">
        <v>131</v>
      </c>
      <c r="C122" s="4" t="s">
        <v>173</v>
      </c>
      <c r="D122" s="4" t="s">
        <v>458</v>
      </c>
      <c r="E122" s="4" t="s">
        <v>696</v>
      </c>
      <c r="F122" s="4" t="s">
        <v>204</v>
      </c>
      <c r="G122" s="4" t="s">
        <v>80</v>
      </c>
      <c r="H122" s="4" t="s">
        <v>697</v>
      </c>
      <c r="I122" s="4" t="s">
        <v>118</v>
      </c>
      <c r="J122" s="4" t="s">
        <v>110</v>
      </c>
      <c r="K122" s="4" t="s">
        <v>36</v>
      </c>
      <c r="L122" s="4" t="s">
        <v>178</v>
      </c>
      <c r="M122" s="4">
        <v>8</v>
      </c>
      <c r="N122" s="4">
        <v>8500</v>
      </c>
      <c r="O122" s="4">
        <v>20</v>
      </c>
      <c r="P122" s="4">
        <v>54400</v>
      </c>
      <c r="Q122" s="4">
        <v>3</v>
      </c>
      <c r="R122" s="4" t="s">
        <v>83</v>
      </c>
      <c r="S122" s="4" t="s">
        <v>53</v>
      </c>
      <c r="T122" s="4" t="s">
        <v>136</v>
      </c>
      <c r="U122" s="6" t="s">
        <v>698</v>
      </c>
      <c r="V122" s="4" t="s">
        <v>42</v>
      </c>
    </row>
    <row r="123" spans="1:22">
      <c r="A123" s="7" t="s">
        <v>699</v>
      </c>
      <c r="B123" s="8" t="s">
        <v>87</v>
      </c>
      <c r="C123" s="8" t="s">
        <v>263</v>
      </c>
      <c r="D123" s="8" t="s">
        <v>114</v>
      </c>
      <c r="E123" s="8" t="s">
        <v>317</v>
      </c>
      <c r="F123" s="8" t="s">
        <v>184</v>
      </c>
      <c r="G123" s="8" t="s">
        <v>80</v>
      </c>
      <c r="H123" s="8" t="s">
        <v>700</v>
      </c>
      <c r="I123" s="8" t="s">
        <v>63</v>
      </c>
      <c r="J123" s="8" t="s">
        <v>35</v>
      </c>
      <c r="K123" s="8" t="s">
        <v>126</v>
      </c>
      <c r="L123" s="8" t="s">
        <v>267</v>
      </c>
      <c r="M123" s="8">
        <v>3</v>
      </c>
      <c r="N123" s="8">
        <v>45</v>
      </c>
      <c r="O123" s="8">
        <v>0</v>
      </c>
      <c r="P123" s="8">
        <v>135</v>
      </c>
      <c r="Q123" s="8">
        <v>4</v>
      </c>
      <c r="R123" s="8" t="s">
        <v>92</v>
      </c>
      <c r="S123" s="8" t="s">
        <v>65</v>
      </c>
      <c r="T123" s="8" t="s">
        <v>93</v>
      </c>
      <c r="U123" s="9" t="s">
        <v>701</v>
      </c>
      <c r="V123" s="8" t="s">
        <v>73</v>
      </c>
    </row>
    <row r="124" spans="1:22">
      <c r="A124" s="3" t="s">
        <v>702</v>
      </c>
      <c r="B124" s="4" t="s">
        <v>331</v>
      </c>
      <c r="C124" s="4" t="s">
        <v>188</v>
      </c>
      <c r="D124" s="4" t="s">
        <v>468</v>
      </c>
      <c r="E124" s="4" t="s">
        <v>88</v>
      </c>
      <c r="F124" s="4" t="s">
        <v>398</v>
      </c>
      <c r="G124" s="4" t="s">
        <v>80</v>
      </c>
      <c r="H124" s="4" t="s">
        <v>703</v>
      </c>
      <c r="I124" s="4" t="s">
        <v>216</v>
      </c>
      <c r="J124" s="4" t="s">
        <v>49</v>
      </c>
      <c r="K124" s="4" t="s">
        <v>50</v>
      </c>
      <c r="L124" s="4" t="s">
        <v>193</v>
      </c>
      <c r="M124" s="4">
        <v>13</v>
      </c>
      <c r="N124" s="4">
        <v>700</v>
      </c>
      <c r="O124" s="4">
        <v>5</v>
      </c>
      <c r="P124" s="4">
        <v>8645</v>
      </c>
      <c r="Q124" s="4">
        <v>3</v>
      </c>
      <c r="R124" s="4" t="s">
        <v>83</v>
      </c>
      <c r="S124" s="4" t="s">
        <v>119</v>
      </c>
      <c r="T124" s="4" t="s">
        <v>336</v>
      </c>
      <c r="U124" s="6" t="s">
        <v>704</v>
      </c>
      <c r="V124" s="4" t="s">
        <v>68</v>
      </c>
    </row>
    <row r="125" spans="1:22">
      <c r="A125" s="7" t="s">
        <v>705</v>
      </c>
      <c r="B125" s="8" t="s">
        <v>172</v>
      </c>
      <c r="C125" s="8" t="s">
        <v>76</v>
      </c>
      <c r="D125" s="8" t="s">
        <v>706</v>
      </c>
      <c r="E125" s="8" t="s">
        <v>707</v>
      </c>
      <c r="F125" s="8" t="s">
        <v>365</v>
      </c>
      <c r="G125" s="8" t="s">
        <v>32</v>
      </c>
      <c r="H125" s="8" t="s">
        <v>708</v>
      </c>
      <c r="I125" s="8" t="s">
        <v>109</v>
      </c>
      <c r="J125" s="8" t="s">
        <v>110</v>
      </c>
      <c r="K125" s="8" t="s">
        <v>50</v>
      </c>
      <c r="L125" s="8" t="s">
        <v>82</v>
      </c>
      <c r="M125" s="8">
        <v>14</v>
      </c>
      <c r="N125" s="8">
        <v>1200</v>
      </c>
      <c r="O125" s="8">
        <v>20</v>
      </c>
      <c r="P125" s="8">
        <v>13440</v>
      </c>
      <c r="Q125" s="8">
        <v>5</v>
      </c>
      <c r="R125" s="8" t="s">
        <v>52</v>
      </c>
      <c r="S125" s="8" t="s">
        <v>65</v>
      </c>
      <c r="T125" s="8" t="s">
        <v>179</v>
      </c>
      <c r="U125" s="9" t="s">
        <v>709</v>
      </c>
      <c r="V125" s="8" t="s">
        <v>42</v>
      </c>
    </row>
    <row r="126" spans="1:22">
      <c r="A126" s="3" t="s">
        <v>710</v>
      </c>
      <c r="B126" s="4" t="s">
        <v>104</v>
      </c>
      <c r="C126" s="4" t="s">
        <v>263</v>
      </c>
      <c r="D126" s="4" t="s">
        <v>601</v>
      </c>
      <c r="E126" s="4" t="s">
        <v>711</v>
      </c>
      <c r="F126" s="4" t="s">
        <v>107</v>
      </c>
      <c r="G126" s="4" t="s">
        <v>32</v>
      </c>
      <c r="H126" s="4" t="s">
        <v>712</v>
      </c>
      <c r="I126" s="4" t="s">
        <v>48</v>
      </c>
      <c r="J126" s="4" t="s">
        <v>49</v>
      </c>
      <c r="K126" s="4" t="s">
        <v>126</v>
      </c>
      <c r="L126" s="4" t="s">
        <v>267</v>
      </c>
      <c r="M126" s="4">
        <v>2</v>
      </c>
      <c r="N126" s="4">
        <v>45</v>
      </c>
      <c r="O126" s="4">
        <v>5</v>
      </c>
      <c r="P126" s="4">
        <v>85.5</v>
      </c>
      <c r="Q126" s="4">
        <v>3</v>
      </c>
      <c r="R126" s="4" t="s">
        <v>92</v>
      </c>
      <c r="S126" s="4" t="s">
        <v>39</v>
      </c>
      <c r="T126" s="4" t="s">
        <v>148</v>
      </c>
      <c r="U126" s="6" t="s">
        <v>713</v>
      </c>
      <c r="V126" s="4" t="s">
        <v>73</v>
      </c>
    </row>
    <row r="127" spans="1:22">
      <c r="A127" s="7" t="s">
        <v>714</v>
      </c>
      <c r="B127" s="8" t="s">
        <v>172</v>
      </c>
      <c r="C127" s="8" t="s">
        <v>76</v>
      </c>
      <c r="D127" s="8" t="s">
        <v>715</v>
      </c>
      <c r="E127" s="8" t="s">
        <v>716</v>
      </c>
      <c r="F127" s="8" t="s">
        <v>365</v>
      </c>
      <c r="G127" s="8" t="s">
        <v>32</v>
      </c>
      <c r="H127" s="8" t="s">
        <v>717</v>
      </c>
      <c r="I127" s="8" t="s">
        <v>63</v>
      </c>
      <c r="J127" s="8" t="s">
        <v>35</v>
      </c>
      <c r="K127" s="8" t="s">
        <v>50</v>
      </c>
      <c r="L127" s="8" t="s">
        <v>82</v>
      </c>
      <c r="M127" s="8">
        <v>2</v>
      </c>
      <c r="N127" s="8">
        <v>1200</v>
      </c>
      <c r="O127" s="8">
        <v>20</v>
      </c>
      <c r="P127" s="8">
        <v>1920</v>
      </c>
      <c r="Q127" s="8">
        <v>3</v>
      </c>
      <c r="R127" s="8" t="s">
        <v>83</v>
      </c>
      <c r="S127" s="8" t="s">
        <v>119</v>
      </c>
      <c r="T127" s="8" t="s">
        <v>179</v>
      </c>
      <c r="U127" s="9" t="s">
        <v>718</v>
      </c>
      <c r="V127" s="8" t="s">
        <v>42</v>
      </c>
    </row>
    <row r="128" spans="1:22">
      <c r="A128" s="3" t="s">
        <v>719</v>
      </c>
      <c r="B128" s="4" t="s">
        <v>131</v>
      </c>
      <c r="C128" s="4" t="s">
        <v>58</v>
      </c>
      <c r="D128" s="4" t="s">
        <v>228</v>
      </c>
      <c r="E128" s="4" t="s">
        <v>720</v>
      </c>
      <c r="F128" s="4" t="s">
        <v>204</v>
      </c>
      <c r="G128" s="4" t="s">
        <v>80</v>
      </c>
      <c r="H128" s="4" t="s">
        <v>721</v>
      </c>
      <c r="I128" s="4" t="s">
        <v>63</v>
      </c>
      <c r="J128" s="4" t="s">
        <v>35</v>
      </c>
      <c r="K128" s="4" t="s">
        <v>50</v>
      </c>
      <c r="L128" s="4" t="s">
        <v>64</v>
      </c>
      <c r="M128" s="4">
        <v>10</v>
      </c>
      <c r="N128" s="4">
        <v>55000</v>
      </c>
      <c r="O128" s="4">
        <v>5</v>
      </c>
      <c r="P128" s="4">
        <v>522500</v>
      </c>
      <c r="Q128" s="4">
        <v>5</v>
      </c>
      <c r="R128" s="4" t="s">
        <v>92</v>
      </c>
      <c r="S128" s="4" t="s">
        <v>65</v>
      </c>
      <c r="T128" s="4" t="s">
        <v>136</v>
      </c>
      <c r="U128" s="6" t="s">
        <v>722</v>
      </c>
      <c r="V128" s="4" t="s">
        <v>68</v>
      </c>
    </row>
    <row r="129" spans="1:22">
      <c r="A129" s="7" t="s">
        <v>723</v>
      </c>
      <c r="B129" s="8" t="s">
        <v>255</v>
      </c>
      <c r="C129" s="8" t="s">
        <v>96</v>
      </c>
      <c r="D129" s="8" t="s">
        <v>724</v>
      </c>
      <c r="E129" s="8" t="s">
        <v>386</v>
      </c>
      <c r="F129" s="8" t="s">
        <v>258</v>
      </c>
      <c r="G129" s="8" t="s">
        <v>32</v>
      </c>
      <c r="H129" s="8" t="s">
        <v>725</v>
      </c>
      <c r="I129" s="8" t="s">
        <v>216</v>
      </c>
      <c r="J129" s="8" t="s">
        <v>49</v>
      </c>
      <c r="K129" s="8" t="s">
        <v>36</v>
      </c>
      <c r="L129" s="8" t="s">
        <v>101</v>
      </c>
      <c r="M129" s="8">
        <v>15</v>
      </c>
      <c r="N129" s="8">
        <v>3500</v>
      </c>
      <c r="O129" s="8">
        <v>10</v>
      </c>
      <c r="P129" s="8">
        <v>47250</v>
      </c>
      <c r="Q129" s="8">
        <v>3</v>
      </c>
      <c r="R129" s="8" t="s">
        <v>52</v>
      </c>
      <c r="S129" s="8" t="s">
        <v>119</v>
      </c>
      <c r="T129" s="8" t="s">
        <v>260</v>
      </c>
      <c r="U129" s="9" t="s">
        <v>726</v>
      </c>
      <c r="V129" s="8" t="s">
        <v>42</v>
      </c>
    </row>
    <row r="130" spans="1:22">
      <c r="A130" s="3" t="s">
        <v>727</v>
      </c>
      <c r="B130" s="4" t="s">
        <v>104</v>
      </c>
      <c r="C130" s="4" t="s">
        <v>28</v>
      </c>
      <c r="D130" s="4" t="s">
        <v>566</v>
      </c>
      <c r="E130" s="4" t="s">
        <v>728</v>
      </c>
      <c r="F130" s="4" t="s">
        <v>107</v>
      </c>
      <c r="G130" s="4" t="s">
        <v>32</v>
      </c>
      <c r="H130" s="4" t="s">
        <v>729</v>
      </c>
      <c r="I130" s="4" t="s">
        <v>63</v>
      </c>
      <c r="J130" s="4" t="s">
        <v>35</v>
      </c>
      <c r="K130" s="4" t="s">
        <v>36</v>
      </c>
      <c r="L130" s="4" t="s">
        <v>37</v>
      </c>
      <c r="M130" s="4">
        <v>10</v>
      </c>
      <c r="N130" s="4">
        <v>2200</v>
      </c>
      <c r="O130" s="4">
        <v>15</v>
      </c>
      <c r="P130" s="4">
        <v>18700</v>
      </c>
      <c r="Q130" s="4">
        <v>4</v>
      </c>
      <c r="R130" s="4" t="s">
        <v>83</v>
      </c>
      <c r="S130" s="4" t="s">
        <v>53</v>
      </c>
      <c r="T130" s="4" t="s">
        <v>148</v>
      </c>
      <c r="U130" s="6" t="s">
        <v>730</v>
      </c>
      <c r="V130" s="4" t="s">
        <v>68</v>
      </c>
    </row>
    <row r="131" spans="1:22">
      <c r="A131" s="7" t="s">
        <v>731</v>
      </c>
      <c r="B131" s="8" t="s">
        <v>255</v>
      </c>
      <c r="C131" s="8" t="s">
        <v>96</v>
      </c>
      <c r="D131" s="8" t="s">
        <v>264</v>
      </c>
      <c r="E131" s="8" t="s">
        <v>235</v>
      </c>
      <c r="F131" s="8" t="s">
        <v>258</v>
      </c>
      <c r="G131" s="8" t="s">
        <v>32</v>
      </c>
      <c r="H131" s="8" t="s">
        <v>732</v>
      </c>
      <c r="I131" s="8" t="s">
        <v>118</v>
      </c>
      <c r="J131" s="8" t="s">
        <v>110</v>
      </c>
      <c r="K131" s="8" t="s">
        <v>36</v>
      </c>
      <c r="L131" s="8" t="s">
        <v>101</v>
      </c>
      <c r="M131" s="8">
        <v>11</v>
      </c>
      <c r="N131" s="8">
        <v>3500</v>
      </c>
      <c r="O131" s="8">
        <v>5</v>
      </c>
      <c r="P131" s="8">
        <v>36575</v>
      </c>
      <c r="Q131" s="8">
        <v>5</v>
      </c>
      <c r="R131" s="8" t="s">
        <v>38</v>
      </c>
      <c r="S131" s="8" t="s">
        <v>39</v>
      </c>
      <c r="T131" s="8" t="s">
        <v>260</v>
      </c>
      <c r="U131" s="9" t="s">
        <v>733</v>
      </c>
      <c r="V131" s="8" t="s">
        <v>73</v>
      </c>
    </row>
    <row r="132" spans="1:22">
      <c r="A132" s="3" t="s">
        <v>734</v>
      </c>
      <c r="B132" s="4" t="s">
        <v>172</v>
      </c>
      <c r="C132" s="4" t="s">
        <v>76</v>
      </c>
      <c r="D132" s="4" t="s">
        <v>735</v>
      </c>
      <c r="E132" s="4" t="s">
        <v>736</v>
      </c>
      <c r="F132" s="4" t="s">
        <v>365</v>
      </c>
      <c r="G132" s="4" t="s">
        <v>32</v>
      </c>
      <c r="H132" s="4" t="s">
        <v>737</v>
      </c>
      <c r="I132" s="4" t="s">
        <v>63</v>
      </c>
      <c r="J132" s="4" t="s">
        <v>35</v>
      </c>
      <c r="K132" s="4" t="s">
        <v>50</v>
      </c>
      <c r="L132" s="4" t="s">
        <v>82</v>
      </c>
      <c r="M132" s="4">
        <v>14</v>
      </c>
      <c r="N132" s="4">
        <v>1200</v>
      </c>
      <c r="O132" s="4">
        <v>0</v>
      </c>
      <c r="P132" s="4">
        <v>16800</v>
      </c>
      <c r="Q132" s="4">
        <v>5</v>
      </c>
      <c r="R132" s="4" t="s">
        <v>38</v>
      </c>
      <c r="S132" s="4" t="s">
        <v>53</v>
      </c>
      <c r="T132" s="4" t="s">
        <v>179</v>
      </c>
      <c r="U132" s="6" t="s">
        <v>738</v>
      </c>
      <c r="V132" s="4" t="s">
        <v>73</v>
      </c>
    </row>
    <row r="133" spans="1:22">
      <c r="A133" s="7" t="s">
        <v>739</v>
      </c>
      <c r="B133" s="8" t="s">
        <v>104</v>
      </c>
      <c r="C133" s="8" t="s">
        <v>226</v>
      </c>
      <c r="D133" s="8" t="s">
        <v>740</v>
      </c>
      <c r="E133" s="8" t="s">
        <v>174</v>
      </c>
      <c r="F133" s="8" t="s">
        <v>107</v>
      </c>
      <c r="G133" s="8" t="s">
        <v>32</v>
      </c>
      <c r="H133" s="8" t="s">
        <v>741</v>
      </c>
      <c r="I133" s="8" t="s">
        <v>48</v>
      </c>
      <c r="J133" s="8" t="s">
        <v>49</v>
      </c>
      <c r="K133" s="8" t="s">
        <v>126</v>
      </c>
      <c r="L133" s="8" t="s">
        <v>231</v>
      </c>
      <c r="M133" s="8">
        <v>11</v>
      </c>
      <c r="N133" s="8">
        <v>20</v>
      </c>
      <c r="O133" s="8">
        <v>20</v>
      </c>
      <c r="P133" s="8">
        <v>176</v>
      </c>
      <c r="Q133" s="8">
        <v>4</v>
      </c>
      <c r="R133" s="8" t="s">
        <v>52</v>
      </c>
      <c r="S133" s="8" t="s">
        <v>39</v>
      </c>
      <c r="T133" s="8" t="s">
        <v>148</v>
      </c>
      <c r="U133" s="9" t="s">
        <v>742</v>
      </c>
      <c r="V133" s="8" t="s">
        <v>42</v>
      </c>
    </row>
    <row r="134" spans="1:22">
      <c r="A134" s="3" t="s">
        <v>743</v>
      </c>
      <c r="B134" s="4" t="s">
        <v>75</v>
      </c>
      <c r="C134" s="4" t="s">
        <v>44</v>
      </c>
      <c r="D134" s="4" t="s">
        <v>744</v>
      </c>
      <c r="E134" s="4" t="s">
        <v>661</v>
      </c>
      <c r="F134" s="4" t="s">
        <v>221</v>
      </c>
      <c r="G134" s="4" t="s">
        <v>80</v>
      </c>
      <c r="H134" s="4" t="s">
        <v>745</v>
      </c>
      <c r="I134" s="4" t="s">
        <v>118</v>
      </c>
      <c r="J134" s="4" t="s">
        <v>110</v>
      </c>
      <c r="K134" s="4" t="s">
        <v>50</v>
      </c>
      <c r="L134" s="4" t="s">
        <v>51</v>
      </c>
      <c r="M134" s="4">
        <v>6</v>
      </c>
      <c r="N134" s="4">
        <v>12000</v>
      </c>
      <c r="O134" s="4">
        <v>10</v>
      </c>
      <c r="P134" s="4">
        <v>64800</v>
      </c>
      <c r="Q134" s="4">
        <v>5</v>
      </c>
      <c r="R134" s="4" t="s">
        <v>92</v>
      </c>
      <c r="S134" s="4" t="s">
        <v>155</v>
      </c>
      <c r="T134" s="4" t="s">
        <v>84</v>
      </c>
      <c r="U134" s="6" t="s">
        <v>746</v>
      </c>
      <c r="V134" s="4" t="s">
        <v>42</v>
      </c>
    </row>
    <row r="135" spans="1:22">
      <c r="A135" s="7" t="s">
        <v>747</v>
      </c>
      <c r="B135" s="8" t="s">
        <v>75</v>
      </c>
      <c r="C135" s="8" t="s">
        <v>28</v>
      </c>
      <c r="D135" s="8" t="s">
        <v>656</v>
      </c>
      <c r="E135" s="8" t="s">
        <v>543</v>
      </c>
      <c r="F135" s="8" t="s">
        <v>221</v>
      </c>
      <c r="G135" s="8" t="s">
        <v>80</v>
      </c>
      <c r="H135" s="8" t="s">
        <v>748</v>
      </c>
      <c r="I135" s="8" t="s">
        <v>34</v>
      </c>
      <c r="J135" s="8" t="s">
        <v>35</v>
      </c>
      <c r="K135" s="8" t="s">
        <v>36</v>
      </c>
      <c r="L135" s="8" t="s">
        <v>37</v>
      </c>
      <c r="M135" s="8">
        <v>6</v>
      </c>
      <c r="N135" s="8">
        <v>2200</v>
      </c>
      <c r="O135" s="8">
        <v>5</v>
      </c>
      <c r="P135" s="8">
        <v>12540</v>
      </c>
      <c r="Q135" s="8">
        <v>4</v>
      </c>
      <c r="R135" s="8" t="s">
        <v>38</v>
      </c>
      <c r="S135" s="8" t="s">
        <v>53</v>
      </c>
      <c r="T135" s="8" t="s">
        <v>84</v>
      </c>
      <c r="U135" s="9" t="s">
        <v>749</v>
      </c>
      <c r="V135" s="8" t="s">
        <v>42</v>
      </c>
    </row>
    <row r="136" spans="1:22">
      <c r="A136" s="3" t="s">
        <v>750</v>
      </c>
      <c r="B136" s="4" t="s">
        <v>57</v>
      </c>
      <c r="C136" s="4" t="s">
        <v>96</v>
      </c>
      <c r="D136" s="4" t="s">
        <v>412</v>
      </c>
      <c r="E136" s="4" t="s">
        <v>492</v>
      </c>
      <c r="F136" s="4" t="s">
        <v>167</v>
      </c>
      <c r="G136" s="4" t="s">
        <v>32</v>
      </c>
      <c r="H136" s="4" t="s">
        <v>751</v>
      </c>
      <c r="I136" s="4" t="s">
        <v>48</v>
      </c>
      <c r="J136" s="4" t="s">
        <v>49</v>
      </c>
      <c r="K136" s="4" t="s">
        <v>36</v>
      </c>
      <c r="L136" s="4" t="s">
        <v>101</v>
      </c>
      <c r="M136" s="4">
        <v>3</v>
      </c>
      <c r="N136" s="4">
        <v>3500</v>
      </c>
      <c r="O136" s="4">
        <v>5</v>
      </c>
      <c r="P136" s="4">
        <v>9975</v>
      </c>
      <c r="Q136" s="4">
        <v>4</v>
      </c>
      <c r="R136" s="4" t="s">
        <v>52</v>
      </c>
      <c r="S136" s="4" t="s">
        <v>53</v>
      </c>
      <c r="T136" s="4" t="s">
        <v>66</v>
      </c>
      <c r="U136" s="6" t="s">
        <v>752</v>
      </c>
      <c r="V136" s="4" t="s">
        <v>68</v>
      </c>
    </row>
    <row r="137" spans="1:22">
      <c r="A137" s="7" t="s">
        <v>753</v>
      </c>
      <c r="B137" s="8" t="s">
        <v>75</v>
      </c>
      <c r="C137" s="8" t="s">
        <v>173</v>
      </c>
      <c r="D137" s="8" t="s">
        <v>754</v>
      </c>
      <c r="E137" s="8" t="s">
        <v>755</v>
      </c>
      <c r="F137" s="8" t="s">
        <v>221</v>
      </c>
      <c r="G137" s="8" t="s">
        <v>80</v>
      </c>
      <c r="H137" s="8" t="s">
        <v>756</v>
      </c>
      <c r="I137" s="8" t="s">
        <v>34</v>
      </c>
      <c r="J137" s="8" t="s">
        <v>35</v>
      </c>
      <c r="K137" s="8" t="s">
        <v>36</v>
      </c>
      <c r="L137" s="8" t="s">
        <v>178</v>
      </c>
      <c r="M137" s="8">
        <v>5</v>
      </c>
      <c r="N137" s="8">
        <v>8500</v>
      </c>
      <c r="O137" s="8">
        <v>20</v>
      </c>
      <c r="P137" s="8">
        <v>34000</v>
      </c>
      <c r="Q137" s="8">
        <v>5</v>
      </c>
      <c r="R137" s="8" t="s">
        <v>38</v>
      </c>
      <c r="S137" s="8" t="s">
        <v>65</v>
      </c>
      <c r="T137" s="8" t="s">
        <v>84</v>
      </c>
      <c r="U137" s="9" t="s">
        <v>757</v>
      </c>
      <c r="V137" s="8" t="s">
        <v>68</v>
      </c>
    </row>
    <row r="138" spans="1:22">
      <c r="A138" s="3" t="s">
        <v>758</v>
      </c>
      <c r="B138" s="4" t="s">
        <v>27</v>
      </c>
      <c r="C138" s="4" t="s">
        <v>96</v>
      </c>
      <c r="D138" s="4" t="s">
        <v>759</v>
      </c>
      <c r="E138" s="4" t="s">
        <v>760</v>
      </c>
      <c r="F138" s="4" t="s">
        <v>31</v>
      </c>
      <c r="G138" s="4" t="s">
        <v>32</v>
      </c>
      <c r="H138" s="4" t="s">
        <v>761</v>
      </c>
      <c r="I138" s="4" t="s">
        <v>63</v>
      </c>
      <c r="J138" s="4" t="s">
        <v>35</v>
      </c>
      <c r="K138" s="4" t="s">
        <v>36</v>
      </c>
      <c r="L138" s="4" t="s">
        <v>101</v>
      </c>
      <c r="M138" s="4">
        <v>14</v>
      </c>
      <c r="N138" s="4">
        <v>3500</v>
      </c>
      <c r="O138" s="4">
        <v>10</v>
      </c>
      <c r="P138" s="4">
        <v>44100</v>
      </c>
      <c r="Q138" s="4">
        <v>4</v>
      </c>
      <c r="R138" s="4" t="s">
        <v>92</v>
      </c>
      <c r="S138" s="4" t="s">
        <v>39</v>
      </c>
      <c r="T138" s="4" t="s">
        <v>54</v>
      </c>
      <c r="U138" s="6" t="s">
        <v>762</v>
      </c>
      <c r="V138" s="4" t="s">
        <v>73</v>
      </c>
    </row>
    <row r="139" spans="1:22">
      <c r="A139" s="7" t="s">
        <v>763</v>
      </c>
      <c r="B139" s="8" t="s">
        <v>331</v>
      </c>
      <c r="C139" s="8" t="s">
        <v>263</v>
      </c>
      <c r="D139" s="8" t="s">
        <v>764</v>
      </c>
      <c r="E139" s="8" t="s">
        <v>765</v>
      </c>
      <c r="F139" s="8" t="s">
        <v>398</v>
      </c>
      <c r="G139" s="8" t="s">
        <v>80</v>
      </c>
      <c r="H139" s="8" t="s">
        <v>766</v>
      </c>
      <c r="I139" s="8" t="s">
        <v>142</v>
      </c>
      <c r="J139" s="8" t="s">
        <v>110</v>
      </c>
      <c r="K139" s="8" t="s">
        <v>126</v>
      </c>
      <c r="L139" s="8" t="s">
        <v>267</v>
      </c>
      <c r="M139" s="8">
        <v>8</v>
      </c>
      <c r="N139" s="8">
        <v>45</v>
      </c>
      <c r="O139" s="8">
        <v>0</v>
      </c>
      <c r="P139" s="8">
        <v>360</v>
      </c>
      <c r="Q139" s="8">
        <v>1</v>
      </c>
      <c r="R139" s="8" t="s">
        <v>83</v>
      </c>
      <c r="S139" s="8" t="s">
        <v>155</v>
      </c>
      <c r="T139" s="8" t="s">
        <v>336</v>
      </c>
      <c r="U139" s="9" t="s">
        <v>767</v>
      </c>
      <c r="V139" s="8" t="s">
        <v>73</v>
      </c>
    </row>
    <row r="140" spans="1:22">
      <c r="A140" s="3" t="s">
        <v>768</v>
      </c>
      <c r="B140" s="4" t="s">
        <v>225</v>
      </c>
      <c r="C140" s="4" t="s">
        <v>263</v>
      </c>
      <c r="D140" s="4" t="s">
        <v>769</v>
      </c>
      <c r="E140" s="4" t="s">
        <v>770</v>
      </c>
      <c r="F140" s="4" t="s">
        <v>229</v>
      </c>
      <c r="G140" s="4" t="s">
        <v>80</v>
      </c>
      <c r="H140" s="4" t="s">
        <v>771</v>
      </c>
      <c r="I140" s="4" t="s">
        <v>48</v>
      </c>
      <c r="J140" s="4" t="s">
        <v>49</v>
      </c>
      <c r="K140" s="4" t="s">
        <v>126</v>
      </c>
      <c r="L140" s="4" t="s">
        <v>267</v>
      </c>
      <c r="M140" s="4">
        <v>11</v>
      </c>
      <c r="N140" s="4">
        <v>45</v>
      </c>
      <c r="O140" s="4">
        <v>5</v>
      </c>
      <c r="P140" s="4">
        <v>470.25</v>
      </c>
      <c r="Q140" s="4">
        <v>3</v>
      </c>
      <c r="R140" s="4" t="s">
        <v>83</v>
      </c>
      <c r="S140" s="4" t="s">
        <v>53</v>
      </c>
      <c r="T140" s="4" t="s">
        <v>232</v>
      </c>
      <c r="U140" s="6" t="s">
        <v>772</v>
      </c>
      <c r="V140" s="4" t="s">
        <v>42</v>
      </c>
    </row>
    <row r="141" spans="1:22">
      <c r="A141" s="7" t="s">
        <v>773</v>
      </c>
      <c r="B141" s="8" t="s">
        <v>87</v>
      </c>
      <c r="C141" s="8" t="s">
        <v>58</v>
      </c>
      <c r="D141" s="8" t="s">
        <v>774</v>
      </c>
      <c r="E141" s="8" t="s">
        <v>775</v>
      </c>
      <c r="F141" s="8" t="s">
        <v>184</v>
      </c>
      <c r="G141" s="8" t="s">
        <v>80</v>
      </c>
      <c r="H141" s="8" t="s">
        <v>776</v>
      </c>
      <c r="I141" s="8" t="s">
        <v>142</v>
      </c>
      <c r="J141" s="8" t="s">
        <v>110</v>
      </c>
      <c r="K141" s="8" t="s">
        <v>50</v>
      </c>
      <c r="L141" s="8" t="s">
        <v>64</v>
      </c>
      <c r="M141" s="8">
        <v>19</v>
      </c>
      <c r="N141" s="8">
        <v>55000</v>
      </c>
      <c r="O141" s="8">
        <v>0</v>
      </c>
      <c r="P141" s="8">
        <v>1045000</v>
      </c>
      <c r="Q141" s="8">
        <v>2</v>
      </c>
      <c r="R141" s="8" t="s">
        <v>83</v>
      </c>
      <c r="S141" s="8" t="s">
        <v>39</v>
      </c>
      <c r="T141" s="8" t="s">
        <v>93</v>
      </c>
      <c r="U141" s="9" t="s">
        <v>777</v>
      </c>
      <c r="V141" s="8" t="s">
        <v>73</v>
      </c>
    </row>
    <row r="142" spans="1:22">
      <c r="A142" s="3" t="s">
        <v>778</v>
      </c>
      <c r="B142" s="4" t="s">
        <v>57</v>
      </c>
      <c r="C142" s="4" t="s">
        <v>96</v>
      </c>
      <c r="D142" s="4" t="s">
        <v>779</v>
      </c>
      <c r="E142" s="4" t="s">
        <v>543</v>
      </c>
      <c r="F142" s="4" t="s">
        <v>167</v>
      </c>
      <c r="G142" s="4" t="s">
        <v>32</v>
      </c>
      <c r="H142" s="4" t="s">
        <v>780</v>
      </c>
      <c r="I142" s="4" t="s">
        <v>118</v>
      </c>
      <c r="J142" s="4" t="s">
        <v>110</v>
      </c>
      <c r="K142" s="4" t="s">
        <v>36</v>
      </c>
      <c r="L142" s="4" t="s">
        <v>101</v>
      </c>
      <c r="M142" s="4">
        <v>20</v>
      </c>
      <c r="N142" s="4">
        <v>3500</v>
      </c>
      <c r="O142" s="4">
        <v>20</v>
      </c>
      <c r="P142" s="4">
        <v>56000</v>
      </c>
      <c r="Q142" s="4">
        <v>4</v>
      </c>
      <c r="R142" s="4" t="s">
        <v>52</v>
      </c>
      <c r="S142" s="4" t="s">
        <v>53</v>
      </c>
      <c r="T142" s="4" t="s">
        <v>66</v>
      </c>
      <c r="U142" s="6" t="s">
        <v>781</v>
      </c>
      <c r="V142" s="4" t="s">
        <v>42</v>
      </c>
    </row>
    <row r="143" spans="1:22">
      <c r="A143" s="7" t="s">
        <v>782</v>
      </c>
      <c r="B143" s="8" t="s">
        <v>87</v>
      </c>
      <c r="C143" s="8" t="s">
        <v>28</v>
      </c>
      <c r="D143" s="8" t="s">
        <v>280</v>
      </c>
      <c r="E143" s="8" t="s">
        <v>783</v>
      </c>
      <c r="F143" s="8" t="s">
        <v>184</v>
      </c>
      <c r="G143" s="8" t="s">
        <v>80</v>
      </c>
      <c r="H143" s="8" t="s">
        <v>784</v>
      </c>
      <c r="I143" s="8" t="s">
        <v>118</v>
      </c>
      <c r="J143" s="8" t="s">
        <v>110</v>
      </c>
      <c r="K143" s="8" t="s">
        <v>36</v>
      </c>
      <c r="L143" s="8" t="s">
        <v>37</v>
      </c>
      <c r="M143" s="8">
        <v>17</v>
      </c>
      <c r="N143" s="8">
        <v>2200</v>
      </c>
      <c r="O143" s="8">
        <v>0</v>
      </c>
      <c r="P143" s="8">
        <v>37400</v>
      </c>
      <c r="Q143" s="8">
        <v>5</v>
      </c>
      <c r="R143" s="8" t="s">
        <v>52</v>
      </c>
      <c r="S143" s="8" t="s">
        <v>39</v>
      </c>
      <c r="T143" s="8" t="s">
        <v>93</v>
      </c>
      <c r="U143" s="9" t="s">
        <v>785</v>
      </c>
      <c r="V143" s="8" t="s">
        <v>68</v>
      </c>
    </row>
    <row r="144" spans="1:22">
      <c r="A144" s="3" t="s">
        <v>786</v>
      </c>
      <c r="B144" s="4" t="s">
        <v>87</v>
      </c>
      <c r="C144" s="4" t="s">
        <v>76</v>
      </c>
      <c r="D144" s="4" t="s">
        <v>774</v>
      </c>
      <c r="E144" s="4" t="s">
        <v>787</v>
      </c>
      <c r="F144" s="4" t="s">
        <v>184</v>
      </c>
      <c r="G144" s="4" t="s">
        <v>80</v>
      </c>
      <c r="H144" s="4" t="s">
        <v>788</v>
      </c>
      <c r="I144" s="4" t="s">
        <v>118</v>
      </c>
      <c r="J144" s="4" t="s">
        <v>110</v>
      </c>
      <c r="K144" s="4" t="s">
        <v>50</v>
      </c>
      <c r="L144" s="4" t="s">
        <v>82</v>
      </c>
      <c r="M144" s="4">
        <v>10</v>
      </c>
      <c r="N144" s="4">
        <v>1200</v>
      </c>
      <c r="O144" s="4">
        <v>5</v>
      </c>
      <c r="P144" s="4">
        <v>11400</v>
      </c>
      <c r="Q144" s="4">
        <v>2</v>
      </c>
      <c r="R144" s="4" t="s">
        <v>38</v>
      </c>
      <c r="S144" s="4" t="s">
        <v>53</v>
      </c>
      <c r="T144" s="4" t="s">
        <v>93</v>
      </c>
      <c r="U144" s="6" t="s">
        <v>789</v>
      </c>
      <c r="V144" s="4" t="s">
        <v>73</v>
      </c>
    </row>
    <row r="145" spans="1:22">
      <c r="A145" s="7" t="s">
        <v>790</v>
      </c>
      <c r="B145" s="8" t="s">
        <v>225</v>
      </c>
      <c r="C145" s="8" t="s">
        <v>122</v>
      </c>
      <c r="D145" s="8" t="s">
        <v>791</v>
      </c>
      <c r="E145" s="8" t="s">
        <v>792</v>
      </c>
      <c r="F145" s="8" t="s">
        <v>229</v>
      </c>
      <c r="G145" s="8" t="s">
        <v>80</v>
      </c>
      <c r="H145" s="8" t="s">
        <v>793</v>
      </c>
      <c r="I145" s="8" t="s">
        <v>34</v>
      </c>
      <c r="J145" s="8" t="s">
        <v>35</v>
      </c>
      <c r="K145" s="8" t="s">
        <v>126</v>
      </c>
      <c r="L145" s="8" t="s">
        <v>127</v>
      </c>
      <c r="M145" s="8">
        <v>3</v>
      </c>
      <c r="N145" s="8">
        <v>60</v>
      </c>
      <c r="O145" s="8">
        <v>0</v>
      </c>
      <c r="P145" s="8">
        <v>180</v>
      </c>
      <c r="Q145" s="8">
        <v>4</v>
      </c>
      <c r="R145" s="8" t="s">
        <v>52</v>
      </c>
      <c r="S145" s="8" t="s">
        <v>155</v>
      </c>
      <c r="T145" s="8" t="s">
        <v>232</v>
      </c>
      <c r="U145" s="9" t="s">
        <v>794</v>
      </c>
      <c r="V145" s="8" t="s">
        <v>42</v>
      </c>
    </row>
    <row r="146" spans="1:22">
      <c r="A146" s="3" t="s">
        <v>795</v>
      </c>
      <c r="B146" s="4" t="s">
        <v>57</v>
      </c>
      <c r="C146" s="4" t="s">
        <v>28</v>
      </c>
      <c r="D146" s="4" t="s">
        <v>796</v>
      </c>
      <c r="E146" s="4" t="s">
        <v>797</v>
      </c>
      <c r="F146" s="4" t="s">
        <v>167</v>
      </c>
      <c r="G146" s="4" t="s">
        <v>32</v>
      </c>
      <c r="H146" s="4" t="s">
        <v>798</v>
      </c>
      <c r="I146" s="4" t="s">
        <v>109</v>
      </c>
      <c r="J146" s="4" t="s">
        <v>110</v>
      </c>
      <c r="K146" s="4" t="s">
        <v>36</v>
      </c>
      <c r="L146" s="4" t="s">
        <v>37</v>
      </c>
      <c r="M146" s="4">
        <v>18</v>
      </c>
      <c r="N146" s="4">
        <v>2200</v>
      </c>
      <c r="O146" s="4">
        <v>10</v>
      </c>
      <c r="P146" s="4">
        <v>35640</v>
      </c>
      <c r="Q146" s="4">
        <v>1</v>
      </c>
      <c r="R146" s="4" t="s">
        <v>83</v>
      </c>
      <c r="S146" s="4" t="s">
        <v>155</v>
      </c>
      <c r="T146" s="4" t="s">
        <v>66</v>
      </c>
      <c r="U146" s="6" t="s">
        <v>799</v>
      </c>
      <c r="V146" s="4" t="s">
        <v>73</v>
      </c>
    </row>
    <row r="147" spans="1:22">
      <c r="A147" s="7" t="s">
        <v>800</v>
      </c>
      <c r="B147" s="8" t="s">
        <v>75</v>
      </c>
      <c r="C147" s="8" t="s">
        <v>122</v>
      </c>
      <c r="D147" s="8" t="s">
        <v>801</v>
      </c>
      <c r="E147" s="8" t="s">
        <v>802</v>
      </c>
      <c r="F147" s="8" t="s">
        <v>221</v>
      </c>
      <c r="G147" s="8" t="s">
        <v>80</v>
      </c>
      <c r="H147" s="8" t="s">
        <v>803</v>
      </c>
      <c r="I147" s="8" t="s">
        <v>48</v>
      </c>
      <c r="J147" s="8" t="s">
        <v>49</v>
      </c>
      <c r="K147" s="8" t="s">
        <v>126</v>
      </c>
      <c r="L147" s="8" t="s">
        <v>127</v>
      </c>
      <c r="M147" s="8">
        <v>18</v>
      </c>
      <c r="N147" s="8">
        <v>60</v>
      </c>
      <c r="O147" s="8">
        <v>5</v>
      </c>
      <c r="P147" s="8">
        <v>1026</v>
      </c>
      <c r="Q147" s="8">
        <v>3</v>
      </c>
      <c r="R147" s="8" t="s">
        <v>83</v>
      </c>
      <c r="S147" s="8" t="s">
        <v>53</v>
      </c>
      <c r="T147" s="8" t="s">
        <v>84</v>
      </c>
      <c r="U147" s="9" t="s">
        <v>804</v>
      </c>
      <c r="V147" s="8" t="s">
        <v>68</v>
      </c>
    </row>
    <row r="148" spans="1:22">
      <c r="A148" s="3" t="s">
        <v>805</v>
      </c>
      <c r="B148" s="4" t="s">
        <v>131</v>
      </c>
      <c r="C148" s="4" t="s">
        <v>58</v>
      </c>
      <c r="D148" s="4" t="s">
        <v>426</v>
      </c>
      <c r="E148" s="4" t="s">
        <v>381</v>
      </c>
      <c r="F148" s="4" t="s">
        <v>204</v>
      </c>
      <c r="G148" s="4" t="s">
        <v>80</v>
      </c>
      <c r="H148" s="4" t="s">
        <v>806</v>
      </c>
      <c r="I148" s="4" t="s">
        <v>118</v>
      </c>
      <c r="J148" s="4" t="s">
        <v>110</v>
      </c>
      <c r="K148" s="4" t="s">
        <v>50</v>
      </c>
      <c r="L148" s="4" t="s">
        <v>64</v>
      </c>
      <c r="M148" s="4">
        <v>11</v>
      </c>
      <c r="N148" s="4">
        <v>55000</v>
      </c>
      <c r="O148" s="4">
        <v>15</v>
      </c>
      <c r="P148" s="4">
        <v>514250</v>
      </c>
      <c r="Q148" s="4">
        <v>4</v>
      </c>
      <c r="R148" s="4" t="s">
        <v>92</v>
      </c>
      <c r="S148" s="4" t="s">
        <v>119</v>
      </c>
      <c r="T148" s="4" t="s">
        <v>136</v>
      </c>
      <c r="U148" s="6" t="s">
        <v>807</v>
      </c>
      <c r="V148" s="4" t="s">
        <v>73</v>
      </c>
    </row>
    <row r="149" spans="1:22">
      <c r="A149" s="7" t="s">
        <v>808</v>
      </c>
      <c r="B149" s="8" t="s">
        <v>255</v>
      </c>
      <c r="C149" s="8" t="s">
        <v>173</v>
      </c>
      <c r="D149" s="8" t="s">
        <v>478</v>
      </c>
      <c r="E149" s="8" t="s">
        <v>468</v>
      </c>
      <c r="F149" s="8" t="s">
        <v>258</v>
      </c>
      <c r="G149" s="8" t="s">
        <v>32</v>
      </c>
      <c r="H149" s="8" t="s">
        <v>809</v>
      </c>
      <c r="I149" s="8" t="s">
        <v>298</v>
      </c>
      <c r="J149" s="8" t="s">
        <v>299</v>
      </c>
      <c r="K149" s="8" t="s">
        <v>36</v>
      </c>
      <c r="L149" s="8" t="s">
        <v>178</v>
      </c>
      <c r="M149" s="8">
        <v>5</v>
      </c>
      <c r="N149" s="8">
        <v>8500</v>
      </c>
      <c r="O149" s="8">
        <v>5</v>
      </c>
      <c r="P149" s="8">
        <v>40375</v>
      </c>
      <c r="Q149" s="8">
        <v>4</v>
      </c>
      <c r="R149" s="8" t="s">
        <v>38</v>
      </c>
      <c r="S149" s="8" t="s">
        <v>155</v>
      </c>
      <c r="T149" s="8" t="s">
        <v>260</v>
      </c>
      <c r="U149" s="9" t="s">
        <v>810</v>
      </c>
      <c r="V149" s="8" t="s">
        <v>42</v>
      </c>
    </row>
    <row r="150" spans="1:22">
      <c r="A150" s="3" t="s">
        <v>196</v>
      </c>
      <c r="B150" s="4" t="s">
        <v>104</v>
      </c>
      <c r="C150" s="4" t="s">
        <v>188</v>
      </c>
      <c r="D150" s="4" t="s">
        <v>250</v>
      </c>
      <c r="E150" s="4" t="s">
        <v>132</v>
      </c>
      <c r="F150" s="4" t="s">
        <v>107</v>
      </c>
      <c r="G150" s="4" t="s">
        <v>32</v>
      </c>
      <c r="H150" s="4" t="s">
        <v>811</v>
      </c>
      <c r="I150" s="4" t="s">
        <v>216</v>
      </c>
      <c r="J150" s="4" t="s">
        <v>49</v>
      </c>
      <c r="K150" s="4" t="s">
        <v>50</v>
      </c>
      <c r="L150" s="4" t="s">
        <v>193</v>
      </c>
      <c r="M150" s="4">
        <v>16</v>
      </c>
      <c r="N150" s="4">
        <v>700</v>
      </c>
      <c r="O150" s="4">
        <v>15</v>
      </c>
      <c r="P150" s="4">
        <v>9520</v>
      </c>
      <c r="Q150" s="4">
        <v>4</v>
      </c>
      <c r="R150" s="4" t="s">
        <v>83</v>
      </c>
      <c r="S150" s="4" t="s">
        <v>65</v>
      </c>
      <c r="T150" s="4" t="s">
        <v>148</v>
      </c>
      <c r="U150" s="6" t="s">
        <v>812</v>
      </c>
      <c r="V150" s="4" t="s">
        <v>42</v>
      </c>
    </row>
    <row r="151" spans="1:22">
      <c r="A151" s="7" t="s">
        <v>813</v>
      </c>
      <c r="B151" s="8" t="s">
        <v>131</v>
      </c>
      <c r="C151" s="8" t="s">
        <v>188</v>
      </c>
      <c r="D151" s="8" t="s">
        <v>493</v>
      </c>
      <c r="E151" s="8" t="s">
        <v>271</v>
      </c>
      <c r="F151" s="8" t="s">
        <v>204</v>
      </c>
      <c r="G151" s="8" t="s">
        <v>80</v>
      </c>
      <c r="H151" s="8" t="s">
        <v>814</v>
      </c>
      <c r="I151" s="8" t="s">
        <v>118</v>
      </c>
      <c r="J151" s="8" t="s">
        <v>110</v>
      </c>
      <c r="K151" s="8" t="s">
        <v>50</v>
      </c>
      <c r="L151" s="8" t="s">
        <v>193</v>
      </c>
      <c r="M151" s="8">
        <v>6</v>
      </c>
      <c r="N151" s="8">
        <v>700</v>
      </c>
      <c r="O151" s="8">
        <v>10</v>
      </c>
      <c r="P151" s="8">
        <v>3780</v>
      </c>
      <c r="Q151" s="8">
        <v>4</v>
      </c>
      <c r="R151" s="8" t="s">
        <v>38</v>
      </c>
      <c r="S151" s="8" t="s">
        <v>53</v>
      </c>
      <c r="T151" s="8" t="s">
        <v>136</v>
      </c>
      <c r="U151" s="9" t="s">
        <v>815</v>
      </c>
      <c r="V151" s="8" t="s">
        <v>73</v>
      </c>
    </row>
    <row r="152" spans="1:22">
      <c r="A152" s="3" t="s">
        <v>816</v>
      </c>
      <c r="B152" s="4" t="s">
        <v>57</v>
      </c>
      <c r="C152" s="4" t="s">
        <v>96</v>
      </c>
      <c r="D152" s="4" t="s">
        <v>522</v>
      </c>
      <c r="E152" s="4" t="s">
        <v>619</v>
      </c>
      <c r="F152" s="4" t="s">
        <v>167</v>
      </c>
      <c r="G152" s="4" t="s">
        <v>32</v>
      </c>
      <c r="H152" s="4" t="s">
        <v>817</v>
      </c>
      <c r="I152" s="4" t="s">
        <v>48</v>
      </c>
      <c r="J152" s="4" t="s">
        <v>49</v>
      </c>
      <c r="K152" s="4" t="s">
        <v>36</v>
      </c>
      <c r="L152" s="4" t="s">
        <v>101</v>
      </c>
      <c r="M152" s="4">
        <v>20</v>
      </c>
      <c r="N152" s="4">
        <v>3500</v>
      </c>
      <c r="O152" s="4">
        <v>10</v>
      </c>
      <c r="P152" s="4">
        <v>63000</v>
      </c>
      <c r="Q152" s="4">
        <v>4</v>
      </c>
      <c r="R152" s="4" t="s">
        <v>92</v>
      </c>
      <c r="S152" s="4" t="s">
        <v>53</v>
      </c>
      <c r="T152" s="4" t="s">
        <v>66</v>
      </c>
      <c r="U152" s="6" t="s">
        <v>818</v>
      </c>
      <c r="V152" s="4" t="s">
        <v>68</v>
      </c>
    </row>
    <row r="153" spans="1:22">
      <c r="A153" s="7" t="s">
        <v>819</v>
      </c>
      <c r="B153" s="8" t="s">
        <v>27</v>
      </c>
      <c r="C153" s="8" t="s">
        <v>226</v>
      </c>
      <c r="D153" s="8" t="s">
        <v>820</v>
      </c>
      <c r="E153" s="8" t="s">
        <v>821</v>
      </c>
      <c r="F153" s="8" t="s">
        <v>31</v>
      </c>
      <c r="G153" s="8" t="s">
        <v>32</v>
      </c>
      <c r="H153" s="8" t="s">
        <v>822</v>
      </c>
      <c r="I153" s="8" t="s">
        <v>63</v>
      </c>
      <c r="J153" s="8" t="s">
        <v>35</v>
      </c>
      <c r="K153" s="8" t="s">
        <v>126</v>
      </c>
      <c r="L153" s="8" t="s">
        <v>231</v>
      </c>
      <c r="M153" s="8">
        <v>2</v>
      </c>
      <c r="N153" s="8">
        <v>20</v>
      </c>
      <c r="O153" s="8">
        <v>10</v>
      </c>
      <c r="P153" s="8">
        <v>36</v>
      </c>
      <c r="Q153" s="8">
        <v>1</v>
      </c>
      <c r="R153" s="8" t="s">
        <v>52</v>
      </c>
      <c r="S153" s="8" t="s">
        <v>119</v>
      </c>
      <c r="T153" s="8" t="s">
        <v>54</v>
      </c>
      <c r="U153" s="9" t="s">
        <v>823</v>
      </c>
      <c r="V153" s="8" t="s">
        <v>68</v>
      </c>
    </row>
    <row r="154" spans="1:22">
      <c r="A154" s="3" t="s">
        <v>824</v>
      </c>
      <c r="B154" s="4" t="s">
        <v>104</v>
      </c>
      <c r="C154" s="4" t="s">
        <v>28</v>
      </c>
      <c r="D154" s="4" t="s">
        <v>783</v>
      </c>
      <c r="E154" s="4" t="s">
        <v>825</v>
      </c>
      <c r="F154" s="4" t="s">
        <v>107</v>
      </c>
      <c r="G154" s="4" t="s">
        <v>32</v>
      </c>
      <c r="H154" s="4" t="s">
        <v>826</v>
      </c>
      <c r="I154" s="4" t="s">
        <v>118</v>
      </c>
      <c r="J154" s="4" t="s">
        <v>110</v>
      </c>
      <c r="K154" s="4" t="s">
        <v>36</v>
      </c>
      <c r="L154" s="4" t="s">
        <v>37</v>
      </c>
      <c r="M154" s="4">
        <v>16</v>
      </c>
      <c r="N154" s="4">
        <v>2200</v>
      </c>
      <c r="O154" s="4">
        <v>20</v>
      </c>
      <c r="P154" s="4">
        <v>28160</v>
      </c>
      <c r="Q154" s="4">
        <v>2</v>
      </c>
      <c r="R154" s="4" t="s">
        <v>92</v>
      </c>
      <c r="S154" s="4" t="s">
        <v>155</v>
      </c>
      <c r="T154" s="4" t="s">
        <v>148</v>
      </c>
      <c r="U154" s="6" t="s">
        <v>827</v>
      </c>
      <c r="V154" s="4" t="s">
        <v>68</v>
      </c>
    </row>
    <row r="155" spans="1:22">
      <c r="A155" s="7" t="s">
        <v>828</v>
      </c>
      <c r="B155" s="8" t="s">
        <v>225</v>
      </c>
      <c r="C155" s="8" t="s">
        <v>44</v>
      </c>
      <c r="D155" s="8" t="s">
        <v>152</v>
      </c>
      <c r="E155" s="8" t="s">
        <v>829</v>
      </c>
      <c r="F155" s="8" t="s">
        <v>229</v>
      </c>
      <c r="G155" s="8" t="s">
        <v>80</v>
      </c>
      <c r="H155" s="8" t="s">
        <v>830</v>
      </c>
      <c r="I155" s="8" t="s">
        <v>118</v>
      </c>
      <c r="J155" s="8" t="s">
        <v>110</v>
      </c>
      <c r="K155" s="8" t="s">
        <v>50</v>
      </c>
      <c r="L155" s="8" t="s">
        <v>51</v>
      </c>
      <c r="M155" s="8">
        <v>15</v>
      </c>
      <c r="N155" s="8">
        <v>12000</v>
      </c>
      <c r="O155" s="8">
        <v>0</v>
      </c>
      <c r="P155" s="8">
        <v>180000</v>
      </c>
      <c r="Q155" s="8">
        <v>1</v>
      </c>
      <c r="R155" s="8" t="s">
        <v>83</v>
      </c>
      <c r="S155" s="8" t="s">
        <v>65</v>
      </c>
      <c r="T155" s="8" t="s">
        <v>232</v>
      </c>
      <c r="U155" s="9" t="s">
        <v>831</v>
      </c>
      <c r="V155" s="8" t="s">
        <v>68</v>
      </c>
    </row>
    <row r="156" spans="1:22">
      <c r="A156" s="3" t="s">
        <v>832</v>
      </c>
      <c r="B156" s="4" t="s">
        <v>27</v>
      </c>
      <c r="C156" s="4" t="s">
        <v>122</v>
      </c>
      <c r="D156" s="4" t="s">
        <v>833</v>
      </c>
      <c r="E156" s="4" t="s">
        <v>834</v>
      </c>
      <c r="F156" s="4" t="s">
        <v>31</v>
      </c>
      <c r="G156" s="4" t="s">
        <v>32</v>
      </c>
      <c r="H156" s="4" t="s">
        <v>835</v>
      </c>
      <c r="I156" s="4" t="s">
        <v>48</v>
      </c>
      <c r="J156" s="4" t="s">
        <v>49</v>
      </c>
      <c r="K156" s="4" t="s">
        <v>126</v>
      </c>
      <c r="L156" s="4" t="s">
        <v>127</v>
      </c>
      <c r="M156" s="4">
        <v>14</v>
      </c>
      <c r="N156" s="4">
        <v>60</v>
      </c>
      <c r="O156" s="4">
        <v>15</v>
      </c>
      <c r="P156" s="4">
        <v>714</v>
      </c>
      <c r="Q156" s="4">
        <v>4</v>
      </c>
      <c r="R156" s="4" t="s">
        <v>92</v>
      </c>
      <c r="S156" s="4" t="s">
        <v>53</v>
      </c>
      <c r="T156" s="4" t="s">
        <v>54</v>
      </c>
      <c r="U156" s="6" t="s">
        <v>836</v>
      </c>
      <c r="V156" s="4" t="s">
        <v>42</v>
      </c>
    </row>
    <row r="157" spans="1:22">
      <c r="A157" s="7" t="s">
        <v>837</v>
      </c>
      <c r="B157" s="8" t="s">
        <v>57</v>
      </c>
      <c r="C157" s="8" t="s">
        <v>76</v>
      </c>
      <c r="D157" s="8" t="s">
        <v>838</v>
      </c>
      <c r="E157" s="8" t="s">
        <v>839</v>
      </c>
      <c r="F157" s="8" t="s">
        <v>167</v>
      </c>
      <c r="G157" s="8" t="s">
        <v>32</v>
      </c>
      <c r="H157" s="8" t="s">
        <v>840</v>
      </c>
      <c r="I157" s="8" t="s">
        <v>34</v>
      </c>
      <c r="J157" s="8" t="s">
        <v>35</v>
      </c>
      <c r="K157" s="8" t="s">
        <v>50</v>
      </c>
      <c r="L157" s="8" t="s">
        <v>82</v>
      </c>
      <c r="M157" s="8">
        <v>9</v>
      </c>
      <c r="N157" s="8">
        <v>1200</v>
      </c>
      <c r="O157" s="8">
        <v>5</v>
      </c>
      <c r="P157" s="8">
        <v>10260</v>
      </c>
      <c r="Q157" s="8">
        <v>5</v>
      </c>
      <c r="R157" s="8" t="s">
        <v>52</v>
      </c>
      <c r="S157" s="8" t="s">
        <v>65</v>
      </c>
      <c r="T157" s="8" t="s">
        <v>66</v>
      </c>
      <c r="U157" s="9" t="s">
        <v>841</v>
      </c>
      <c r="V157" s="8" t="s">
        <v>68</v>
      </c>
    </row>
    <row r="158" spans="1:22">
      <c r="A158" s="3" t="s">
        <v>842</v>
      </c>
      <c r="B158" s="4" t="s">
        <v>225</v>
      </c>
      <c r="C158" s="4" t="s">
        <v>76</v>
      </c>
      <c r="D158" s="4" t="s">
        <v>825</v>
      </c>
      <c r="E158" s="4" t="s">
        <v>843</v>
      </c>
      <c r="F158" s="4" t="s">
        <v>229</v>
      </c>
      <c r="G158" s="4" t="s">
        <v>80</v>
      </c>
      <c r="H158" s="4" t="s">
        <v>844</v>
      </c>
      <c r="I158" s="4" t="s">
        <v>298</v>
      </c>
      <c r="J158" s="4" t="s">
        <v>299</v>
      </c>
      <c r="K158" s="4" t="s">
        <v>50</v>
      </c>
      <c r="L158" s="4" t="s">
        <v>82</v>
      </c>
      <c r="M158" s="4">
        <v>3</v>
      </c>
      <c r="N158" s="4">
        <v>1200</v>
      </c>
      <c r="O158" s="4">
        <v>10</v>
      </c>
      <c r="P158" s="4">
        <v>3240</v>
      </c>
      <c r="Q158" s="4">
        <v>2</v>
      </c>
      <c r="R158" s="4" t="s">
        <v>83</v>
      </c>
      <c r="S158" s="4" t="s">
        <v>155</v>
      </c>
      <c r="T158" s="4" t="s">
        <v>232</v>
      </c>
      <c r="U158" s="6" t="s">
        <v>845</v>
      </c>
      <c r="V158" s="4" t="s">
        <v>73</v>
      </c>
    </row>
    <row r="159" spans="1:22">
      <c r="A159" s="7" t="s">
        <v>846</v>
      </c>
      <c r="B159" s="8" t="s">
        <v>331</v>
      </c>
      <c r="C159" s="8" t="s">
        <v>122</v>
      </c>
      <c r="D159" s="8" t="s">
        <v>463</v>
      </c>
      <c r="E159" s="8" t="s">
        <v>581</v>
      </c>
      <c r="F159" s="8" t="s">
        <v>398</v>
      </c>
      <c r="G159" s="8" t="s">
        <v>80</v>
      </c>
      <c r="H159" s="8" t="s">
        <v>847</v>
      </c>
      <c r="I159" s="8" t="s">
        <v>34</v>
      </c>
      <c r="J159" s="8" t="s">
        <v>35</v>
      </c>
      <c r="K159" s="8" t="s">
        <v>126</v>
      </c>
      <c r="L159" s="8" t="s">
        <v>127</v>
      </c>
      <c r="M159" s="8">
        <v>2</v>
      </c>
      <c r="N159" s="8">
        <v>60</v>
      </c>
      <c r="O159" s="8">
        <v>10</v>
      </c>
      <c r="P159" s="8">
        <v>108</v>
      </c>
      <c r="Q159" s="8">
        <v>2</v>
      </c>
      <c r="R159" s="8" t="s">
        <v>92</v>
      </c>
      <c r="S159" s="8" t="s">
        <v>65</v>
      </c>
      <c r="T159" s="8" t="s">
        <v>336</v>
      </c>
      <c r="U159" s="9" t="s">
        <v>848</v>
      </c>
      <c r="V159" s="8" t="s">
        <v>42</v>
      </c>
    </row>
    <row r="160" spans="1:22">
      <c r="A160" s="3" t="s">
        <v>849</v>
      </c>
      <c r="B160" s="4" t="s">
        <v>75</v>
      </c>
      <c r="C160" s="4" t="s">
        <v>96</v>
      </c>
      <c r="D160" s="4" t="s">
        <v>430</v>
      </c>
      <c r="E160" s="4" t="s">
        <v>850</v>
      </c>
      <c r="F160" s="4" t="s">
        <v>221</v>
      </c>
      <c r="G160" s="4" t="s">
        <v>80</v>
      </c>
      <c r="H160" s="4" t="s">
        <v>851</v>
      </c>
      <c r="I160" s="4" t="s">
        <v>48</v>
      </c>
      <c r="J160" s="4" t="s">
        <v>49</v>
      </c>
      <c r="K160" s="4" t="s">
        <v>36</v>
      </c>
      <c r="L160" s="4" t="s">
        <v>101</v>
      </c>
      <c r="M160" s="4">
        <v>9</v>
      </c>
      <c r="N160" s="4">
        <v>3500</v>
      </c>
      <c r="O160" s="4">
        <v>20</v>
      </c>
      <c r="P160" s="4">
        <v>25200</v>
      </c>
      <c r="Q160" s="4">
        <v>1</v>
      </c>
      <c r="R160" s="4" t="s">
        <v>52</v>
      </c>
      <c r="S160" s="4" t="s">
        <v>39</v>
      </c>
      <c r="T160" s="4" t="s">
        <v>84</v>
      </c>
      <c r="U160" s="6" t="s">
        <v>852</v>
      </c>
      <c r="V160" s="4" t="s">
        <v>42</v>
      </c>
    </row>
    <row r="161" spans="1:22">
      <c r="A161" s="7" t="s">
        <v>853</v>
      </c>
      <c r="B161" s="8" t="s">
        <v>225</v>
      </c>
      <c r="C161" s="8" t="s">
        <v>58</v>
      </c>
      <c r="D161" s="8" t="s">
        <v>245</v>
      </c>
      <c r="E161" s="8" t="s">
        <v>547</v>
      </c>
      <c r="F161" s="8" t="s">
        <v>229</v>
      </c>
      <c r="G161" s="8" t="s">
        <v>80</v>
      </c>
      <c r="H161" s="8" t="s">
        <v>854</v>
      </c>
      <c r="I161" s="8" t="s">
        <v>216</v>
      </c>
      <c r="J161" s="8" t="s">
        <v>49</v>
      </c>
      <c r="K161" s="8" t="s">
        <v>50</v>
      </c>
      <c r="L161" s="8" t="s">
        <v>64</v>
      </c>
      <c r="M161" s="8">
        <v>4</v>
      </c>
      <c r="N161" s="8">
        <v>55000</v>
      </c>
      <c r="O161" s="8">
        <v>5</v>
      </c>
      <c r="P161" s="8">
        <v>209000</v>
      </c>
      <c r="Q161" s="8">
        <v>2</v>
      </c>
      <c r="R161" s="8" t="s">
        <v>38</v>
      </c>
      <c r="S161" s="8" t="s">
        <v>155</v>
      </c>
      <c r="T161" s="8" t="s">
        <v>232</v>
      </c>
      <c r="U161" s="9" t="s">
        <v>855</v>
      </c>
      <c r="V161" s="8" t="s">
        <v>68</v>
      </c>
    </row>
    <row r="162" spans="1:22">
      <c r="A162" s="3" t="s">
        <v>856</v>
      </c>
      <c r="B162" s="4" t="s">
        <v>331</v>
      </c>
      <c r="C162" s="4" t="s">
        <v>188</v>
      </c>
      <c r="D162" s="4" t="s">
        <v>492</v>
      </c>
      <c r="E162" s="4" t="s">
        <v>270</v>
      </c>
      <c r="F162" s="4" t="s">
        <v>857</v>
      </c>
      <c r="G162" s="4" t="s">
        <v>80</v>
      </c>
      <c r="H162" s="4" t="s">
        <v>858</v>
      </c>
      <c r="I162" s="4" t="s">
        <v>48</v>
      </c>
      <c r="J162" s="4" t="s">
        <v>49</v>
      </c>
      <c r="K162" s="4" t="s">
        <v>50</v>
      </c>
      <c r="L162" s="4" t="s">
        <v>193</v>
      </c>
      <c r="M162" s="4">
        <v>11</v>
      </c>
      <c r="N162" s="4">
        <v>700</v>
      </c>
      <c r="O162" s="4">
        <v>20</v>
      </c>
      <c r="P162" s="4">
        <v>6160</v>
      </c>
      <c r="Q162" s="4">
        <v>4</v>
      </c>
      <c r="R162" s="4" t="s">
        <v>38</v>
      </c>
      <c r="S162" s="4" t="s">
        <v>155</v>
      </c>
      <c r="T162" s="4" t="s">
        <v>336</v>
      </c>
      <c r="U162" s="6" t="s">
        <v>859</v>
      </c>
      <c r="V162" s="4" t="s">
        <v>73</v>
      </c>
    </row>
    <row r="163" spans="1:22">
      <c r="A163" s="7" t="s">
        <v>860</v>
      </c>
      <c r="B163" s="8" t="s">
        <v>172</v>
      </c>
      <c r="C163" s="8" t="s">
        <v>76</v>
      </c>
      <c r="D163" s="8" t="s">
        <v>290</v>
      </c>
      <c r="E163" s="8" t="s">
        <v>820</v>
      </c>
      <c r="F163" s="8" t="s">
        <v>365</v>
      </c>
      <c r="G163" s="8" t="s">
        <v>32</v>
      </c>
      <c r="H163" s="8" t="s">
        <v>861</v>
      </c>
      <c r="I163" s="8" t="s">
        <v>298</v>
      </c>
      <c r="J163" s="8" t="s">
        <v>299</v>
      </c>
      <c r="K163" s="8" t="s">
        <v>50</v>
      </c>
      <c r="L163" s="8" t="s">
        <v>82</v>
      </c>
      <c r="M163" s="8">
        <v>16</v>
      </c>
      <c r="N163" s="8">
        <v>1200</v>
      </c>
      <c r="O163" s="8">
        <v>5</v>
      </c>
      <c r="P163" s="8">
        <v>18240</v>
      </c>
      <c r="Q163" s="8">
        <v>1</v>
      </c>
      <c r="R163" s="8" t="s">
        <v>83</v>
      </c>
      <c r="S163" s="8" t="s">
        <v>39</v>
      </c>
      <c r="T163" s="8" t="s">
        <v>179</v>
      </c>
      <c r="U163" s="9" t="s">
        <v>862</v>
      </c>
      <c r="V163" s="8" t="s">
        <v>68</v>
      </c>
    </row>
    <row r="164" spans="1:22">
      <c r="A164" s="3" t="s">
        <v>863</v>
      </c>
      <c r="B164" s="4" t="s">
        <v>172</v>
      </c>
      <c r="C164" s="4" t="s">
        <v>76</v>
      </c>
      <c r="D164" s="4" t="s">
        <v>552</v>
      </c>
      <c r="E164" s="4" t="s">
        <v>864</v>
      </c>
      <c r="F164" s="4" t="s">
        <v>365</v>
      </c>
      <c r="G164" s="4" t="s">
        <v>32</v>
      </c>
      <c r="H164" s="4" t="s">
        <v>865</v>
      </c>
      <c r="I164" s="4" t="s">
        <v>118</v>
      </c>
      <c r="J164" s="4" t="s">
        <v>110</v>
      </c>
      <c r="K164" s="4" t="s">
        <v>50</v>
      </c>
      <c r="L164" s="4" t="s">
        <v>82</v>
      </c>
      <c r="M164" s="4">
        <v>1</v>
      </c>
      <c r="N164" s="4">
        <v>1200</v>
      </c>
      <c r="O164" s="4">
        <v>5</v>
      </c>
      <c r="P164" s="4">
        <v>1140</v>
      </c>
      <c r="Q164" s="4">
        <v>4</v>
      </c>
      <c r="R164" s="4" t="s">
        <v>83</v>
      </c>
      <c r="S164" s="4" t="s">
        <v>39</v>
      </c>
      <c r="T164" s="4" t="s">
        <v>179</v>
      </c>
      <c r="U164" s="6" t="s">
        <v>866</v>
      </c>
      <c r="V164" s="4" t="s">
        <v>42</v>
      </c>
    </row>
    <row r="165" spans="1:22">
      <c r="A165" s="7" t="s">
        <v>867</v>
      </c>
      <c r="B165" s="8" t="s">
        <v>331</v>
      </c>
      <c r="C165" s="8" t="s">
        <v>122</v>
      </c>
      <c r="D165" s="8" t="s">
        <v>868</v>
      </c>
      <c r="E165" s="8" t="s">
        <v>869</v>
      </c>
      <c r="F165" s="8" t="s">
        <v>857</v>
      </c>
      <c r="G165" s="8" t="s">
        <v>80</v>
      </c>
      <c r="H165" s="8" t="s">
        <v>870</v>
      </c>
      <c r="I165" s="8" t="s">
        <v>216</v>
      </c>
      <c r="J165" s="8" t="s">
        <v>49</v>
      </c>
      <c r="K165" s="8" t="s">
        <v>126</v>
      </c>
      <c r="L165" s="8" t="s">
        <v>127</v>
      </c>
      <c r="M165" s="8">
        <v>7</v>
      </c>
      <c r="N165" s="8">
        <v>60</v>
      </c>
      <c r="O165" s="8">
        <v>0</v>
      </c>
      <c r="P165" s="8">
        <v>420</v>
      </c>
      <c r="Q165" s="8">
        <v>2</v>
      </c>
      <c r="R165" s="8" t="s">
        <v>92</v>
      </c>
      <c r="S165" s="8" t="s">
        <v>155</v>
      </c>
      <c r="T165" s="8" t="s">
        <v>336</v>
      </c>
      <c r="U165" s="9" t="s">
        <v>871</v>
      </c>
      <c r="V165" s="8" t="s">
        <v>42</v>
      </c>
    </row>
    <row r="166" spans="1:22">
      <c r="A166" s="3" t="s">
        <v>872</v>
      </c>
      <c r="B166" s="4" t="s">
        <v>172</v>
      </c>
      <c r="C166" s="4" t="s">
        <v>28</v>
      </c>
      <c r="D166" s="4" t="s">
        <v>209</v>
      </c>
      <c r="E166" s="4" t="s">
        <v>517</v>
      </c>
      <c r="F166" s="4" t="s">
        <v>365</v>
      </c>
      <c r="G166" s="4" t="s">
        <v>32</v>
      </c>
      <c r="H166" s="4" t="s">
        <v>873</v>
      </c>
      <c r="I166" s="4" t="s">
        <v>118</v>
      </c>
      <c r="J166" s="4" t="s">
        <v>110</v>
      </c>
      <c r="K166" s="4" t="s">
        <v>36</v>
      </c>
      <c r="L166" s="4" t="s">
        <v>37</v>
      </c>
      <c r="M166" s="4">
        <v>14</v>
      </c>
      <c r="N166" s="4">
        <v>2200</v>
      </c>
      <c r="O166" s="4">
        <v>0</v>
      </c>
      <c r="P166" s="4">
        <v>30800</v>
      </c>
      <c r="Q166" s="4">
        <v>2</v>
      </c>
      <c r="R166" s="4" t="s">
        <v>92</v>
      </c>
      <c r="S166" s="4" t="s">
        <v>39</v>
      </c>
      <c r="T166" s="4" t="s">
        <v>179</v>
      </c>
      <c r="U166" s="6" t="s">
        <v>874</v>
      </c>
      <c r="V166" s="4" t="s">
        <v>73</v>
      </c>
    </row>
    <row r="167" spans="1:22">
      <c r="A167" s="7" t="s">
        <v>875</v>
      </c>
      <c r="B167" s="8" t="s">
        <v>172</v>
      </c>
      <c r="C167" s="8" t="s">
        <v>96</v>
      </c>
      <c r="D167" s="8" t="s">
        <v>876</v>
      </c>
      <c r="E167" s="8" t="s">
        <v>492</v>
      </c>
      <c r="F167" s="8" t="s">
        <v>365</v>
      </c>
      <c r="G167" s="8" t="s">
        <v>32</v>
      </c>
      <c r="H167" s="8" t="s">
        <v>877</v>
      </c>
      <c r="I167" s="8" t="s">
        <v>142</v>
      </c>
      <c r="J167" s="8" t="s">
        <v>110</v>
      </c>
      <c r="K167" s="8" t="s">
        <v>36</v>
      </c>
      <c r="L167" s="8" t="s">
        <v>101</v>
      </c>
      <c r="M167" s="8">
        <v>15</v>
      </c>
      <c r="N167" s="8">
        <v>3500</v>
      </c>
      <c r="O167" s="8">
        <v>15</v>
      </c>
      <c r="P167" s="8">
        <v>44625</v>
      </c>
      <c r="Q167" s="8">
        <v>2</v>
      </c>
      <c r="R167" s="8" t="s">
        <v>92</v>
      </c>
      <c r="S167" s="8" t="s">
        <v>65</v>
      </c>
      <c r="T167" s="8" t="s">
        <v>179</v>
      </c>
      <c r="U167" s="9" t="s">
        <v>878</v>
      </c>
      <c r="V167" s="8" t="s">
        <v>68</v>
      </c>
    </row>
    <row r="168" spans="1:22">
      <c r="A168" s="3" t="s">
        <v>879</v>
      </c>
      <c r="B168" s="4" t="s">
        <v>131</v>
      </c>
      <c r="C168" s="4" t="s">
        <v>96</v>
      </c>
      <c r="D168" s="4" t="s">
        <v>880</v>
      </c>
      <c r="E168" s="4" t="s">
        <v>881</v>
      </c>
      <c r="F168" s="4" t="s">
        <v>204</v>
      </c>
      <c r="G168" s="4" t="s">
        <v>80</v>
      </c>
      <c r="H168" s="4" t="s">
        <v>882</v>
      </c>
      <c r="I168" s="4" t="s">
        <v>298</v>
      </c>
      <c r="J168" s="4" t="s">
        <v>299</v>
      </c>
      <c r="K168" s="4" t="s">
        <v>36</v>
      </c>
      <c r="L168" s="4" t="s">
        <v>101</v>
      </c>
      <c r="M168" s="4">
        <v>19</v>
      </c>
      <c r="N168" s="4">
        <v>3500</v>
      </c>
      <c r="O168" s="4">
        <v>5</v>
      </c>
      <c r="P168" s="4">
        <v>63175</v>
      </c>
      <c r="Q168" s="4">
        <v>2</v>
      </c>
      <c r="R168" s="4" t="s">
        <v>38</v>
      </c>
      <c r="S168" s="4" t="s">
        <v>119</v>
      </c>
      <c r="T168" s="4" t="s">
        <v>136</v>
      </c>
      <c r="U168" s="6" t="s">
        <v>883</v>
      </c>
      <c r="V168" s="4" t="s">
        <v>73</v>
      </c>
    </row>
    <row r="169" spans="1:22">
      <c r="A169" s="7" t="s">
        <v>884</v>
      </c>
      <c r="B169" s="8" t="s">
        <v>331</v>
      </c>
      <c r="C169" s="8" t="s">
        <v>58</v>
      </c>
      <c r="D169" s="8" t="s">
        <v>885</v>
      </c>
      <c r="E169" s="8" t="s">
        <v>644</v>
      </c>
      <c r="F169" s="8" t="s">
        <v>398</v>
      </c>
      <c r="G169" s="8" t="s">
        <v>80</v>
      </c>
      <c r="H169" s="8" t="s">
        <v>886</v>
      </c>
      <c r="I169" s="8" t="s">
        <v>63</v>
      </c>
      <c r="J169" s="8" t="s">
        <v>35</v>
      </c>
      <c r="K169" s="8" t="s">
        <v>50</v>
      </c>
      <c r="L169" s="8" t="s">
        <v>64</v>
      </c>
      <c r="M169" s="8">
        <v>12</v>
      </c>
      <c r="N169" s="8">
        <v>55000</v>
      </c>
      <c r="O169" s="8">
        <v>5</v>
      </c>
      <c r="P169" s="8">
        <v>627000</v>
      </c>
      <c r="Q169" s="8">
        <v>4</v>
      </c>
      <c r="R169" s="8" t="s">
        <v>83</v>
      </c>
      <c r="S169" s="8" t="s">
        <v>65</v>
      </c>
      <c r="T169" s="8" t="s">
        <v>336</v>
      </c>
      <c r="U169" s="9" t="s">
        <v>887</v>
      </c>
      <c r="V169" s="8" t="s">
        <v>73</v>
      </c>
    </row>
    <row r="170" spans="1:22">
      <c r="A170" s="3" t="s">
        <v>888</v>
      </c>
      <c r="B170" s="4" t="s">
        <v>57</v>
      </c>
      <c r="C170" s="4" t="s">
        <v>76</v>
      </c>
      <c r="D170" s="4" t="s">
        <v>591</v>
      </c>
      <c r="E170" s="4" t="s">
        <v>487</v>
      </c>
      <c r="F170" s="4" t="s">
        <v>167</v>
      </c>
      <c r="G170" s="4" t="s">
        <v>32</v>
      </c>
      <c r="H170" s="4" t="s">
        <v>889</v>
      </c>
      <c r="I170" s="4" t="s">
        <v>109</v>
      </c>
      <c r="J170" s="4" t="s">
        <v>110</v>
      </c>
      <c r="K170" s="4" t="s">
        <v>50</v>
      </c>
      <c r="L170" s="4" t="s">
        <v>82</v>
      </c>
      <c r="M170" s="4">
        <v>6</v>
      </c>
      <c r="N170" s="4">
        <v>1200</v>
      </c>
      <c r="O170" s="4">
        <v>10</v>
      </c>
      <c r="P170" s="4">
        <v>6480</v>
      </c>
      <c r="Q170" s="4">
        <v>5</v>
      </c>
      <c r="R170" s="4" t="s">
        <v>52</v>
      </c>
      <c r="S170" s="4" t="s">
        <v>119</v>
      </c>
      <c r="T170" s="4" t="s">
        <v>66</v>
      </c>
      <c r="U170" s="6" t="s">
        <v>890</v>
      </c>
      <c r="V170" s="4" t="s">
        <v>73</v>
      </c>
    </row>
    <row r="171" spans="1:22">
      <c r="A171" s="7" t="s">
        <v>891</v>
      </c>
      <c r="B171" s="8" t="s">
        <v>255</v>
      </c>
      <c r="C171" s="8" t="s">
        <v>173</v>
      </c>
      <c r="D171" s="8" t="s">
        <v>132</v>
      </c>
      <c r="E171" s="8" t="s">
        <v>251</v>
      </c>
      <c r="F171" s="8" t="s">
        <v>258</v>
      </c>
      <c r="G171" s="8" t="s">
        <v>32</v>
      </c>
      <c r="H171" s="8" t="s">
        <v>892</v>
      </c>
      <c r="I171" s="8" t="s">
        <v>34</v>
      </c>
      <c r="J171" s="8" t="s">
        <v>35</v>
      </c>
      <c r="K171" s="8" t="s">
        <v>36</v>
      </c>
      <c r="L171" s="8" t="s">
        <v>178</v>
      </c>
      <c r="M171" s="8">
        <v>1</v>
      </c>
      <c r="N171" s="8">
        <v>8500</v>
      </c>
      <c r="O171" s="8">
        <v>0</v>
      </c>
      <c r="P171" s="8">
        <v>8500</v>
      </c>
      <c r="Q171" s="8">
        <v>1</v>
      </c>
      <c r="R171" s="8" t="s">
        <v>92</v>
      </c>
      <c r="S171" s="8" t="s">
        <v>155</v>
      </c>
      <c r="T171" s="8" t="s">
        <v>260</v>
      </c>
      <c r="U171" s="9" t="s">
        <v>893</v>
      </c>
      <c r="V171" s="8" t="s">
        <v>73</v>
      </c>
    </row>
    <row r="172" spans="1:22">
      <c r="A172" s="3" t="s">
        <v>894</v>
      </c>
      <c r="B172" s="4" t="s">
        <v>131</v>
      </c>
      <c r="C172" s="4" t="s">
        <v>58</v>
      </c>
      <c r="D172" s="4" t="s">
        <v>895</v>
      </c>
      <c r="E172" s="4" t="s">
        <v>896</v>
      </c>
      <c r="F172" s="4" t="s">
        <v>204</v>
      </c>
      <c r="G172" s="4" t="s">
        <v>80</v>
      </c>
      <c r="H172" s="4" t="s">
        <v>897</v>
      </c>
      <c r="I172" s="4" t="s">
        <v>142</v>
      </c>
      <c r="J172" s="4" t="s">
        <v>110</v>
      </c>
      <c r="K172" s="4" t="s">
        <v>50</v>
      </c>
      <c r="L172" s="4" t="s">
        <v>64</v>
      </c>
      <c r="M172" s="4">
        <v>20</v>
      </c>
      <c r="N172" s="4">
        <v>55000</v>
      </c>
      <c r="O172" s="4">
        <v>10</v>
      </c>
      <c r="P172" s="4">
        <v>990000</v>
      </c>
      <c r="Q172" s="4">
        <v>5</v>
      </c>
      <c r="R172" s="4" t="s">
        <v>52</v>
      </c>
      <c r="S172" s="4" t="s">
        <v>155</v>
      </c>
      <c r="T172" s="4" t="s">
        <v>136</v>
      </c>
      <c r="U172" s="6" t="s">
        <v>898</v>
      </c>
      <c r="V172" s="4" t="s">
        <v>42</v>
      </c>
    </row>
    <row r="173" spans="1:22">
      <c r="A173" s="7" t="s">
        <v>899</v>
      </c>
      <c r="B173" s="8" t="s">
        <v>225</v>
      </c>
      <c r="C173" s="8" t="s">
        <v>76</v>
      </c>
      <c r="D173" s="8" t="s">
        <v>665</v>
      </c>
      <c r="E173" s="8" t="s">
        <v>900</v>
      </c>
      <c r="F173" s="8" t="s">
        <v>229</v>
      </c>
      <c r="G173" s="8" t="s">
        <v>80</v>
      </c>
      <c r="H173" s="8" t="s">
        <v>901</v>
      </c>
      <c r="I173" s="8" t="s">
        <v>142</v>
      </c>
      <c r="J173" s="8" t="s">
        <v>110</v>
      </c>
      <c r="K173" s="8" t="s">
        <v>50</v>
      </c>
      <c r="L173" s="8" t="s">
        <v>82</v>
      </c>
      <c r="M173" s="8">
        <v>8</v>
      </c>
      <c r="N173" s="8">
        <v>1200</v>
      </c>
      <c r="O173" s="8">
        <v>15</v>
      </c>
      <c r="P173" s="8">
        <v>8160</v>
      </c>
      <c r="Q173" s="8">
        <v>2</v>
      </c>
      <c r="R173" s="8" t="s">
        <v>92</v>
      </c>
      <c r="S173" s="8" t="s">
        <v>119</v>
      </c>
      <c r="T173" s="8" t="s">
        <v>232</v>
      </c>
      <c r="U173" s="9" t="s">
        <v>902</v>
      </c>
      <c r="V173" s="8" t="s">
        <v>73</v>
      </c>
    </row>
    <row r="174" spans="1:22">
      <c r="A174" s="3" t="s">
        <v>903</v>
      </c>
      <c r="B174" s="4" t="s">
        <v>27</v>
      </c>
      <c r="C174" s="4" t="s">
        <v>96</v>
      </c>
      <c r="D174" s="4" t="s">
        <v>904</v>
      </c>
      <c r="E174" s="4" t="s">
        <v>905</v>
      </c>
      <c r="F174" s="4" t="s">
        <v>31</v>
      </c>
      <c r="G174" s="4" t="s">
        <v>32</v>
      </c>
      <c r="H174" s="4" t="s">
        <v>906</v>
      </c>
      <c r="I174" s="4" t="s">
        <v>216</v>
      </c>
      <c r="J174" s="4" t="s">
        <v>49</v>
      </c>
      <c r="K174" s="4" t="s">
        <v>36</v>
      </c>
      <c r="L174" s="4" t="s">
        <v>101</v>
      </c>
      <c r="M174" s="4">
        <v>19</v>
      </c>
      <c r="N174" s="4">
        <v>3500</v>
      </c>
      <c r="O174" s="4">
        <v>5</v>
      </c>
      <c r="P174" s="4">
        <v>63175</v>
      </c>
      <c r="Q174" s="4">
        <v>4</v>
      </c>
      <c r="R174" s="4" t="s">
        <v>92</v>
      </c>
      <c r="S174" s="4" t="s">
        <v>53</v>
      </c>
      <c r="T174" s="4" t="s">
        <v>54</v>
      </c>
      <c r="U174" s="6" t="s">
        <v>907</v>
      </c>
      <c r="V174" s="4" t="s">
        <v>68</v>
      </c>
    </row>
    <row r="175" spans="1:22">
      <c r="A175" s="7" t="s">
        <v>908</v>
      </c>
      <c r="B175" s="8" t="s">
        <v>225</v>
      </c>
      <c r="C175" s="8" t="s">
        <v>263</v>
      </c>
      <c r="D175" s="8" t="s">
        <v>45</v>
      </c>
      <c r="E175" s="8" t="s">
        <v>610</v>
      </c>
      <c r="F175" s="8" t="s">
        <v>909</v>
      </c>
      <c r="G175" s="8" t="s">
        <v>80</v>
      </c>
      <c r="H175" s="8" t="s">
        <v>910</v>
      </c>
      <c r="I175" s="8" t="s">
        <v>216</v>
      </c>
      <c r="J175" s="8" t="s">
        <v>49</v>
      </c>
      <c r="K175" s="8" t="s">
        <v>126</v>
      </c>
      <c r="L175" s="8" t="s">
        <v>267</v>
      </c>
      <c r="M175" s="8">
        <v>6</v>
      </c>
      <c r="N175" s="8">
        <v>45</v>
      </c>
      <c r="O175" s="8">
        <v>20</v>
      </c>
      <c r="P175" s="8">
        <v>216</v>
      </c>
      <c r="Q175" s="8">
        <v>1</v>
      </c>
      <c r="R175" s="8" t="s">
        <v>83</v>
      </c>
      <c r="S175" s="8" t="s">
        <v>53</v>
      </c>
      <c r="T175" s="8" t="s">
        <v>911</v>
      </c>
      <c r="U175" s="9" t="s">
        <v>912</v>
      </c>
      <c r="V175" s="8" t="s">
        <v>68</v>
      </c>
    </row>
    <row r="176" spans="1:22">
      <c r="A176" s="3" t="s">
        <v>913</v>
      </c>
      <c r="B176" s="4" t="s">
        <v>255</v>
      </c>
      <c r="C176" s="4" t="s">
        <v>263</v>
      </c>
      <c r="D176" s="4" t="s">
        <v>914</v>
      </c>
      <c r="E176" s="4" t="s">
        <v>123</v>
      </c>
      <c r="F176" s="4" t="s">
        <v>258</v>
      </c>
      <c r="G176" s="4" t="s">
        <v>32</v>
      </c>
      <c r="H176" s="4" t="s">
        <v>915</v>
      </c>
      <c r="I176" s="4" t="s">
        <v>118</v>
      </c>
      <c r="J176" s="4" t="s">
        <v>110</v>
      </c>
      <c r="K176" s="4" t="s">
        <v>126</v>
      </c>
      <c r="L176" s="4" t="s">
        <v>267</v>
      </c>
      <c r="M176" s="4">
        <v>17</v>
      </c>
      <c r="N176" s="4">
        <v>45</v>
      </c>
      <c r="O176" s="4">
        <v>15</v>
      </c>
      <c r="P176" s="4">
        <v>650.25</v>
      </c>
      <c r="Q176" s="4">
        <v>5</v>
      </c>
      <c r="R176" s="4" t="s">
        <v>38</v>
      </c>
      <c r="S176" s="4" t="s">
        <v>119</v>
      </c>
      <c r="T176" s="4" t="s">
        <v>260</v>
      </c>
      <c r="U176" s="6" t="s">
        <v>916</v>
      </c>
      <c r="V176" s="4" t="s">
        <v>68</v>
      </c>
    </row>
    <row r="177" spans="1:22">
      <c r="A177" s="7" t="s">
        <v>917</v>
      </c>
      <c r="B177" s="8" t="s">
        <v>27</v>
      </c>
      <c r="C177" s="8" t="s">
        <v>226</v>
      </c>
      <c r="D177" s="8" t="s">
        <v>280</v>
      </c>
      <c r="E177" s="8" t="s">
        <v>918</v>
      </c>
      <c r="F177" s="8" t="s">
        <v>31</v>
      </c>
      <c r="G177" s="8" t="s">
        <v>32</v>
      </c>
      <c r="H177" s="8" t="s">
        <v>919</v>
      </c>
      <c r="I177" s="8" t="s">
        <v>118</v>
      </c>
      <c r="J177" s="8" t="s">
        <v>110</v>
      </c>
      <c r="K177" s="8" t="s">
        <v>126</v>
      </c>
      <c r="L177" s="8" t="s">
        <v>231</v>
      </c>
      <c r="M177" s="8">
        <v>19</v>
      </c>
      <c r="N177" s="8">
        <v>20</v>
      </c>
      <c r="O177" s="8">
        <v>5</v>
      </c>
      <c r="P177" s="8">
        <v>361</v>
      </c>
      <c r="Q177" s="8">
        <v>4</v>
      </c>
      <c r="R177" s="8" t="s">
        <v>38</v>
      </c>
      <c r="S177" s="8" t="s">
        <v>39</v>
      </c>
      <c r="T177" s="8" t="s">
        <v>54</v>
      </c>
      <c r="U177" s="9" t="s">
        <v>920</v>
      </c>
      <c r="V177" s="8" t="s">
        <v>68</v>
      </c>
    </row>
    <row r="178" spans="1:22">
      <c r="A178" s="3" t="s">
        <v>921</v>
      </c>
      <c r="B178" s="4" t="s">
        <v>255</v>
      </c>
      <c r="C178" s="4" t="s">
        <v>226</v>
      </c>
      <c r="D178" s="4" t="s">
        <v>922</v>
      </c>
      <c r="E178" s="4" t="s">
        <v>356</v>
      </c>
      <c r="F178" s="4" t="s">
        <v>923</v>
      </c>
      <c r="G178" s="4" t="s">
        <v>32</v>
      </c>
      <c r="H178" s="4" t="s">
        <v>924</v>
      </c>
      <c r="I178" s="4" t="s">
        <v>142</v>
      </c>
      <c r="J178" s="4" t="s">
        <v>110</v>
      </c>
      <c r="K178" s="4" t="s">
        <v>126</v>
      </c>
      <c r="L178" s="4" t="s">
        <v>231</v>
      </c>
      <c r="M178" s="4">
        <v>11</v>
      </c>
      <c r="N178" s="4">
        <v>20</v>
      </c>
      <c r="O178" s="4">
        <v>0</v>
      </c>
      <c r="P178" s="4">
        <v>220</v>
      </c>
      <c r="Q178" s="4">
        <v>3</v>
      </c>
      <c r="R178" s="4" t="s">
        <v>52</v>
      </c>
      <c r="S178" s="4" t="s">
        <v>53</v>
      </c>
      <c r="T178" s="4" t="s">
        <v>260</v>
      </c>
      <c r="U178" s="6" t="s">
        <v>925</v>
      </c>
      <c r="V178" s="4" t="s">
        <v>42</v>
      </c>
    </row>
    <row r="179" spans="1:22">
      <c r="A179" s="7" t="s">
        <v>926</v>
      </c>
      <c r="B179" s="8" t="s">
        <v>172</v>
      </c>
      <c r="C179" s="8" t="s">
        <v>122</v>
      </c>
      <c r="D179" s="8" t="s">
        <v>327</v>
      </c>
      <c r="E179" s="8" t="s">
        <v>927</v>
      </c>
      <c r="F179" s="8" t="s">
        <v>365</v>
      </c>
      <c r="G179" s="8" t="s">
        <v>32</v>
      </c>
      <c r="H179" s="8" t="s">
        <v>928</v>
      </c>
      <c r="I179" s="8" t="s">
        <v>48</v>
      </c>
      <c r="J179" s="8" t="s">
        <v>49</v>
      </c>
      <c r="K179" s="8" t="s">
        <v>126</v>
      </c>
      <c r="L179" s="8" t="s">
        <v>127</v>
      </c>
      <c r="M179" s="8">
        <v>12</v>
      </c>
      <c r="N179" s="8">
        <v>60</v>
      </c>
      <c r="O179" s="8">
        <v>0</v>
      </c>
      <c r="P179" s="8">
        <v>720</v>
      </c>
      <c r="Q179" s="8">
        <v>2</v>
      </c>
      <c r="R179" s="8" t="s">
        <v>52</v>
      </c>
      <c r="S179" s="8" t="s">
        <v>53</v>
      </c>
      <c r="T179" s="8" t="s">
        <v>179</v>
      </c>
      <c r="U179" s="9" t="s">
        <v>929</v>
      </c>
      <c r="V179" s="8" t="s">
        <v>42</v>
      </c>
    </row>
    <row r="180" spans="1:22">
      <c r="A180" s="3" t="s">
        <v>930</v>
      </c>
      <c r="B180" s="4" t="s">
        <v>225</v>
      </c>
      <c r="C180" s="4" t="s">
        <v>263</v>
      </c>
      <c r="D180" s="4" t="s">
        <v>931</v>
      </c>
      <c r="E180" s="4" t="s">
        <v>869</v>
      </c>
      <c r="F180" s="4" t="s">
        <v>932</v>
      </c>
      <c r="G180" s="4" t="s">
        <v>80</v>
      </c>
      <c r="H180" s="4" t="s">
        <v>933</v>
      </c>
      <c r="I180" s="4" t="s">
        <v>298</v>
      </c>
      <c r="J180" s="4" t="s">
        <v>299</v>
      </c>
      <c r="K180" s="4" t="s">
        <v>126</v>
      </c>
      <c r="L180" s="4" t="s">
        <v>267</v>
      </c>
      <c r="M180" s="4">
        <v>14</v>
      </c>
      <c r="N180" s="4">
        <v>45</v>
      </c>
      <c r="O180" s="4">
        <v>15</v>
      </c>
      <c r="P180" s="4">
        <v>535.5</v>
      </c>
      <c r="Q180" s="4">
        <v>5</v>
      </c>
      <c r="R180" s="4" t="s">
        <v>92</v>
      </c>
      <c r="S180" s="4" t="s">
        <v>119</v>
      </c>
      <c r="T180" s="4" t="s">
        <v>232</v>
      </c>
      <c r="U180" s="6" t="s">
        <v>934</v>
      </c>
      <c r="V180" s="4" t="s">
        <v>68</v>
      </c>
    </row>
    <row r="181" spans="1:22">
      <c r="A181" s="7" t="s">
        <v>935</v>
      </c>
      <c r="B181" s="8" t="s">
        <v>27</v>
      </c>
      <c r="C181" s="8" t="s">
        <v>188</v>
      </c>
      <c r="D181" s="8" t="s">
        <v>936</v>
      </c>
      <c r="E181" s="8" t="s">
        <v>307</v>
      </c>
      <c r="F181" s="8" t="s">
        <v>31</v>
      </c>
      <c r="G181" s="8" t="s">
        <v>32</v>
      </c>
      <c r="H181" s="8" t="s">
        <v>937</v>
      </c>
      <c r="I181" s="8" t="s">
        <v>34</v>
      </c>
      <c r="J181" s="8" t="s">
        <v>35</v>
      </c>
      <c r="K181" s="8" t="s">
        <v>50</v>
      </c>
      <c r="L181" s="8" t="s">
        <v>193</v>
      </c>
      <c r="M181" s="8">
        <v>15</v>
      </c>
      <c r="N181" s="8">
        <v>700</v>
      </c>
      <c r="O181" s="8">
        <v>10</v>
      </c>
      <c r="P181" s="8">
        <v>9450</v>
      </c>
      <c r="Q181" s="8">
        <v>3</v>
      </c>
      <c r="R181" s="8" t="s">
        <v>52</v>
      </c>
      <c r="S181" s="8" t="s">
        <v>53</v>
      </c>
      <c r="T181" s="8" t="s">
        <v>54</v>
      </c>
      <c r="U181" s="9" t="s">
        <v>938</v>
      </c>
      <c r="V181" s="8" t="s">
        <v>68</v>
      </c>
    </row>
    <row r="182" spans="1:22">
      <c r="A182" s="3" t="s">
        <v>939</v>
      </c>
      <c r="B182" s="4" t="s">
        <v>104</v>
      </c>
      <c r="C182" s="4" t="s">
        <v>173</v>
      </c>
      <c r="D182" s="4" t="s">
        <v>940</v>
      </c>
      <c r="E182" s="4" t="s">
        <v>687</v>
      </c>
      <c r="F182" s="4" t="s">
        <v>107</v>
      </c>
      <c r="G182" s="4" t="s">
        <v>32</v>
      </c>
      <c r="H182" s="4" t="s">
        <v>941</v>
      </c>
      <c r="I182" s="4" t="s">
        <v>142</v>
      </c>
      <c r="J182" s="4" t="s">
        <v>110</v>
      </c>
      <c r="K182" s="4" t="s">
        <v>36</v>
      </c>
      <c r="L182" s="4" t="s">
        <v>178</v>
      </c>
      <c r="M182" s="4">
        <v>19</v>
      </c>
      <c r="N182" s="4">
        <v>8500</v>
      </c>
      <c r="O182" s="4">
        <v>15</v>
      </c>
      <c r="P182" s="4">
        <v>137275</v>
      </c>
      <c r="Q182" s="4">
        <v>2</v>
      </c>
      <c r="R182" s="4" t="s">
        <v>38</v>
      </c>
      <c r="S182" s="4" t="s">
        <v>39</v>
      </c>
      <c r="T182" s="4" t="s">
        <v>148</v>
      </c>
      <c r="U182" s="6" t="s">
        <v>942</v>
      </c>
      <c r="V182" s="4" t="s">
        <v>73</v>
      </c>
    </row>
    <row r="183" spans="1:22">
      <c r="A183" s="7" t="s">
        <v>943</v>
      </c>
      <c r="B183" s="8" t="s">
        <v>255</v>
      </c>
      <c r="C183" s="8" t="s">
        <v>122</v>
      </c>
      <c r="D183" s="8" t="s">
        <v>944</v>
      </c>
      <c r="E183" s="8" t="s">
        <v>945</v>
      </c>
      <c r="F183" s="8" t="s">
        <v>258</v>
      </c>
      <c r="G183" s="8" t="s">
        <v>32</v>
      </c>
      <c r="H183" s="8" t="s">
        <v>915</v>
      </c>
      <c r="I183" s="8" t="s">
        <v>216</v>
      </c>
      <c r="J183" s="8" t="s">
        <v>49</v>
      </c>
      <c r="K183" s="8" t="s">
        <v>126</v>
      </c>
      <c r="L183" s="8" t="s">
        <v>127</v>
      </c>
      <c r="M183" s="8">
        <v>19</v>
      </c>
      <c r="N183" s="8">
        <v>60</v>
      </c>
      <c r="O183" s="8">
        <v>20</v>
      </c>
      <c r="P183" s="8">
        <v>912</v>
      </c>
      <c r="Q183" s="8">
        <v>4</v>
      </c>
      <c r="R183" s="8" t="s">
        <v>83</v>
      </c>
      <c r="S183" s="8" t="s">
        <v>53</v>
      </c>
      <c r="T183" s="8" t="s">
        <v>260</v>
      </c>
      <c r="U183" s="9" t="s">
        <v>946</v>
      </c>
      <c r="V183" s="8" t="s">
        <v>68</v>
      </c>
    </row>
    <row r="184" spans="1:22">
      <c r="A184" s="3" t="s">
        <v>947</v>
      </c>
      <c r="B184" s="4" t="s">
        <v>104</v>
      </c>
      <c r="C184" s="4" t="s">
        <v>263</v>
      </c>
      <c r="D184" s="4" t="s">
        <v>948</v>
      </c>
      <c r="E184" s="4" t="s">
        <v>940</v>
      </c>
      <c r="F184" s="4" t="s">
        <v>107</v>
      </c>
      <c r="G184" s="4" t="s">
        <v>32</v>
      </c>
      <c r="H184" s="4" t="s">
        <v>949</v>
      </c>
      <c r="I184" s="4" t="s">
        <v>63</v>
      </c>
      <c r="J184" s="4" t="s">
        <v>35</v>
      </c>
      <c r="K184" s="4" t="s">
        <v>126</v>
      </c>
      <c r="L184" s="4" t="s">
        <v>267</v>
      </c>
      <c r="M184" s="4">
        <v>10</v>
      </c>
      <c r="N184" s="4">
        <v>45</v>
      </c>
      <c r="O184" s="4">
        <v>15</v>
      </c>
      <c r="P184" s="4">
        <v>382.5</v>
      </c>
      <c r="Q184" s="4">
        <v>4</v>
      </c>
      <c r="R184" s="4" t="s">
        <v>38</v>
      </c>
      <c r="S184" s="4" t="s">
        <v>155</v>
      </c>
      <c r="T184" s="4" t="s">
        <v>148</v>
      </c>
      <c r="U184" s="6" t="s">
        <v>950</v>
      </c>
      <c r="V184" s="4" t="s">
        <v>42</v>
      </c>
    </row>
    <row r="185" spans="1:22">
      <c r="A185" s="7" t="s">
        <v>951</v>
      </c>
      <c r="B185" s="8" t="s">
        <v>75</v>
      </c>
      <c r="C185" s="8" t="s">
        <v>28</v>
      </c>
      <c r="D185" s="8" t="s">
        <v>952</v>
      </c>
      <c r="E185" s="8" t="s">
        <v>953</v>
      </c>
      <c r="F185" s="8" t="s">
        <v>221</v>
      </c>
      <c r="G185" s="8" t="s">
        <v>80</v>
      </c>
      <c r="H185" s="8" t="s">
        <v>954</v>
      </c>
      <c r="I185" s="8" t="s">
        <v>48</v>
      </c>
      <c r="J185" s="8" t="s">
        <v>49</v>
      </c>
      <c r="K185" s="8" t="s">
        <v>36</v>
      </c>
      <c r="L185" s="8" t="s">
        <v>37</v>
      </c>
      <c r="M185" s="8">
        <v>7</v>
      </c>
      <c r="N185" s="8">
        <v>2200</v>
      </c>
      <c r="O185" s="8">
        <v>20</v>
      </c>
      <c r="P185" s="8">
        <v>12320</v>
      </c>
      <c r="Q185" s="8">
        <v>5</v>
      </c>
      <c r="R185" s="8" t="s">
        <v>92</v>
      </c>
      <c r="S185" s="8" t="s">
        <v>53</v>
      </c>
      <c r="T185" s="8" t="s">
        <v>84</v>
      </c>
      <c r="U185" s="9" t="s">
        <v>955</v>
      </c>
      <c r="V185" s="8" t="s">
        <v>68</v>
      </c>
    </row>
    <row r="186" spans="1:22">
      <c r="A186" s="3" t="s">
        <v>956</v>
      </c>
      <c r="B186" s="4" t="s">
        <v>104</v>
      </c>
      <c r="C186" s="4" t="s">
        <v>173</v>
      </c>
      <c r="D186" s="4" t="s">
        <v>957</v>
      </c>
      <c r="E186" s="4" t="s">
        <v>46</v>
      </c>
      <c r="F186" s="4" t="s">
        <v>107</v>
      </c>
      <c r="G186" s="4" t="s">
        <v>32</v>
      </c>
      <c r="H186" s="4" t="s">
        <v>958</v>
      </c>
      <c r="I186" s="4" t="s">
        <v>298</v>
      </c>
      <c r="J186" s="4" t="s">
        <v>299</v>
      </c>
      <c r="K186" s="4" t="s">
        <v>36</v>
      </c>
      <c r="L186" s="4" t="s">
        <v>178</v>
      </c>
      <c r="M186" s="4">
        <v>20</v>
      </c>
      <c r="N186" s="4">
        <v>8500</v>
      </c>
      <c r="O186" s="4">
        <v>20</v>
      </c>
      <c r="P186" s="4">
        <v>136000</v>
      </c>
      <c r="Q186" s="4">
        <v>4</v>
      </c>
      <c r="R186" s="4" t="s">
        <v>52</v>
      </c>
      <c r="S186" s="4" t="s">
        <v>39</v>
      </c>
      <c r="T186" s="4" t="s">
        <v>148</v>
      </c>
      <c r="U186" s="6" t="s">
        <v>959</v>
      </c>
      <c r="V186" s="4" t="s">
        <v>42</v>
      </c>
    </row>
    <row r="187" spans="1:22">
      <c r="A187" s="7" t="s">
        <v>960</v>
      </c>
      <c r="B187" s="8" t="s">
        <v>255</v>
      </c>
      <c r="C187" s="8" t="s">
        <v>28</v>
      </c>
      <c r="D187" s="8" t="s">
        <v>774</v>
      </c>
      <c r="E187" s="8" t="s">
        <v>961</v>
      </c>
      <c r="F187" s="8" t="s">
        <v>258</v>
      </c>
      <c r="G187" s="8" t="s">
        <v>32</v>
      </c>
      <c r="H187" s="8" t="s">
        <v>962</v>
      </c>
      <c r="I187" s="8" t="s">
        <v>34</v>
      </c>
      <c r="J187" s="8" t="s">
        <v>35</v>
      </c>
      <c r="K187" s="8" t="s">
        <v>36</v>
      </c>
      <c r="L187" s="8" t="s">
        <v>37</v>
      </c>
      <c r="M187" s="8">
        <v>10</v>
      </c>
      <c r="N187" s="8">
        <v>2200</v>
      </c>
      <c r="O187" s="8">
        <v>5</v>
      </c>
      <c r="P187" s="8">
        <v>20900</v>
      </c>
      <c r="Q187" s="8">
        <v>2</v>
      </c>
      <c r="R187" s="8" t="s">
        <v>52</v>
      </c>
      <c r="S187" s="8" t="s">
        <v>53</v>
      </c>
      <c r="T187" s="8" t="s">
        <v>260</v>
      </c>
      <c r="U187" s="9" t="s">
        <v>963</v>
      </c>
      <c r="V187" s="8" t="s">
        <v>42</v>
      </c>
    </row>
    <row r="188" spans="1:22">
      <c r="A188" s="3" t="s">
        <v>964</v>
      </c>
      <c r="B188" s="4" t="s">
        <v>131</v>
      </c>
      <c r="C188" s="4" t="s">
        <v>122</v>
      </c>
      <c r="D188" s="4" t="s">
        <v>696</v>
      </c>
      <c r="E188" s="4" t="s">
        <v>965</v>
      </c>
      <c r="F188" s="4" t="s">
        <v>204</v>
      </c>
      <c r="G188" s="4" t="s">
        <v>80</v>
      </c>
      <c r="H188" s="4" t="s">
        <v>966</v>
      </c>
      <c r="I188" s="4" t="s">
        <v>118</v>
      </c>
      <c r="J188" s="4" t="s">
        <v>110</v>
      </c>
      <c r="K188" s="4" t="s">
        <v>126</v>
      </c>
      <c r="L188" s="4" t="s">
        <v>127</v>
      </c>
      <c r="M188" s="4">
        <v>15</v>
      </c>
      <c r="N188" s="4">
        <v>60</v>
      </c>
      <c r="O188" s="4">
        <v>20</v>
      </c>
      <c r="P188" s="4">
        <v>720</v>
      </c>
      <c r="Q188" s="4">
        <v>1</v>
      </c>
      <c r="R188" s="4" t="s">
        <v>83</v>
      </c>
      <c r="S188" s="4" t="s">
        <v>39</v>
      </c>
      <c r="T188" s="4" t="s">
        <v>136</v>
      </c>
      <c r="U188" s="6" t="s">
        <v>967</v>
      </c>
      <c r="V188" s="4" t="s">
        <v>42</v>
      </c>
    </row>
    <row r="189" spans="1:22">
      <c r="A189" s="7" t="s">
        <v>968</v>
      </c>
      <c r="B189" s="8" t="s">
        <v>225</v>
      </c>
      <c r="C189" s="8" t="s">
        <v>96</v>
      </c>
      <c r="D189" s="8" t="s">
        <v>235</v>
      </c>
      <c r="E189" s="8" t="s">
        <v>969</v>
      </c>
      <c r="F189" s="8" t="s">
        <v>229</v>
      </c>
      <c r="G189" s="8" t="s">
        <v>80</v>
      </c>
      <c r="H189" s="8" t="s">
        <v>970</v>
      </c>
      <c r="I189" s="8" t="s">
        <v>34</v>
      </c>
      <c r="J189" s="8" t="s">
        <v>35</v>
      </c>
      <c r="K189" s="8" t="s">
        <v>36</v>
      </c>
      <c r="L189" s="8" t="s">
        <v>101</v>
      </c>
      <c r="M189" s="8">
        <v>18</v>
      </c>
      <c r="N189" s="8">
        <v>3500</v>
      </c>
      <c r="O189" s="8">
        <v>5</v>
      </c>
      <c r="P189" s="8">
        <v>59850</v>
      </c>
      <c r="Q189" s="8">
        <v>1</v>
      </c>
      <c r="R189" s="8" t="s">
        <v>83</v>
      </c>
      <c r="S189" s="8" t="s">
        <v>53</v>
      </c>
      <c r="T189" s="8" t="s">
        <v>232</v>
      </c>
      <c r="U189" s="9" t="s">
        <v>971</v>
      </c>
      <c r="V189" s="8" t="s">
        <v>73</v>
      </c>
    </row>
    <row r="190" spans="1:22">
      <c r="A190" s="3" t="s">
        <v>972</v>
      </c>
      <c r="B190" s="4" t="s">
        <v>331</v>
      </c>
      <c r="C190" s="4" t="s">
        <v>44</v>
      </c>
      <c r="D190" s="4" t="s">
        <v>973</v>
      </c>
      <c r="E190" s="4" t="s">
        <v>974</v>
      </c>
      <c r="F190" s="4" t="s">
        <v>398</v>
      </c>
      <c r="G190" s="4" t="s">
        <v>80</v>
      </c>
      <c r="H190" s="4" t="s">
        <v>975</v>
      </c>
      <c r="I190" s="4" t="s">
        <v>118</v>
      </c>
      <c r="J190" s="4" t="s">
        <v>110</v>
      </c>
      <c r="K190" s="4" t="s">
        <v>50</v>
      </c>
      <c r="L190" s="4" t="s">
        <v>51</v>
      </c>
      <c r="M190" s="4">
        <v>6</v>
      </c>
      <c r="N190" s="4">
        <v>12000</v>
      </c>
      <c r="O190" s="4">
        <v>5</v>
      </c>
      <c r="P190" s="4">
        <v>68400</v>
      </c>
      <c r="Q190" s="4">
        <v>1</v>
      </c>
      <c r="R190" s="4" t="s">
        <v>52</v>
      </c>
      <c r="S190" s="4" t="s">
        <v>53</v>
      </c>
      <c r="T190" s="4" t="s">
        <v>336</v>
      </c>
      <c r="U190" s="6" t="s">
        <v>976</v>
      </c>
      <c r="V190" s="4" t="s">
        <v>73</v>
      </c>
    </row>
    <row r="191" spans="1:22">
      <c r="A191" s="7" t="s">
        <v>977</v>
      </c>
      <c r="B191" s="8" t="s">
        <v>331</v>
      </c>
      <c r="C191" s="8" t="s">
        <v>226</v>
      </c>
      <c r="D191" s="8" t="s">
        <v>327</v>
      </c>
      <c r="E191" s="8" t="s">
        <v>483</v>
      </c>
      <c r="F191" s="8" t="s">
        <v>398</v>
      </c>
      <c r="G191" s="8" t="s">
        <v>80</v>
      </c>
      <c r="H191" s="8" t="s">
        <v>978</v>
      </c>
      <c r="I191" s="8" t="s">
        <v>63</v>
      </c>
      <c r="J191" s="8" t="s">
        <v>35</v>
      </c>
      <c r="K191" s="8" t="s">
        <v>126</v>
      </c>
      <c r="L191" s="8" t="s">
        <v>231</v>
      </c>
      <c r="M191" s="8">
        <v>19</v>
      </c>
      <c r="N191" s="8">
        <v>20</v>
      </c>
      <c r="O191" s="8">
        <v>10</v>
      </c>
      <c r="P191" s="8">
        <v>342</v>
      </c>
      <c r="Q191" s="8">
        <v>2</v>
      </c>
      <c r="R191" s="8" t="s">
        <v>52</v>
      </c>
      <c r="S191" s="8" t="s">
        <v>39</v>
      </c>
      <c r="T191" s="8" t="s">
        <v>336</v>
      </c>
      <c r="U191" s="9" t="s">
        <v>979</v>
      </c>
      <c r="V191" s="8" t="s">
        <v>68</v>
      </c>
    </row>
    <row r="192" spans="1:22">
      <c r="A192" s="3" t="s">
        <v>980</v>
      </c>
      <c r="B192" s="4" t="s">
        <v>225</v>
      </c>
      <c r="C192" s="4" t="s">
        <v>28</v>
      </c>
      <c r="D192" s="4" t="s">
        <v>430</v>
      </c>
      <c r="E192" s="4" t="s">
        <v>431</v>
      </c>
      <c r="F192" s="4" t="s">
        <v>229</v>
      </c>
      <c r="G192" s="4" t="s">
        <v>80</v>
      </c>
      <c r="H192" s="4" t="s">
        <v>981</v>
      </c>
      <c r="I192" s="4" t="s">
        <v>118</v>
      </c>
      <c r="J192" s="4" t="s">
        <v>110</v>
      </c>
      <c r="K192" s="4" t="s">
        <v>36</v>
      </c>
      <c r="L192" s="4" t="s">
        <v>37</v>
      </c>
      <c r="M192" s="4">
        <v>7</v>
      </c>
      <c r="N192" s="4">
        <v>2200</v>
      </c>
      <c r="O192" s="4">
        <v>0</v>
      </c>
      <c r="P192" s="4">
        <v>15400</v>
      </c>
      <c r="Q192" s="4">
        <v>1</v>
      </c>
      <c r="R192" s="4" t="s">
        <v>83</v>
      </c>
      <c r="S192" s="4" t="s">
        <v>119</v>
      </c>
      <c r="T192" s="4" t="s">
        <v>232</v>
      </c>
      <c r="U192" s="6" t="s">
        <v>982</v>
      </c>
      <c r="V192" s="4" t="s">
        <v>73</v>
      </c>
    </row>
    <row r="193" spans="1:22">
      <c r="A193" s="7" t="s">
        <v>983</v>
      </c>
      <c r="B193" s="8" t="s">
        <v>331</v>
      </c>
      <c r="C193" s="8" t="s">
        <v>44</v>
      </c>
      <c r="D193" s="8" t="s">
        <v>507</v>
      </c>
      <c r="E193" s="8" t="s">
        <v>984</v>
      </c>
      <c r="F193" s="8" t="s">
        <v>398</v>
      </c>
      <c r="G193" s="8" t="s">
        <v>80</v>
      </c>
      <c r="H193" s="8" t="s">
        <v>985</v>
      </c>
      <c r="I193" s="8" t="s">
        <v>216</v>
      </c>
      <c r="J193" s="8" t="s">
        <v>49</v>
      </c>
      <c r="K193" s="8" t="s">
        <v>50</v>
      </c>
      <c r="L193" s="8" t="s">
        <v>51</v>
      </c>
      <c r="M193" s="8">
        <v>3</v>
      </c>
      <c r="N193" s="8">
        <v>12000</v>
      </c>
      <c r="O193" s="8">
        <v>5</v>
      </c>
      <c r="P193" s="8">
        <v>34200</v>
      </c>
      <c r="Q193" s="8">
        <v>3</v>
      </c>
      <c r="R193" s="8" t="s">
        <v>83</v>
      </c>
      <c r="S193" s="8" t="s">
        <v>65</v>
      </c>
      <c r="T193" s="8" t="s">
        <v>336</v>
      </c>
      <c r="U193" s="9" t="s">
        <v>986</v>
      </c>
      <c r="V193" s="8" t="s">
        <v>73</v>
      </c>
    </row>
    <row r="194" spans="1:22">
      <c r="A194" s="3" t="s">
        <v>987</v>
      </c>
      <c r="B194" s="4" t="s">
        <v>172</v>
      </c>
      <c r="C194" s="4" t="s">
        <v>28</v>
      </c>
      <c r="D194" s="4" t="s">
        <v>345</v>
      </c>
      <c r="E194" s="4" t="s">
        <v>868</v>
      </c>
      <c r="F194" s="4" t="s">
        <v>365</v>
      </c>
      <c r="G194" s="4" t="s">
        <v>32</v>
      </c>
      <c r="H194" s="4" t="s">
        <v>988</v>
      </c>
      <c r="I194" s="4" t="s">
        <v>216</v>
      </c>
      <c r="J194" s="4" t="s">
        <v>49</v>
      </c>
      <c r="K194" s="4" t="s">
        <v>36</v>
      </c>
      <c r="L194" s="4" t="s">
        <v>37</v>
      </c>
      <c r="M194" s="4">
        <v>16</v>
      </c>
      <c r="N194" s="4">
        <v>2200</v>
      </c>
      <c r="O194" s="4">
        <v>0</v>
      </c>
      <c r="P194" s="4">
        <v>35200</v>
      </c>
      <c r="Q194" s="4">
        <v>5</v>
      </c>
      <c r="R194" s="4" t="s">
        <v>83</v>
      </c>
      <c r="S194" s="4" t="s">
        <v>39</v>
      </c>
      <c r="T194" s="4" t="s">
        <v>179</v>
      </c>
      <c r="U194" s="6" t="s">
        <v>989</v>
      </c>
      <c r="V194" s="4" t="s">
        <v>68</v>
      </c>
    </row>
    <row r="195" spans="1:22">
      <c r="A195" s="7" t="s">
        <v>990</v>
      </c>
      <c r="B195" s="8" t="s">
        <v>255</v>
      </c>
      <c r="C195" s="8" t="s">
        <v>28</v>
      </c>
      <c r="D195" s="8" t="s">
        <v>991</v>
      </c>
      <c r="E195" s="8" t="s">
        <v>992</v>
      </c>
      <c r="F195" s="8" t="s">
        <v>258</v>
      </c>
      <c r="G195" s="8" t="s">
        <v>32</v>
      </c>
      <c r="H195" s="8" t="s">
        <v>993</v>
      </c>
      <c r="I195" s="8" t="s">
        <v>48</v>
      </c>
      <c r="J195" s="8" t="s">
        <v>49</v>
      </c>
      <c r="K195" s="8" t="s">
        <v>36</v>
      </c>
      <c r="L195" s="8" t="s">
        <v>37</v>
      </c>
      <c r="M195" s="8">
        <v>8</v>
      </c>
      <c r="N195" s="8">
        <v>2200</v>
      </c>
      <c r="O195" s="8">
        <v>5</v>
      </c>
      <c r="P195" s="8">
        <v>16720</v>
      </c>
      <c r="Q195" s="8">
        <v>2</v>
      </c>
      <c r="R195" s="8" t="s">
        <v>92</v>
      </c>
      <c r="S195" s="8" t="s">
        <v>155</v>
      </c>
      <c r="T195" s="8" t="s">
        <v>260</v>
      </c>
      <c r="U195" s="9" t="s">
        <v>994</v>
      </c>
      <c r="V195" s="8" t="s">
        <v>42</v>
      </c>
    </row>
    <row r="196" spans="1:22">
      <c r="A196" s="3" t="s">
        <v>995</v>
      </c>
      <c r="B196" s="4" t="s">
        <v>255</v>
      </c>
      <c r="C196" s="4" t="s">
        <v>28</v>
      </c>
      <c r="D196" s="4" t="s">
        <v>614</v>
      </c>
      <c r="E196" s="4" t="s">
        <v>458</v>
      </c>
      <c r="F196" s="4" t="s">
        <v>258</v>
      </c>
      <c r="G196" s="4" t="s">
        <v>32</v>
      </c>
      <c r="H196" s="4" t="s">
        <v>996</v>
      </c>
      <c r="I196" s="4" t="s">
        <v>142</v>
      </c>
      <c r="J196" s="4" t="s">
        <v>110</v>
      </c>
      <c r="K196" s="4" t="s">
        <v>36</v>
      </c>
      <c r="L196" s="4" t="s">
        <v>37</v>
      </c>
      <c r="M196" s="4">
        <v>10</v>
      </c>
      <c r="N196" s="4">
        <v>2200</v>
      </c>
      <c r="O196" s="4">
        <v>10</v>
      </c>
      <c r="P196" s="4">
        <v>19800</v>
      </c>
      <c r="Q196" s="4">
        <v>5</v>
      </c>
      <c r="R196" s="4" t="s">
        <v>52</v>
      </c>
      <c r="S196" s="4" t="s">
        <v>119</v>
      </c>
      <c r="T196" s="4" t="s">
        <v>260</v>
      </c>
      <c r="U196" s="6" t="s">
        <v>997</v>
      </c>
      <c r="V196" s="4" t="s">
        <v>68</v>
      </c>
    </row>
    <row r="197" spans="1:22">
      <c r="A197" s="7" t="s">
        <v>998</v>
      </c>
      <c r="B197" s="8" t="s">
        <v>87</v>
      </c>
      <c r="C197" s="8" t="s">
        <v>226</v>
      </c>
      <c r="D197" s="8" t="s">
        <v>340</v>
      </c>
      <c r="E197" s="8" t="s">
        <v>600</v>
      </c>
      <c r="F197" s="8" t="s">
        <v>184</v>
      </c>
      <c r="G197" s="8" t="s">
        <v>80</v>
      </c>
      <c r="H197" s="8" t="s">
        <v>999</v>
      </c>
      <c r="I197" s="8" t="s">
        <v>48</v>
      </c>
      <c r="J197" s="8" t="s">
        <v>49</v>
      </c>
      <c r="K197" s="8" t="s">
        <v>126</v>
      </c>
      <c r="L197" s="8" t="s">
        <v>231</v>
      </c>
      <c r="M197" s="8">
        <v>7</v>
      </c>
      <c r="N197" s="8">
        <v>20</v>
      </c>
      <c r="O197" s="8">
        <v>10</v>
      </c>
      <c r="P197" s="8">
        <v>126</v>
      </c>
      <c r="Q197" s="8">
        <v>4</v>
      </c>
      <c r="R197" s="8" t="s">
        <v>83</v>
      </c>
      <c r="S197" s="8" t="s">
        <v>65</v>
      </c>
      <c r="T197" s="8" t="s">
        <v>93</v>
      </c>
      <c r="U197" s="9" t="s">
        <v>1000</v>
      </c>
      <c r="V197" s="8" t="s">
        <v>42</v>
      </c>
    </row>
    <row r="198" spans="1:22">
      <c r="A198" s="3" t="s">
        <v>1001</v>
      </c>
      <c r="B198" s="4" t="s">
        <v>225</v>
      </c>
      <c r="C198" s="4" t="s">
        <v>173</v>
      </c>
      <c r="D198" s="4" t="s">
        <v>256</v>
      </c>
      <c r="E198" s="4" t="s">
        <v>1002</v>
      </c>
      <c r="F198" s="4" t="s">
        <v>229</v>
      </c>
      <c r="G198" s="4" t="s">
        <v>80</v>
      </c>
      <c r="H198" s="4" t="s">
        <v>1003</v>
      </c>
      <c r="I198" s="4" t="s">
        <v>34</v>
      </c>
      <c r="J198" s="4" t="s">
        <v>35</v>
      </c>
      <c r="K198" s="4" t="s">
        <v>36</v>
      </c>
      <c r="L198" s="4" t="s">
        <v>178</v>
      </c>
      <c r="M198" s="4">
        <v>19</v>
      </c>
      <c r="N198" s="4">
        <v>8500</v>
      </c>
      <c r="O198" s="4">
        <v>20</v>
      </c>
      <c r="P198" s="4">
        <v>129200</v>
      </c>
      <c r="Q198" s="4">
        <v>3</v>
      </c>
      <c r="R198" s="4" t="s">
        <v>52</v>
      </c>
      <c r="S198" s="4" t="s">
        <v>65</v>
      </c>
      <c r="T198" s="4" t="s">
        <v>232</v>
      </c>
      <c r="U198" s="6" t="s">
        <v>1004</v>
      </c>
      <c r="V198" s="4" t="s">
        <v>68</v>
      </c>
    </row>
    <row r="199" spans="1:22">
      <c r="A199" s="7" t="s">
        <v>1005</v>
      </c>
      <c r="B199" s="8" t="s">
        <v>104</v>
      </c>
      <c r="C199" s="8" t="s">
        <v>122</v>
      </c>
      <c r="D199" s="8" t="s">
        <v>435</v>
      </c>
      <c r="E199" s="8" t="s">
        <v>418</v>
      </c>
      <c r="F199" s="8" t="s">
        <v>107</v>
      </c>
      <c r="G199" s="8" t="s">
        <v>32</v>
      </c>
      <c r="H199" s="8" t="s">
        <v>1006</v>
      </c>
      <c r="I199" s="8" t="s">
        <v>118</v>
      </c>
      <c r="J199" s="8" t="s">
        <v>110</v>
      </c>
      <c r="K199" s="8" t="s">
        <v>126</v>
      </c>
      <c r="L199" s="8" t="s">
        <v>127</v>
      </c>
      <c r="M199" s="8">
        <v>16</v>
      </c>
      <c r="N199" s="8">
        <v>60</v>
      </c>
      <c r="O199" s="8">
        <v>0</v>
      </c>
      <c r="P199" s="8">
        <v>960</v>
      </c>
      <c r="Q199" s="8">
        <v>2</v>
      </c>
      <c r="R199" s="8" t="s">
        <v>52</v>
      </c>
      <c r="S199" s="8" t="s">
        <v>119</v>
      </c>
      <c r="T199" s="8" t="s">
        <v>148</v>
      </c>
      <c r="U199" s="9" t="s">
        <v>1007</v>
      </c>
      <c r="V199" s="8" t="s">
        <v>42</v>
      </c>
    </row>
    <row r="200" spans="1:22">
      <c r="A200" s="3" t="s">
        <v>1008</v>
      </c>
      <c r="B200" s="4" t="s">
        <v>225</v>
      </c>
      <c r="C200" s="4" t="s">
        <v>96</v>
      </c>
      <c r="D200" s="4" t="s">
        <v>1009</v>
      </c>
      <c r="E200" s="4" t="s">
        <v>735</v>
      </c>
      <c r="F200" s="4" t="s">
        <v>229</v>
      </c>
      <c r="G200" s="4" t="s">
        <v>80</v>
      </c>
      <c r="H200" s="4" t="s">
        <v>1010</v>
      </c>
      <c r="I200" s="4" t="s">
        <v>63</v>
      </c>
      <c r="J200" s="4" t="s">
        <v>35</v>
      </c>
      <c r="K200" s="4" t="s">
        <v>1011</v>
      </c>
      <c r="L200" s="4" t="s">
        <v>101</v>
      </c>
      <c r="M200" s="4">
        <v>18</v>
      </c>
      <c r="N200" s="4">
        <v>3500</v>
      </c>
      <c r="O200" s="4">
        <v>5</v>
      </c>
      <c r="P200" s="4">
        <v>59850</v>
      </c>
      <c r="Q200" s="4">
        <v>1</v>
      </c>
      <c r="R200" s="4" t="s">
        <v>92</v>
      </c>
      <c r="S200" s="4" t="s">
        <v>119</v>
      </c>
      <c r="T200" s="4" t="s">
        <v>232</v>
      </c>
      <c r="U200" s="6" t="s">
        <v>1012</v>
      </c>
      <c r="V200" s="4" t="s">
        <v>68</v>
      </c>
    </row>
    <row r="201" spans="1:22">
      <c r="A201" s="7" t="s">
        <v>1013</v>
      </c>
      <c r="B201" s="8" t="s">
        <v>104</v>
      </c>
      <c r="C201" s="8" t="s">
        <v>58</v>
      </c>
      <c r="D201" s="8" t="s">
        <v>1014</v>
      </c>
      <c r="E201" s="8" t="s">
        <v>435</v>
      </c>
      <c r="F201" s="8" t="s">
        <v>107</v>
      </c>
      <c r="G201" s="8" t="s">
        <v>32</v>
      </c>
      <c r="H201" s="8" t="s">
        <v>1015</v>
      </c>
      <c r="I201" s="8" t="s">
        <v>216</v>
      </c>
      <c r="J201" s="8" t="s">
        <v>49</v>
      </c>
      <c r="K201" s="8" t="s">
        <v>50</v>
      </c>
      <c r="L201" s="8" t="s">
        <v>64</v>
      </c>
      <c r="M201" s="8">
        <v>16</v>
      </c>
      <c r="N201" s="8">
        <v>55000</v>
      </c>
      <c r="O201" s="8">
        <v>0</v>
      </c>
      <c r="P201" s="8">
        <v>880000</v>
      </c>
      <c r="Q201" s="8">
        <v>1</v>
      </c>
      <c r="R201" s="8" t="s">
        <v>83</v>
      </c>
      <c r="S201" s="8" t="s">
        <v>65</v>
      </c>
      <c r="T201" s="8" t="s">
        <v>148</v>
      </c>
      <c r="U201" s="9" t="s">
        <v>1016</v>
      </c>
      <c r="V201" s="8" t="s">
        <v>73</v>
      </c>
    </row>
    <row r="202" spans="1:22">
      <c r="A202" s="3" t="s">
        <v>1017</v>
      </c>
      <c r="B202" s="4" t="s">
        <v>225</v>
      </c>
      <c r="C202" s="4" t="s">
        <v>76</v>
      </c>
      <c r="D202" s="4" t="s">
        <v>904</v>
      </c>
      <c r="E202" s="4" t="s">
        <v>439</v>
      </c>
      <c r="F202" s="4" t="s">
        <v>229</v>
      </c>
      <c r="G202" s="4" t="s">
        <v>80</v>
      </c>
      <c r="H202" s="4" t="s">
        <v>1018</v>
      </c>
      <c r="I202" s="4" t="s">
        <v>142</v>
      </c>
      <c r="J202" s="4" t="s">
        <v>110</v>
      </c>
      <c r="K202" s="4" t="s">
        <v>50</v>
      </c>
      <c r="L202" s="4" t="s">
        <v>82</v>
      </c>
      <c r="M202" s="4">
        <v>18</v>
      </c>
      <c r="N202" s="4">
        <v>1200</v>
      </c>
      <c r="O202" s="4">
        <v>15</v>
      </c>
      <c r="P202" s="4">
        <v>18360</v>
      </c>
      <c r="Q202" s="4">
        <v>2</v>
      </c>
      <c r="R202" s="4" t="s">
        <v>52</v>
      </c>
      <c r="S202" s="4" t="s">
        <v>39</v>
      </c>
      <c r="T202" s="4" t="s">
        <v>232</v>
      </c>
      <c r="U202" s="6" t="s">
        <v>1019</v>
      </c>
      <c r="V202" s="4" t="s">
        <v>73</v>
      </c>
    </row>
    <row r="203" spans="1:22">
      <c r="A203" s="7" t="s">
        <v>1020</v>
      </c>
      <c r="B203" s="8" t="s">
        <v>75</v>
      </c>
      <c r="C203" s="8" t="s">
        <v>263</v>
      </c>
      <c r="D203" s="8" t="s">
        <v>1021</v>
      </c>
      <c r="E203" s="8" t="s">
        <v>1022</v>
      </c>
      <c r="F203" s="8" t="s">
        <v>221</v>
      </c>
      <c r="G203" s="8" t="s">
        <v>80</v>
      </c>
      <c r="H203" s="8" t="s">
        <v>1023</v>
      </c>
      <c r="I203" s="8" t="s">
        <v>34</v>
      </c>
      <c r="J203" s="8" t="s">
        <v>35</v>
      </c>
      <c r="K203" s="8" t="s">
        <v>126</v>
      </c>
      <c r="L203" s="8" t="s">
        <v>267</v>
      </c>
      <c r="M203" s="8">
        <v>2</v>
      </c>
      <c r="N203" s="8">
        <v>45</v>
      </c>
      <c r="O203" s="8">
        <v>15</v>
      </c>
      <c r="P203" s="8">
        <v>76.5</v>
      </c>
      <c r="Q203" s="8">
        <v>5</v>
      </c>
      <c r="R203" s="8" t="s">
        <v>38</v>
      </c>
      <c r="S203" s="8" t="s">
        <v>65</v>
      </c>
      <c r="T203" s="8" t="s">
        <v>84</v>
      </c>
      <c r="U203" s="9" t="s">
        <v>1024</v>
      </c>
      <c r="V203" s="8" t="s">
        <v>73</v>
      </c>
    </row>
    <row r="204" spans="1:22">
      <c r="A204" s="3" t="s">
        <v>1025</v>
      </c>
      <c r="B204" s="4" t="s">
        <v>57</v>
      </c>
      <c r="C204" s="4" t="s">
        <v>173</v>
      </c>
      <c r="D204" s="4" t="s">
        <v>716</v>
      </c>
      <c r="E204" s="4" t="s">
        <v>89</v>
      </c>
      <c r="F204" s="4" t="s">
        <v>167</v>
      </c>
      <c r="G204" s="4" t="s">
        <v>32</v>
      </c>
      <c r="H204" s="4" t="s">
        <v>1026</v>
      </c>
      <c r="I204" s="4" t="s">
        <v>63</v>
      </c>
      <c r="J204" s="4" t="s">
        <v>35</v>
      </c>
      <c r="K204" s="4" t="s">
        <v>36</v>
      </c>
      <c r="L204" s="4" t="s">
        <v>178</v>
      </c>
      <c r="M204" s="4">
        <v>20</v>
      </c>
      <c r="N204" s="4">
        <v>8500</v>
      </c>
      <c r="O204" s="4">
        <v>0</v>
      </c>
      <c r="P204" s="4">
        <v>170000</v>
      </c>
      <c r="Q204" s="4">
        <v>4</v>
      </c>
      <c r="R204" s="4" t="s">
        <v>52</v>
      </c>
      <c r="S204" s="4" t="s">
        <v>65</v>
      </c>
      <c r="T204" s="4" t="s">
        <v>66</v>
      </c>
      <c r="U204" s="6" t="s">
        <v>1027</v>
      </c>
      <c r="V204" s="4" t="s">
        <v>73</v>
      </c>
    </row>
    <row r="205" spans="1:22">
      <c r="A205" s="7" t="s">
        <v>1028</v>
      </c>
      <c r="B205" s="8" t="s">
        <v>131</v>
      </c>
      <c r="C205" s="8" t="s">
        <v>96</v>
      </c>
      <c r="D205" s="8" t="s">
        <v>302</v>
      </c>
      <c r="E205" s="8" t="s">
        <v>1029</v>
      </c>
      <c r="F205" s="8" t="s">
        <v>204</v>
      </c>
      <c r="G205" s="8" t="s">
        <v>80</v>
      </c>
      <c r="H205" s="8" t="s">
        <v>498</v>
      </c>
      <c r="I205" s="8" t="s">
        <v>216</v>
      </c>
      <c r="J205" s="8" t="s">
        <v>49</v>
      </c>
      <c r="K205" s="8" t="s">
        <v>36</v>
      </c>
      <c r="L205" s="8" t="s">
        <v>101</v>
      </c>
      <c r="M205" s="8">
        <v>6</v>
      </c>
      <c r="N205" s="8">
        <v>3500</v>
      </c>
      <c r="O205" s="8">
        <v>5</v>
      </c>
      <c r="P205" s="8">
        <v>19950</v>
      </c>
      <c r="Q205" s="8">
        <v>1</v>
      </c>
      <c r="R205" s="8" t="s">
        <v>38</v>
      </c>
      <c r="S205" s="8" t="s">
        <v>155</v>
      </c>
      <c r="T205" s="8" t="s">
        <v>136</v>
      </c>
      <c r="U205" s="9" t="s">
        <v>1030</v>
      </c>
      <c r="V205" s="8" t="s">
        <v>42</v>
      </c>
    </row>
    <row r="206" spans="1:22">
      <c r="A206" s="3" t="s">
        <v>1031</v>
      </c>
      <c r="B206" s="4" t="s">
        <v>172</v>
      </c>
      <c r="C206" s="4" t="s">
        <v>263</v>
      </c>
      <c r="D206" s="4" t="s">
        <v>312</v>
      </c>
      <c r="E206" s="4" t="s">
        <v>285</v>
      </c>
      <c r="F206" s="4" t="s">
        <v>365</v>
      </c>
      <c r="G206" s="4" t="s">
        <v>32</v>
      </c>
      <c r="H206" s="4" t="s">
        <v>1032</v>
      </c>
      <c r="I206" s="4" t="s">
        <v>118</v>
      </c>
      <c r="J206" s="4" t="s">
        <v>110</v>
      </c>
      <c r="K206" s="4" t="s">
        <v>126</v>
      </c>
      <c r="L206" s="4" t="s">
        <v>267</v>
      </c>
      <c r="M206" s="4">
        <v>8</v>
      </c>
      <c r="N206" s="4">
        <v>45</v>
      </c>
      <c r="O206" s="4">
        <v>5</v>
      </c>
      <c r="P206" s="4">
        <v>342</v>
      </c>
      <c r="Q206" s="4">
        <v>2</v>
      </c>
      <c r="R206" s="4" t="s">
        <v>38</v>
      </c>
      <c r="S206" s="4" t="s">
        <v>53</v>
      </c>
      <c r="T206" s="4" t="s">
        <v>179</v>
      </c>
      <c r="U206" s="6" t="s">
        <v>1033</v>
      </c>
      <c r="V206" s="4" t="s">
        <v>68</v>
      </c>
    </row>
    <row r="207" spans="1:22">
      <c r="A207" s="7" t="s">
        <v>1034</v>
      </c>
      <c r="B207" s="8" t="s">
        <v>331</v>
      </c>
      <c r="C207" s="8" t="s">
        <v>28</v>
      </c>
      <c r="D207" s="8" t="s">
        <v>418</v>
      </c>
      <c r="E207" s="8" t="s">
        <v>1035</v>
      </c>
      <c r="F207" s="8" t="s">
        <v>398</v>
      </c>
      <c r="G207" s="8" t="s">
        <v>80</v>
      </c>
      <c r="H207" s="8" t="s">
        <v>1036</v>
      </c>
      <c r="I207" s="8" t="s">
        <v>109</v>
      </c>
      <c r="J207" s="8" t="s">
        <v>110</v>
      </c>
      <c r="K207" s="8" t="s">
        <v>36</v>
      </c>
      <c r="L207" s="8" t="s">
        <v>37</v>
      </c>
      <c r="M207" s="8">
        <v>18</v>
      </c>
      <c r="N207" s="8">
        <v>2200</v>
      </c>
      <c r="O207" s="8">
        <v>15</v>
      </c>
      <c r="P207" s="8">
        <v>33660</v>
      </c>
      <c r="Q207" s="8">
        <v>4</v>
      </c>
      <c r="R207" s="8" t="s">
        <v>83</v>
      </c>
      <c r="S207" s="8" t="s">
        <v>65</v>
      </c>
      <c r="T207" s="8" t="s">
        <v>336</v>
      </c>
      <c r="U207" s="9" t="s">
        <v>1037</v>
      </c>
      <c r="V207" s="8" t="s">
        <v>68</v>
      </c>
    </row>
    <row r="208" spans="1:22">
      <c r="A208" s="3" t="s">
        <v>1038</v>
      </c>
      <c r="B208" s="4" t="s">
        <v>225</v>
      </c>
      <c r="C208" s="4" t="s">
        <v>188</v>
      </c>
      <c r="D208" s="4" t="s">
        <v>1039</v>
      </c>
      <c r="E208" s="4" t="s">
        <v>1009</v>
      </c>
      <c r="F208" s="4" t="s">
        <v>229</v>
      </c>
      <c r="G208" s="4" t="s">
        <v>80</v>
      </c>
      <c r="H208" s="4" t="s">
        <v>1040</v>
      </c>
      <c r="I208" s="4" t="s">
        <v>34</v>
      </c>
      <c r="J208" s="4" t="s">
        <v>35</v>
      </c>
      <c r="K208" s="4" t="s">
        <v>50</v>
      </c>
      <c r="L208" s="4" t="s">
        <v>193</v>
      </c>
      <c r="M208" s="4">
        <v>18</v>
      </c>
      <c r="N208" s="4">
        <v>700</v>
      </c>
      <c r="O208" s="4">
        <v>15</v>
      </c>
      <c r="P208" s="4">
        <v>10710</v>
      </c>
      <c r="Q208" s="4">
        <v>3</v>
      </c>
      <c r="R208" s="4" t="s">
        <v>83</v>
      </c>
      <c r="S208" s="4" t="s">
        <v>155</v>
      </c>
      <c r="T208" s="4" t="s">
        <v>232</v>
      </c>
      <c r="U208" s="6" t="s">
        <v>1041</v>
      </c>
      <c r="V208" s="4" t="s">
        <v>73</v>
      </c>
    </row>
    <row r="209" spans="1:22">
      <c r="A209" s="7" t="s">
        <v>1042</v>
      </c>
      <c r="B209" s="8" t="s">
        <v>331</v>
      </c>
      <c r="C209" s="8" t="s">
        <v>58</v>
      </c>
      <c r="D209" s="8" t="s">
        <v>1043</v>
      </c>
      <c r="E209" s="8" t="s">
        <v>1044</v>
      </c>
      <c r="F209" s="8" t="s">
        <v>398</v>
      </c>
      <c r="G209" s="8" t="s">
        <v>80</v>
      </c>
      <c r="H209" s="8" t="s">
        <v>1045</v>
      </c>
      <c r="I209" s="8" t="s">
        <v>118</v>
      </c>
      <c r="J209" s="8" t="s">
        <v>110</v>
      </c>
      <c r="K209" s="8" t="s">
        <v>50</v>
      </c>
      <c r="L209" s="8" t="s">
        <v>64</v>
      </c>
      <c r="M209" s="8">
        <v>12</v>
      </c>
      <c r="N209" s="8">
        <v>55000</v>
      </c>
      <c r="O209" s="8">
        <v>0</v>
      </c>
      <c r="P209" s="8">
        <v>660000</v>
      </c>
      <c r="Q209" s="8">
        <v>2</v>
      </c>
      <c r="R209" s="8" t="s">
        <v>92</v>
      </c>
      <c r="S209" s="8" t="s">
        <v>53</v>
      </c>
      <c r="T209" s="8" t="s">
        <v>336</v>
      </c>
      <c r="U209" s="9" t="s">
        <v>1046</v>
      </c>
      <c r="V209" s="8" t="s">
        <v>73</v>
      </c>
    </row>
    <row r="210" spans="1:22">
      <c r="A210" s="3" t="s">
        <v>1047</v>
      </c>
      <c r="B210" s="4" t="s">
        <v>27</v>
      </c>
      <c r="C210" s="4" t="s">
        <v>44</v>
      </c>
      <c r="D210" s="4" t="s">
        <v>506</v>
      </c>
      <c r="E210" s="4" t="s">
        <v>1048</v>
      </c>
      <c r="F210" s="4" t="s">
        <v>31</v>
      </c>
      <c r="G210" s="4" t="s">
        <v>32</v>
      </c>
      <c r="H210" s="4" t="s">
        <v>1049</v>
      </c>
      <c r="I210" s="4" t="s">
        <v>109</v>
      </c>
      <c r="J210" s="4" t="s">
        <v>110</v>
      </c>
      <c r="K210" s="4" t="s">
        <v>50</v>
      </c>
      <c r="L210" s="4" t="s">
        <v>51</v>
      </c>
      <c r="M210" s="4">
        <v>7</v>
      </c>
      <c r="N210" s="4">
        <v>12000</v>
      </c>
      <c r="O210" s="4">
        <v>5</v>
      </c>
      <c r="P210" s="4">
        <v>79800</v>
      </c>
      <c r="Q210" s="4">
        <v>3</v>
      </c>
      <c r="R210" s="4" t="s">
        <v>83</v>
      </c>
      <c r="S210" s="4" t="s">
        <v>155</v>
      </c>
      <c r="T210" s="4" t="s">
        <v>54</v>
      </c>
      <c r="U210" s="6" t="s">
        <v>1050</v>
      </c>
      <c r="V210" s="4" t="s">
        <v>68</v>
      </c>
    </row>
    <row r="211" spans="1:22">
      <c r="A211" s="7" t="s">
        <v>1051</v>
      </c>
      <c r="B211" s="8" t="s">
        <v>255</v>
      </c>
      <c r="C211" s="8" t="s">
        <v>44</v>
      </c>
      <c r="D211" s="8" t="s">
        <v>1052</v>
      </c>
      <c r="E211" s="8" t="s">
        <v>133</v>
      </c>
      <c r="F211" s="8" t="s">
        <v>258</v>
      </c>
      <c r="G211" s="8" t="s">
        <v>32</v>
      </c>
      <c r="H211" s="8" t="s">
        <v>1053</v>
      </c>
      <c r="I211" s="8" t="s">
        <v>109</v>
      </c>
      <c r="J211" s="8" t="s">
        <v>110</v>
      </c>
      <c r="K211" s="8" t="s">
        <v>50</v>
      </c>
      <c r="L211" s="8" t="s">
        <v>51</v>
      </c>
      <c r="M211" s="8">
        <v>8</v>
      </c>
      <c r="N211" s="8">
        <v>12000</v>
      </c>
      <c r="O211" s="8">
        <v>15</v>
      </c>
      <c r="P211" s="8">
        <v>81600</v>
      </c>
      <c r="Q211" s="8">
        <v>4</v>
      </c>
      <c r="R211" s="8" t="s">
        <v>83</v>
      </c>
      <c r="S211" s="8" t="s">
        <v>53</v>
      </c>
      <c r="T211" s="8" t="s">
        <v>260</v>
      </c>
      <c r="U211" s="9" t="s">
        <v>1054</v>
      </c>
      <c r="V211" s="8" t="s">
        <v>42</v>
      </c>
    </row>
    <row r="212" spans="1:22">
      <c r="A212" s="3" t="s">
        <v>1055</v>
      </c>
      <c r="B212" s="4" t="s">
        <v>331</v>
      </c>
      <c r="C212" s="4" t="s">
        <v>96</v>
      </c>
      <c r="D212" s="4" t="s">
        <v>792</v>
      </c>
      <c r="E212" s="4" t="s">
        <v>1056</v>
      </c>
      <c r="F212" s="4" t="s">
        <v>398</v>
      </c>
      <c r="G212" s="4" t="s">
        <v>80</v>
      </c>
      <c r="H212" s="4" t="s">
        <v>1057</v>
      </c>
      <c r="I212" s="4" t="s">
        <v>109</v>
      </c>
      <c r="J212" s="4" t="s">
        <v>110</v>
      </c>
      <c r="K212" s="4" t="s">
        <v>36</v>
      </c>
      <c r="L212" s="4" t="s">
        <v>101</v>
      </c>
      <c r="M212" s="4">
        <v>19</v>
      </c>
      <c r="N212" s="4">
        <v>3500</v>
      </c>
      <c r="O212" s="4">
        <v>5</v>
      </c>
      <c r="P212" s="4">
        <v>63175</v>
      </c>
      <c r="Q212" s="4">
        <v>3</v>
      </c>
      <c r="R212" s="4" t="s">
        <v>83</v>
      </c>
      <c r="S212" s="4" t="s">
        <v>65</v>
      </c>
      <c r="T212" s="4" t="s">
        <v>336</v>
      </c>
      <c r="U212" s="6" t="s">
        <v>1058</v>
      </c>
      <c r="V212" s="4" t="s">
        <v>68</v>
      </c>
    </row>
    <row r="213" spans="1:22">
      <c r="A213" s="7" t="s">
        <v>1059</v>
      </c>
      <c r="B213" s="8" t="s">
        <v>255</v>
      </c>
      <c r="C213" s="8" t="s">
        <v>263</v>
      </c>
      <c r="D213" s="8" t="s">
        <v>904</v>
      </c>
      <c r="E213" s="8" t="s">
        <v>991</v>
      </c>
      <c r="F213" s="8" t="s">
        <v>258</v>
      </c>
      <c r="G213" s="8" t="s">
        <v>32</v>
      </c>
      <c r="H213" s="8" t="s">
        <v>1060</v>
      </c>
      <c r="I213" s="8" t="s">
        <v>142</v>
      </c>
      <c r="J213" s="8" t="s">
        <v>110</v>
      </c>
      <c r="K213" s="8" t="s">
        <v>126</v>
      </c>
      <c r="L213" s="8" t="s">
        <v>267</v>
      </c>
      <c r="M213" s="8">
        <v>7</v>
      </c>
      <c r="N213" s="8">
        <v>45</v>
      </c>
      <c r="O213" s="8">
        <v>5</v>
      </c>
      <c r="P213" s="8">
        <v>299.25</v>
      </c>
      <c r="Q213" s="8">
        <v>3</v>
      </c>
      <c r="R213" s="8" t="s">
        <v>83</v>
      </c>
      <c r="S213" s="8" t="s">
        <v>39</v>
      </c>
      <c r="T213" s="8" t="s">
        <v>260</v>
      </c>
      <c r="U213" s="9" t="s">
        <v>1061</v>
      </c>
      <c r="V213" s="8" t="s">
        <v>73</v>
      </c>
    </row>
    <row r="214" spans="1:22">
      <c r="A214" s="3" t="s">
        <v>1062</v>
      </c>
      <c r="B214" s="4" t="s">
        <v>27</v>
      </c>
      <c r="C214" s="4" t="s">
        <v>122</v>
      </c>
      <c r="D214" s="4" t="s">
        <v>688</v>
      </c>
      <c r="E214" s="4" t="s">
        <v>754</v>
      </c>
      <c r="F214" s="4" t="s">
        <v>31</v>
      </c>
      <c r="G214" s="4" t="s">
        <v>32</v>
      </c>
      <c r="H214" s="4" t="s">
        <v>335</v>
      </c>
      <c r="I214" s="4" t="s">
        <v>34</v>
      </c>
      <c r="J214" s="4" t="s">
        <v>35</v>
      </c>
      <c r="K214" s="4" t="s">
        <v>126</v>
      </c>
      <c r="L214" s="4" t="s">
        <v>127</v>
      </c>
      <c r="M214" s="4">
        <v>3</v>
      </c>
      <c r="N214" s="4">
        <v>60</v>
      </c>
      <c r="O214" s="4">
        <v>15</v>
      </c>
      <c r="P214" s="4">
        <v>153</v>
      </c>
      <c r="Q214" s="4">
        <v>3</v>
      </c>
      <c r="R214" s="4" t="s">
        <v>52</v>
      </c>
      <c r="S214" s="4" t="s">
        <v>53</v>
      </c>
      <c r="T214" s="4" t="s">
        <v>54</v>
      </c>
      <c r="U214" s="6" t="s">
        <v>1063</v>
      </c>
      <c r="V214" s="4" t="s">
        <v>73</v>
      </c>
    </row>
    <row r="215" spans="1:22">
      <c r="A215" s="7" t="s">
        <v>1064</v>
      </c>
      <c r="B215" s="8" t="s">
        <v>57</v>
      </c>
      <c r="C215" s="8" t="s">
        <v>263</v>
      </c>
      <c r="D215" s="8" t="s">
        <v>1065</v>
      </c>
      <c r="E215" s="8" t="s">
        <v>586</v>
      </c>
      <c r="F215" s="8" t="s">
        <v>167</v>
      </c>
      <c r="G215" s="8" t="s">
        <v>32</v>
      </c>
      <c r="H215" s="8" t="s">
        <v>1066</v>
      </c>
      <c r="I215" s="8" t="s">
        <v>118</v>
      </c>
      <c r="J215" s="8" t="s">
        <v>110</v>
      </c>
      <c r="K215" s="8" t="s">
        <v>126</v>
      </c>
      <c r="L215" s="8" t="s">
        <v>267</v>
      </c>
      <c r="M215" s="8">
        <v>19</v>
      </c>
      <c r="N215" s="8">
        <v>45</v>
      </c>
      <c r="O215" s="8">
        <v>0</v>
      </c>
      <c r="P215" s="8">
        <v>855</v>
      </c>
      <c r="Q215" s="8">
        <v>2</v>
      </c>
      <c r="R215" s="8" t="s">
        <v>38</v>
      </c>
      <c r="S215" s="8" t="s">
        <v>65</v>
      </c>
      <c r="T215" s="8" t="s">
        <v>66</v>
      </c>
      <c r="U215" s="9" t="s">
        <v>1067</v>
      </c>
      <c r="V215" s="8" t="s">
        <v>42</v>
      </c>
    </row>
    <row r="216" spans="1:22">
      <c r="A216" s="3" t="s">
        <v>1068</v>
      </c>
      <c r="B216" s="4" t="s">
        <v>104</v>
      </c>
      <c r="C216" s="4" t="s">
        <v>44</v>
      </c>
      <c r="D216" s="4" t="s">
        <v>1069</v>
      </c>
      <c r="E216" s="4" t="s">
        <v>547</v>
      </c>
      <c r="F216" s="4" t="s">
        <v>107</v>
      </c>
      <c r="G216" s="4" t="s">
        <v>32</v>
      </c>
      <c r="H216" s="4" t="s">
        <v>1070</v>
      </c>
      <c r="I216" s="4" t="s">
        <v>63</v>
      </c>
      <c r="J216" s="4" t="s">
        <v>35</v>
      </c>
      <c r="K216" s="4" t="s">
        <v>50</v>
      </c>
      <c r="L216" s="4" t="s">
        <v>51</v>
      </c>
      <c r="M216" s="4">
        <v>10</v>
      </c>
      <c r="N216" s="4">
        <v>12000</v>
      </c>
      <c r="O216" s="4">
        <v>5</v>
      </c>
      <c r="P216" s="4">
        <v>114000</v>
      </c>
      <c r="Q216" s="4">
        <v>1</v>
      </c>
      <c r="R216" s="4" t="s">
        <v>83</v>
      </c>
      <c r="S216" s="4" t="s">
        <v>119</v>
      </c>
      <c r="T216" s="4" t="s">
        <v>148</v>
      </c>
      <c r="U216" s="6" t="s">
        <v>1071</v>
      </c>
      <c r="V216" s="4" t="s">
        <v>73</v>
      </c>
    </row>
    <row r="217" spans="1:22">
      <c r="A217" s="7" t="s">
        <v>1072</v>
      </c>
      <c r="B217" s="8" t="s">
        <v>27</v>
      </c>
      <c r="C217" s="8" t="s">
        <v>76</v>
      </c>
      <c r="D217" s="8" t="s">
        <v>1073</v>
      </c>
      <c r="E217" s="8" t="s">
        <v>1035</v>
      </c>
      <c r="F217" s="8" t="s">
        <v>31</v>
      </c>
      <c r="G217" s="8" t="s">
        <v>32</v>
      </c>
      <c r="H217" s="8" t="s">
        <v>1074</v>
      </c>
      <c r="I217" s="8" t="s">
        <v>298</v>
      </c>
      <c r="J217" s="8" t="s">
        <v>299</v>
      </c>
      <c r="K217" s="8" t="s">
        <v>50</v>
      </c>
      <c r="L217" s="8" t="s">
        <v>82</v>
      </c>
      <c r="M217" s="8">
        <v>4</v>
      </c>
      <c r="N217" s="8">
        <v>1200</v>
      </c>
      <c r="O217" s="8">
        <v>0</v>
      </c>
      <c r="P217" s="8">
        <v>4800</v>
      </c>
      <c r="Q217" s="8">
        <v>4</v>
      </c>
      <c r="R217" s="8" t="s">
        <v>38</v>
      </c>
      <c r="S217" s="8" t="s">
        <v>65</v>
      </c>
      <c r="T217" s="8" t="s">
        <v>54</v>
      </c>
      <c r="U217" s="9" t="s">
        <v>1075</v>
      </c>
      <c r="V217" s="8" t="s">
        <v>42</v>
      </c>
    </row>
    <row r="218" spans="1:22">
      <c r="A218" s="3" t="s">
        <v>1076</v>
      </c>
      <c r="B218" s="4" t="s">
        <v>225</v>
      </c>
      <c r="C218" s="4" t="s">
        <v>173</v>
      </c>
      <c r="D218" s="4" t="s">
        <v>535</v>
      </c>
      <c r="E218" s="4" t="s">
        <v>1077</v>
      </c>
      <c r="F218" s="4" t="s">
        <v>229</v>
      </c>
      <c r="G218" s="4" t="s">
        <v>80</v>
      </c>
      <c r="H218" s="4" t="s">
        <v>1078</v>
      </c>
      <c r="I218" s="4" t="s">
        <v>63</v>
      </c>
      <c r="J218" s="4" t="s">
        <v>35</v>
      </c>
      <c r="K218" s="4" t="s">
        <v>36</v>
      </c>
      <c r="L218" s="4" t="s">
        <v>178</v>
      </c>
      <c r="M218" s="4">
        <v>2</v>
      </c>
      <c r="N218" s="4">
        <v>8500</v>
      </c>
      <c r="O218" s="4">
        <v>20</v>
      </c>
      <c r="P218" s="4">
        <v>13600</v>
      </c>
      <c r="Q218" s="4">
        <v>3</v>
      </c>
      <c r="R218" s="4" t="s">
        <v>83</v>
      </c>
      <c r="S218" s="4" t="s">
        <v>155</v>
      </c>
      <c r="T218" s="4" t="s">
        <v>232</v>
      </c>
      <c r="U218" s="6" t="s">
        <v>1079</v>
      </c>
      <c r="V218" s="4" t="s">
        <v>42</v>
      </c>
    </row>
    <row r="219" spans="1:22">
      <c r="A219" s="7" t="s">
        <v>1080</v>
      </c>
      <c r="B219" s="8" t="s">
        <v>87</v>
      </c>
      <c r="C219" s="8" t="s">
        <v>188</v>
      </c>
      <c r="D219" s="8" t="s">
        <v>1081</v>
      </c>
      <c r="E219" s="8" t="s">
        <v>326</v>
      </c>
      <c r="F219" s="8" t="s">
        <v>184</v>
      </c>
      <c r="G219" s="8" t="s">
        <v>80</v>
      </c>
      <c r="H219" s="8" t="s">
        <v>1082</v>
      </c>
      <c r="I219" s="8" t="s">
        <v>298</v>
      </c>
      <c r="J219" s="8" t="s">
        <v>299</v>
      </c>
      <c r="K219" s="8" t="s">
        <v>50</v>
      </c>
      <c r="L219" s="8" t="s">
        <v>193</v>
      </c>
      <c r="M219" s="8">
        <v>7</v>
      </c>
      <c r="N219" s="8">
        <v>700</v>
      </c>
      <c r="O219" s="8">
        <v>20</v>
      </c>
      <c r="P219" s="8">
        <v>3920</v>
      </c>
      <c r="Q219" s="8">
        <v>2</v>
      </c>
      <c r="R219" s="8" t="s">
        <v>83</v>
      </c>
      <c r="S219" s="8" t="s">
        <v>155</v>
      </c>
      <c r="T219" s="8" t="s">
        <v>93</v>
      </c>
      <c r="U219" s="9" t="s">
        <v>1083</v>
      </c>
      <c r="V219" s="8" t="s">
        <v>68</v>
      </c>
    </row>
    <row r="220" spans="1:22">
      <c r="A220" s="3" t="s">
        <v>1084</v>
      </c>
      <c r="B220" s="4" t="s">
        <v>57</v>
      </c>
      <c r="C220" s="4" t="s">
        <v>226</v>
      </c>
      <c r="D220" s="4" t="s">
        <v>1085</v>
      </c>
      <c r="E220" s="4" t="s">
        <v>522</v>
      </c>
      <c r="F220" s="4" t="s">
        <v>167</v>
      </c>
      <c r="G220" s="4" t="s">
        <v>32</v>
      </c>
      <c r="H220" s="4" t="s">
        <v>1086</v>
      </c>
      <c r="I220" s="4" t="s">
        <v>118</v>
      </c>
      <c r="J220" s="4" t="s">
        <v>110</v>
      </c>
      <c r="K220" s="4" t="s">
        <v>126</v>
      </c>
      <c r="L220" s="4" t="s">
        <v>231</v>
      </c>
      <c r="M220" s="4">
        <v>9</v>
      </c>
      <c r="N220" s="4">
        <v>20</v>
      </c>
      <c r="O220" s="4">
        <v>15</v>
      </c>
      <c r="P220" s="4">
        <v>153</v>
      </c>
      <c r="Q220" s="4">
        <v>3</v>
      </c>
      <c r="R220" s="4" t="s">
        <v>52</v>
      </c>
      <c r="S220" s="4" t="s">
        <v>119</v>
      </c>
      <c r="T220" s="4" t="s">
        <v>66</v>
      </c>
      <c r="U220" s="6" t="s">
        <v>1087</v>
      </c>
      <c r="V220" s="4" t="s">
        <v>42</v>
      </c>
    </row>
    <row r="221" spans="1:22">
      <c r="A221" s="7" t="s">
        <v>1088</v>
      </c>
      <c r="B221" s="8" t="s">
        <v>104</v>
      </c>
      <c r="C221" s="8" t="s">
        <v>173</v>
      </c>
      <c r="D221" s="8" t="s">
        <v>1089</v>
      </c>
      <c r="E221" s="8" t="s">
        <v>1090</v>
      </c>
      <c r="F221" s="8" t="s">
        <v>107</v>
      </c>
      <c r="G221" s="8" t="s">
        <v>32</v>
      </c>
      <c r="H221" s="8" t="s">
        <v>1091</v>
      </c>
      <c r="I221" s="8" t="s">
        <v>298</v>
      </c>
      <c r="J221" s="8" t="s">
        <v>299</v>
      </c>
      <c r="K221" s="8" t="s">
        <v>36</v>
      </c>
      <c r="L221" s="8" t="s">
        <v>178</v>
      </c>
      <c r="M221" s="8">
        <v>16</v>
      </c>
      <c r="N221" s="8">
        <v>8500</v>
      </c>
      <c r="O221" s="8">
        <v>0</v>
      </c>
      <c r="P221" s="8">
        <v>136000</v>
      </c>
      <c r="Q221" s="8">
        <v>4</v>
      </c>
      <c r="R221" s="8" t="s">
        <v>52</v>
      </c>
      <c r="S221" s="8" t="s">
        <v>39</v>
      </c>
      <c r="T221" s="8" t="s">
        <v>148</v>
      </c>
      <c r="U221" s="9" t="s">
        <v>1092</v>
      </c>
      <c r="V221" s="8" t="s">
        <v>42</v>
      </c>
    </row>
    <row r="222" spans="1:22">
      <c r="A222" s="3" t="s">
        <v>1093</v>
      </c>
      <c r="B222" s="4" t="s">
        <v>255</v>
      </c>
      <c r="C222" s="4" t="s">
        <v>96</v>
      </c>
      <c r="D222" s="4" t="s">
        <v>548</v>
      </c>
      <c r="E222" s="4" t="s">
        <v>1094</v>
      </c>
      <c r="F222" s="4" t="s">
        <v>258</v>
      </c>
      <c r="G222" s="4" t="s">
        <v>32</v>
      </c>
      <c r="H222" s="4" t="s">
        <v>1095</v>
      </c>
      <c r="I222" s="4" t="s">
        <v>48</v>
      </c>
      <c r="J222" s="4" t="s">
        <v>49</v>
      </c>
      <c r="K222" s="4" t="s">
        <v>36</v>
      </c>
      <c r="L222" s="4" t="s">
        <v>101</v>
      </c>
      <c r="M222" s="4">
        <v>10</v>
      </c>
      <c r="N222" s="4">
        <v>3500</v>
      </c>
      <c r="O222" s="4">
        <v>5</v>
      </c>
      <c r="P222" s="4">
        <v>33250</v>
      </c>
      <c r="Q222" s="4">
        <v>3</v>
      </c>
      <c r="R222" s="4" t="s">
        <v>52</v>
      </c>
      <c r="S222" s="4" t="s">
        <v>119</v>
      </c>
      <c r="T222" s="4" t="s">
        <v>260</v>
      </c>
      <c r="U222" s="6" t="s">
        <v>1096</v>
      </c>
      <c r="V222" s="4" t="s">
        <v>42</v>
      </c>
    </row>
    <row r="223" spans="1:22">
      <c r="A223" s="7" t="s">
        <v>1097</v>
      </c>
      <c r="B223" s="8" t="s">
        <v>57</v>
      </c>
      <c r="C223" s="8" t="s">
        <v>44</v>
      </c>
      <c r="D223" s="8" t="s">
        <v>1098</v>
      </c>
      <c r="E223" s="8" t="s">
        <v>592</v>
      </c>
      <c r="F223" s="8" t="s">
        <v>167</v>
      </c>
      <c r="G223" s="8" t="s">
        <v>32</v>
      </c>
      <c r="H223" s="8" t="s">
        <v>1099</v>
      </c>
      <c r="I223" s="8" t="s">
        <v>298</v>
      </c>
      <c r="J223" s="8" t="s">
        <v>299</v>
      </c>
      <c r="K223" s="8" t="s">
        <v>50</v>
      </c>
      <c r="L223" s="8" t="s">
        <v>51</v>
      </c>
      <c r="M223" s="8">
        <v>1</v>
      </c>
      <c r="N223" s="8">
        <v>12000</v>
      </c>
      <c r="O223" s="8">
        <v>0</v>
      </c>
      <c r="P223" s="8">
        <v>12000</v>
      </c>
      <c r="Q223" s="8">
        <v>5</v>
      </c>
      <c r="R223" s="8" t="s">
        <v>92</v>
      </c>
      <c r="S223" s="8" t="s">
        <v>119</v>
      </c>
      <c r="T223" s="8" t="s">
        <v>66</v>
      </c>
      <c r="U223" s="9" t="s">
        <v>1100</v>
      </c>
      <c r="V223" s="8" t="s">
        <v>68</v>
      </c>
    </row>
    <row r="224" spans="1:22">
      <c r="A224" s="3" t="s">
        <v>1101</v>
      </c>
      <c r="B224" s="4" t="s">
        <v>331</v>
      </c>
      <c r="C224" s="4" t="s">
        <v>263</v>
      </c>
      <c r="D224" s="4" t="s">
        <v>1102</v>
      </c>
      <c r="E224" s="4" t="s">
        <v>605</v>
      </c>
      <c r="F224" s="4" t="s">
        <v>398</v>
      </c>
      <c r="G224" s="4" t="s">
        <v>80</v>
      </c>
      <c r="H224" s="4" t="s">
        <v>1103</v>
      </c>
      <c r="I224" s="4" t="s">
        <v>298</v>
      </c>
      <c r="J224" s="4" t="s">
        <v>299</v>
      </c>
      <c r="K224" s="4" t="s">
        <v>126</v>
      </c>
      <c r="L224" s="4" t="s">
        <v>267</v>
      </c>
      <c r="M224" s="4">
        <v>19</v>
      </c>
      <c r="N224" s="4">
        <v>45</v>
      </c>
      <c r="O224" s="4">
        <v>15</v>
      </c>
      <c r="P224" s="4">
        <v>726.75</v>
      </c>
      <c r="Q224" s="4">
        <v>2</v>
      </c>
      <c r="R224" s="4" t="s">
        <v>92</v>
      </c>
      <c r="S224" s="4" t="s">
        <v>155</v>
      </c>
      <c r="T224" s="4" t="s">
        <v>336</v>
      </c>
      <c r="U224" s="6" t="s">
        <v>1104</v>
      </c>
      <c r="V224" s="4" t="s">
        <v>68</v>
      </c>
    </row>
    <row r="225" spans="1:22">
      <c r="A225" s="7" t="s">
        <v>1105</v>
      </c>
      <c r="B225" s="8" t="s">
        <v>27</v>
      </c>
      <c r="C225" s="8" t="s">
        <v>58</v>
      </c>
      <c r="D225" s="8" t="s">
        <v>535</v>
      </c>
      <c r="E225" s="8" t="s">
        <v>1106</v>
      </c>
      <c r="F225" s="8" t="s">
        <v>31</v>
      </c>
      <c r="G225" s="8" t="s">
        <v>32</v>
      </c>
      <c r="H225" s="8" t="s">
        <v>1107</v>
      </c>
      <c r="I225" s="8" t="s">
        <v>48</v>
      </c>
      <c r="J225" s="8" t="s">
        <v>49</v>
      </c>
      <c r="K225" s="8" t="s">
        <v>50</v>
      </c>
      <c r="L225" s="8" t="s">
        <v>64</v>
      </c>
      <c r="M225" s="8">
        <v>13</v>
      </c>
      <c r="N225" s="8">
        <v>55000</v>
      </c>
      <c r="O225" s="8">
        <v>5</v>
      </c>
      <c r="P225" s="8">
        <v>679250</v>
      </c>
      <c r="Q225" s="8">
        <v>4</v>
      </c>
      <c r="R225" s="8" t="s">
        <v>83</v>
      </c>
      <c r="S225" s="8" t="s">
        <v>53</v>
      </c>
      <c r="T225" s="8" t="s">
        <v>54</v>
      </c>
      <c r="U225" s="9" t="s">
        <v>1108</v>
      </c>
      <c r="V225" s="8" t="s">
        <v>73</v>
      </c>
    </row>
    <row r="226" spans="1:22">
      <c r="A226" s="3" t="s">
        <v>1109</v>
      </c>
      <c r="B226" s="4" t="s">
        <v>87</v>
      </c>
      <c r="C226" s="4" t="s">
        <v>263</v>
      </c>
      <c r="D226" s="4" t="s">
        <v>1110</v>
      </c>
      <c r="E226" s="4" t="s">
        <v>159</v>
      </c>
      <c r="F226" s="4" t="s">
        <v>184</v>
      </c>
      <c r="G226" s="4" t="s">
        <v>80</v>
      </c>
      <c r="H226" s="4" t="s">
        <v>1111</v>
      </c>
      <c r="I226" s="4" t="s">
        <v>109</v>
      </c>
      <c r="J226" s="4" t="s">
        <v>110</v>
      </c>
      <c r="K226" s="4" t="s">
        <v>126</v>
      </c>
      <c r="L226" s="4" t="s">
        <v>267</v>
      </c>
      <c r="M226" s="4">
        <v>2</v>
      </c>
      <c r="N226" s="4">
        <v>45</v>
      </c>
      <c r="O226" s="4">
        <v>15</v>
      </c>
      <c r="P226" s="4">
        <v>76.5</v>
      </c>
      <c r="Q226" s="4">
        <v>1</v>
      </c>
      <c r="R226" s="4" t="s">
        <v>52</v>
      </c>
      <c r="S226" s="4" t="s">
        <v>119</v>
      </c>
      <c r="T226" s="4" t="s">
        <v>93</v>
      </c>
      <c r="U226" s="6" t="s">
        <v>1112</v>
      </c>
      <c r="V226" s="4" t="s">
        <v>42</v>
      </c>
    </row>
    <row r="227" spans="1:22">
      <c r="A227" s="7" t="s">
        <v>1113</v>
      </c>
      <c r="B227" s="8" t="s">
        <v>104</v>
      </c>
      <c r="C227" s="8" t="s">
        <v>226</v>
      </c>
      <c r="D227" s="8" t="s">
        <v>307</v>
      </c>
      <c r="E227" s="8" t="s">
        <v>1114</v>
      </c>
      <c r="F227" s="8" t="s">
        <v>107</v>
      </c>
      <c r="G227" s="8" t="s">
        <v>32</v>
      </c>
      <c r="H227" s="8" t="s">
        <v>1115</v>
      </c>
      <c r="I227" s="8" t="s">
        <v>34</v>
      </c>
      <c r="J227" s="8" t="s">
        <v>35</v>
      </c>
      <c r="K227" s="8" t="s">
        <v>126</v>
      </c>
      <c r="L227" s="8" t="s">
        <v>231</v>
      </c>
      <c r="M227" s="8">
        <v>8</v>
      </c>
      <c r="N227" s="8">
        <v>20</v>
      </c>
      <c r="O227" s="8">
        <v>15</v>
      </c>
      <c r="P227" s="8">
        <v>136</v>
      </c>
      <c r="Q227" s="8">
        <v>1</v>
      </c>
      <c r="R227" s="8" t="s">
        <v>83</v>
      </c>
      <c r="S227" s="8" t="s">
        <v>39</v>
      </c>
      <c r="T227" s="8" t="s">
        <v>148</v>
      </c>
      <c r="U227" s="9" t="s">
        <v>1116</v>
      </c>
      <c r="V227" s="8" t="s">
        <v>68</v>
      </c>
    </row>
    <row r="228" spans="1:22">
      <c r="A228" s="3" t="s">
        <v>1117</v>
      </c>
      <c r="B228" s="4" t="s">
        <v>172</v>
      </c>
      <c r="C228" s="4" t="s">
        <v>44</v>
      </c>
      <c r="D228" s="4" t="s">
        <v>1118</v>
      </c>
      <c r="E228" s="4" t="s">
        <v>1119</v>
      </c>
      <c r="F228" s="4" t="s">
        <v>365</v>
      </c>
      <c r="G228" s="4" t="s">
        <v>32</v>
      </c>
      <c r="H228" s="4" t="s">
        <v>1120</v>
      </c>
      <c r="I228" s="4" t="s">
        <v>34</v>
      </c>
      <c r="J228" s="4" t="s">
        <v>35</v>
      </c>
      <c r="K228" s="4" t="s">
        <v>50</v>
      </c>
      <c r="L228" s="4" t="s">
        <v>51</v>
      </c>
      <c r="M228" s="4">
        <v>9</v>
      </c>
      <c r="N228" s="4">
        <v>12000</v>
      </c>
      <c r="O228" s="4">
        <v>5</v>
      </c>
      <c r="P228" s="4">
        <v>102600</v>
      </c>
      <c r="Q228" s="4">
        <v>2</v>
      </c>
      <c r="R228" s="4" t="s">
        <v>83</v>
      </c>
      <c r="S228" s="4" t="s">
        <v>39</v>
      </c>
      <c r="T228" s="4" t="s">
        <v>179</v>
      </c>
      <c r="U228" s="6" t="s">
        <v>1121</v>
      </c>
      <c r="V228" s="4" t="s">
        <v>73</v>
      </c>
    </row>
    <row r="229" spans="1:22">
      <c r="A229" s="7" t="s">
        <v>1122</v>
      </c>
      <c r="B229" s="8" t="s">
        <v>75</v>
      </c>
      <c r="C229" s="8" t="s">
        <v>96</v>
      </c>
      <c r="D229" s="8" t="s">
        <v>1123</v>
      </c>
      <c r="E229" s="8" t="s">
        <v>1124</v>
      </c>
      <c r="F229" s="8" t="s">
        <v>221</v>
      </c>
      <c r="G229" s="8" t="s">
        <v>80</v>
      </c>
      <c r="H229" s="8" t="s">
        <v>1125</v>
      </c>
      <c r="I229" s="8" t="s">
        <v>298</v>
      </c>
      <c r="J229" s="8" t="s">
        <v>299</v>
      </c>
      <c r="K229" s="8" t="s">
        <v>36</v>
      </c>
      <c r="L229" s="8" t="s">
        <v>101</v>
      </c>
      <c r="M229" s="8">
        <v>3</v>
      </c>
      <c r="N229" s="8">
        <v>3500</v>
      </c>
      <c r="O229" s="8">
        <v>15</v>
      </c>
      <c r="P229" s="8">
        <v>8925</v>
      </c>
      <c r="Q229" s="8">
        <v>1</v>
      </c>
      <c r="R229" s="8" t="s">
        <v>38</v>
      </c>
      <c r="S229" s="8" t="s">
        <v>53</v>
      </c>
      <c r="T229" s="8" t="s">
        <v>84</v>
      </c>
      <c r="U229" s="9" t="s">
        <v>1126</v>
      </c>
      <c r="V229" s="8" t="s">
        <v>73</v>
      </c>
    </row>
    <row r="230" spans="1:22">
      <c r="A230" s="3" t="s">
        <v>1127</v>
      </c>
      <c r="B230" s="4" t="s">
        <v>104</v>
      </c>
      <c r="C230" s="4" t="s">
        <v>188</v>
      </c>
      <c r="D230" s="4" t="s">
        <v>1090</v>
      </c>
      <c r="E230" s="4" t="s">
        <v>1128</v>
      </c>
      <c r="F230" s="4" t="s">
        <v>107</v>
      </c>
      <c r="G230" s="4" t="s">
        <v>32</v>
      </c>
      <c r="H230" s="4" t="s">
        <v>1129</v>
      </c>
      <c r="I230" s="4" t="s">
        <v>34</v>
      </c>
      <c r="J230" s="4" t="s">
        <v>35</v>
      </c>
      <c r="K230" s="4" t="s">
        <v>50</v>
      </c>
      <c r="L230" s="4" t="s">
        <v>193</v>
      </c>
      <c r="M230" s="4">
        <v>18</v>
      </c>
      <c r="N230" s="4">
        <v>700</v>
      </c>
      <c r="O230" s="4">
        <v>20</v>
      </c>
      <c r="P230" s="4">
        <v>10080</v>
      </c>
      <c r="Q230" s="4">
        <v>1</v>
      </c>
      <c r="R230" s="4" t="s">
        <v>83</v>
      </c>
      <c r="S230" s="4" t="s">
        <v>155</v>
      </c>
      <c r="T230" s="4" t="s">
        <v>148</v>
      </c>
      <c r="U230" s="6" t="s">
        <v>1130</v>
      </c>
      <c r="V230" s="4" t="s">
        <v>42</v>
      </c>
    </row>
    <row r="231" spans="1:22">
      <c r="A231" s="7" t="s">
        <v>1131</v>
      </c>
      <c r="B231" s="8" t="s">
        <v>75</v>
      </c>
      <c r="C231" s="8" t="s">
        <v>96</v>
      </c>
      <c r="D231" s="8" t="s">
        <v>1132</v>
      </c>
      <c r="E231" s="8" t="s">
        <v>114</v>
      </c>
      <c r="F231" s="8" t="s">
        <v>221</v>
      </c>
      <c r="G231" s="8" t="s">
        <v>80</v>
      </c>
      <c r="H231" s="8" t="s">
        <v>1133</v>
      </c>
      <c r="I231" s="8" t="s">
        <v>118</v>
      </c>
      <c r="J231" s="8" t="s">
        <v>110</v>
      </c>
      <c r="K231" s="8" t="s">
        <v>36</v>
      </c>
      <c r="L231" s="8" t="s">
        <v>101</v>
      </c>
      <c r="M231" s="8">
        <v>14</v>
      </c>
      <c r="N231" s="8">
        <v>3500</v>
      </c>
      <c r="O231" s="8">
        <v>5</v>
      </c>
      <c r="P231" s="8">
        <v>46550</v>
      </c>
      <c r="Q231" s="8">
        <v>1</v>
      </c>
      <c r="R231" s="8" t="s">
        <v>38</v>
      </c>
      <c r="S231" s="8" t="s">
        <v>65</v>
      </c>
      <c r="T231" s="8" t="s">
        <v>84</v>
      </c>
      <c r="U231" s="9" t="s">
        <v>1134</v>
      </c>
      <c r="V231" s="8" t="s">
        <v>42</v>
      </c>
    </row>
    <row r="232" spans="1:22">
      <c r="A232" s="3" t="s">
        <v>1135</v>
      </c>
      <c r="B232" s="4" t="s">
        <v>104</v>
      </c>
      <c r="C232" s="4" t="s">
        <v>188</v>
      </c>
      <c r="D232" s="4" t="s">
        <v>688</v>
      </c>
      <c r="E232" s="4" t="s">
        <v>322</v>
      </c>
      <c r="F232" s="4" t="s">
        <v>107</v>
      </c>
      <c r="G232" s="4" t="s">
        <v>32</v>
      </c>
      <c r="H232" s="4" t="s">
        <v>1136</v>
      </c>
      <c r="I232" s="4" t="s">
        <v>298</v>
      </c>
      <c r="J232" s="4" t="s">
        <v>299</v>
      </c>
      <c r="K232" s="4" t="s">
        <v>50</v>
      </c>
      <c r="L232" s="4" t="s">
        <v>193</v>
      </c>
      <c r="M232" s="4">
        <v>6</v>
      </c>
      <c r="N232" s="4">
        <v>700</v>
      </c>
      <c r="O232" s="4">
        <v>5</v>
      </c>
      <c r="P232" s="4">
        <v>3990</v>
      </c>
      <c r="Q232" s="4">
        <v>5</v>
      </c>
      <c r="R232" s="4" t="s">
        <v>38</v>
      </c>
      <c r="S232" s="4" t="s">
        <v>39</v>
      </c>
      <c r="T232" s="4" t="s">
        <v>148</v>
      </c>
      <c r="U232" s="6" t="s">
        <v>1137</v>
      </c>
      <c r="V232" s="4" t="s">
        <v>42</v>
      </c>
    </row>
    <row r="233" spans="1:22">
      <c r="A233" s="7" t="s">
        <v>1138</v>
      </c>
      <c r="B233" s="8" t="s">
        <v>104</v>
      </c>
      <c r="C233" s="8" t="s">
        <v>96</v>
      </c>
      <c r="D233" s="8" t="s">
        <v>683</v>
      </c>
      <c r="E233" s="8" t="s">
        <v>876</v>
      </c>
      <c r="F233" s="8" t="s">
        <v>107</v>
      </c>
      <c r="G233" s="8" t="s">
        <v>32</v>
      </c>
      <c r="H233" s="8" t="s">
        <v>1139</v>
      </c>
      <c r="I233" s="8" t="s">
        <v>109</v>
      </c>
      <c r="J233" s="8" t="s">
        <v>110</v>
      </c>
      <c r="K233" s="8" t="s">
        <v>36</v>
      </c>
      <c r="L233" s="8" t="s">
        <v>101</v>
      </c>
      <c r="M233" s="8">
        <v>17</v>
      </c>
      <c r="N233" s="8">
        <v>3500</v>
      </c>
      <c r="O233" s="8">
        <v>15</v>
      </c>
      <c r="P233" s="8">
        <v>50575</v>
      </c>
      <c r="Q233" s="8">
        <v>3</v>
      </c>
      <c r="R233" s="8" t="s">
        <v>52</v>
      </c>
      <c r="S233" s="8" t="s">
        <v>53</v>
      </c>
      <c r="T233" s="8" t="s">
        <v>148</v>
      </c>
      <c r="U233" s="9" t="s">
        <v>1140</v>
      </c>
      <c r="V233" s="8" t="s">
        <v>68</v>
      </c>
    </row>
    <row r="234" spans="1:22">
      <c r="A234" s="3" t="s">
        <v>1141</v>
      </c>
      <c r="B234" s="4" t="s">
        <v>255</v>
      </c>
      <c r="C234" s="4" t="s">
        <v>226</v>
      </c>
      <c r="D234" s="4" t="s">
        <v>257</v>
      </c>
      <c r="E234" s="4" t="s">
        <v>1132</v>
      </c>
      <c r="F234" s="4" t="s">
        <v>258</v>
      </c>
      <c r="G234" s="4" t="s">
        <v>32</v>
      </c>
      <c r="H234" s="4" t="s">
        <v>1142</v>
      </c>
      <c r="I234" s="4" t="s">
        <v>298</v>
      </c>
      <c r="J234" s="4" t="s">
        <v>299</v>
      </c>
      <c r="K234" s="4" t="s">
        <v>126</v>
      </c>
      <c r="L234" s="4" t="s">
        <v>231</v>
      </c>
      <c r="M234" s="4">
        <v>7</v>
      </c>
      <c r="N234" s="4">
        <v>20</v>
      </c>
      <c r="O234" s="4">
        <v>5</v>
      </c>
      <c r="P234" s="4">
        <v>133</v>
      </c>
      <c r="Q234" s="4">
        <v>2</v>
      </c>
      <c r="R234" s="4" t="s">
        <v>92</v>
      </c>
      <c r="S234" s="4" t="s">
        <v>155</v>
      </c>
      <c r="T234" s="4" t="s">
        <v>260</v>
      </c>
      <c r="U234" s="6" t="s">
        <v>1143</v>
      </c>
      <c r="V234" s="4" t="s">
        <v>42</v>
      </c>
    </row>
    <row r="235" spans="1:22">
      <c r="A235" s="7" t="s">
        <v>1144</v>
      </c>
      <c r="B235" s="8" t="s">
        <v>27</v>
      </c>
      <c r="C235" s="8" t="s">
        <v>28</v>
      </c>
      <c r="D235" s="8" t="s">
        <v>1145</v>
      </c>
      <c r="E235" s="8" t="s">
        <v>1146</v>
      </c>
      <c r="F235" s="8" t="s">
        <v>31</v>
      </c>
      <c r="G235" s="8" t="s">
        <v>32</v>
      </c>
      <c r="H235" s="8" t="s">
        <v>1147</v>
      </c>
      <c r="I235" s="8" t="s">
        <v>63</v>
      </c>
      <c r="J235" s="8" t="s">
        <v>35</v>
      </c>
      <c r="K235" s="8" t="s">
        <v>36</v>
      </c>
      <c r="L235" s="8" t="s">
        <v>37</v>
      </c>
      <c r="M235" s="8">
        <v>15</v>
      </c>
      <c r="N235" s="8">
        <v>2200</v>
      </c>
      <c r="O235" s="8">
        <v>20</v>
      </c>
      <c r="P235" s="8">
        <v>26400</v>
      </c>
      <c r="Q235" s="8">
        <v>2</v>
      </c>
      <c r="R235" s="8" t="s">
        <v>38</v>
      </c>
      <c r="S235" s="8" t="s">
        <v>65</v>
      </c>
      <c r="T235" s="8" t="s">
        <v>54</v>
      </c>
      <c r="U235" s="9" t="s">
        <v>1148</v>
      </c>
      <c r="V235" s="8" t="s">
        <v>42</v>
      </c>
    </row>
    <row r="236" spans="1:22">
      <c r="A236" s="3" t="s">
        <v>1149</v>
      </c>
      <c r="B236" s="4" t="s">
        <v>75</v>
      </c>
      <c r="C236" s="4" t="s">
        <v>226</v>
      </c>
      <c r="D236" s="4" t="s">
        <v>740</v>
      </c>
      <c r="E236" s="4" t="s">
        <v>98</v>
      </c>
      <c r="F236" s="4" t="s">
        <v>221</v>
      </c>
      <c r="G236" s="4" t="s">
        <v>80</v>
      </c>
      <c r="H236" s="4" t="s">
        <v>1150</v>
      </c>
      <c r="I236" s="4" t="s">
        <v>109</v>
      </c>
      <c r="J236" s="4" t="s">
        <v>110</v>
      </c>
      <c r="K236" s="4" t="s">
        <v>126</v>
      </c>
      <c r="L236" s="4" t="s">
        <v>231</v>
      </c>
      <c r="M236" s="4">
        <v>5</v>
      </c>
      <c r="N236" s="4">
        <v>20</v>
      </c>
      <c r="O236" s="4">
        <v>0</v>
      </c>
      <c r="P236" s="4">
        <v>100</v>
      </c>
      <c r="Q236" s="4">
        <v>3</v>
      </c>
      <c r="R236" s="4" t="s">
        <v>38</v>
      </c>
      <c r="S236" s="4" t="s">
        <v>155</v>
      </c>
      <c r="T236" s="4" t="s">
        <v>84</v>
      </c>
      <c r="U236" s="6" t="s">
        <v>1151</v>
      </c>
      <c r="V236" s="4" t="s">
        <v>42</v>
      </c>
    </row>
    <row r="237" spans="1:22">
      <c r="A237" s="7" t="s">
        <v>1152</v>
      </c>
      <c r="B237" s="8" t="s">
        <v>131</v>
      </c>
      <c r="C237" s="8" t="s">
        <v>44</v>
      </c>
      <c r="D237" s="8" t="s">
        <v>1153</v>
      </c>
      <c r="E237" s="8" t="s">
        <v>783</v>
      </c>
      <c r="F237" s="8" t="s">
        <v>204</v>
      </c>
      <c r="G237" s="8" t="s">
        <v>80</v>
      </c>
      <c r="H237" s="8" t="s">
        <v>1154</v>
      </c>
      <c r="I237" s="8" t="s">
        <v>48</v>
      </c>
      <c r="J237" s="8" t="s">
        <v>49</v>
      </c>
      <c r="K237" s="8" t="s">
        <v>50</v>
      </c>
      <c r="L237" s="8" t="s">
        <v>51</v>
      </c>
      <c r="M237" s="8">
        <v>8</v>
      </c>
      <c r="N237" s="8">
        <v>12000</v>
      </c>
      <c r="O237" s="8">
        <v>20</v>
      </c>
      <c r="P237" s="8">
        <v>76800</v>
      </c>
      <c r="Q237" s="8">
        <v>3</v>
      </c>
      <c r="R237" s="8" t="s">
        <v>83</v>
      </c>
      <c r="S237" s="8" t="s">
        <v>65</v>
      </c>
      <c r="T237" s="8" t="s">
        <v>136</v>
      </c>
      <c r="U237" s="9" t="s">
        <v>1155</v>
      </c>
      <c r="V237" s="8" t="s">
        <v>68</v>
      </c>
    </row>
    <row r="238" spans="1:22">
      <c r="A238" s="3" t="s">
        <v>1156</v>
      </c>
      <c r="B238" s="4" t="s">
        <v>131</v>
      </c>
      <c r="C238" s="4" t="s">
        <v>96</v>
      </c>
      <c r="D238" s="4" t="s">
        <v>1157</v>
      </c>
      <c r="E238" s="4" t="s">
        <v>991</v>
      </c>
      <c r="F238" s="4" t="s">
        <v>204</v>
      </c>
      <c r="G238" s="4" t="s">
        <v>80</v>
      </c>
      <c r="H238" s="4" t="s">
        <v>1158</v>
      </c>
      <c r="I238" s="4" t="s">
        <v>109</v>
      </c>
      <c r="J238" s="4" t="s">
        <v>110</v>
      </c>
      <c r="K238" s="4" t="s">
        <v>36</v>
      </c>
      <c r="L238" s="4" t="s">
        <v>101</v>
      </c>
      <c r="M238" s="4">
        <v>4</v>
      </c>
      <c r="N238" s="4">
        <v>3500</v>
      </c>
      <c r="O238" s="4">
        <v>20</v>
      </c>
      <c r="P238" s="4">
        <v>11200</v>
      </c>
      <c r="Q238" s="4">
        <v>1</v>
      </c>
      <c r="R238" s="4" t="s">
        <v>83</v>
      </c>
      <c r="S238" s="4" t="s">
        <v>119</v>
      </c>
      <c r="T238" s="4" t="s">
        <v>136</v>
      </c>
      <c r="U238" s="6" t="s">
        <v>1159</v>
      </c>
      <c r="V238" s="4" t="s">
        <v>42</v>
      </c>
    </row>
    <row r="239" spans="1:22">
      <c r="A239" s="7" t="s">
        <v>1160</v>
      </c>
      <c r="B239" s="8" t="s">
        <v>225</v>
      </c>
      <c r="C239" s="8" t="s">
        <v>263</v>
      </c>
      <c r="D239" s="8" t="s">
        <v>632</v>
      </c>
      <c r="E239" s="8" t="s">
        <v>1161</v>
      </c>
      <c r="F239" s="8" t="s">
        <v>229</v>
      </c>
      <c r="G239" s="8" t="s">
        <v>80</v>
      </c>
      <c r="H239" s="8" t="s">
        <v>1162</v>
      </c>
      <c r="I239" s="8" t="s">
        <v>34</v>
      </c>
      <c r="J239" s="8" t="s">
        <v>35</v>
      </c>
      <c r="K239" s="8" t="s">
        <v>126</v>
      </c>
      <c r="L239" s="8" t="s">
        <v>267</v>
      </c>
      <c r="M239" s="8">
        <v>19</v>
      </c>
      <c r="N239" s="8">
        <v>45</v>
      </c>
      <c r="O239" s="8">
        <v>10</v>
      </c>
      <c r="P239" s="8">
        <v>769.5</v>
      </c>
      <c r="Q239" s="8">
        <v>1</v>
      </c>
      <c r="R239" s="8" t="s">
        <v>38</v>
      </c>
      <c r="S239" s="8" t="s">
        <v>119</v>
      </c>
      <c r="T239" s="8" t="s">
        <v>232</v>
      </c>
      <c r="U239" s="9" t="s">
        <v>1163</v>
      </c>
      <c r="V239" s="8" t="s">
        <v>42</v>
      </c>
    </row>
    <row r="240" spans="1:22">
      <c r="A240" s="3" t="s">
        <v>1164</v>
      </c>
      <c r="B240" s="4" t="s">
        <v>57</v>
      </c>
      <c r="C240" s="4" t="s">
        <v>263</v>
      </c>
      <c r="D240" s="4" t="s">
        <v>592</v>
      </c>
      <c r="E240" s="4" t="s">
        <v>1165</v>
      </c>
      <c r="F240" s="4" t="s">
        <v>167</v>
      </c>
      <c r="G240" s="4" t="s">
        <v>32</v>
      </c>
      <c r="H240" s="4" t="s">
        <v>1166</v>
      </c>
      <c r="I240" s="4" t="s">
        <v>118</v>
      </c>
      <c r="J240" s="4" t="s">
        <v>110</v>
      </c>
      <c r="K240" s="4" t="s">
        <v>126</v>
      </c>
      <c r="L240" s="4" t="s">
        <v>267</v>
      </c>
      <c r="M240" s="4">
        <v>10</v>
      </c>
      <c r="N240" s="4">
        <v>45</v>
      </c>
      <c r="O240" s="4">
        <v>0</v>
      </c>
      <c r="P240" s="4">
        <v>450</v>
      </c>
      <c r="Q240" s="4">
        <v>4</v>
      </c>
      <c r="R240" s="4" t="s">
        <v>92</v>
      </c>
      <c r="S240" s="4" t="s">
        <v>65</v>
      </c>
      <c r="T240" s="4" t="s">
        <v>66</v>
      </c>
      <c r="U240" s="6" t="s">
        <v>1167</v>
      </c>
      <c r="V240" s="4" t="s">
        <v>42</v>
      </c>
    </row>
    <row r="241" spans="1:22">
      <c r="A241" s="7" t="s">
        <v>1168</v>
      </c>
      <c r="B241" s="8" t="s">
        <v>57</v>
      </c>
      <c r="C241" s="8" t="s">
        <v>263</v>
      </c>
      <c r="D241" s="8" t="s">
        <v>1169</v>
      </c>
      <c r="E241" s="8" t="s">
        <v>1043</v>
      </c>
      <c r="F241" s="8" t="s">
        <v>167</v>
      </c>
      <c r="G241" s="8" t="s">
        <v>32</v>
      </c>
      <c r="H241" s="8" t="s">
        <v>1170</v>
      </c>
      <c r="I241" s="8" t="s">
        <v>34</v>
      </c>
      <c r="J241" s="8" t="s">
        <v>35</v>
      </c>
      <c r="K241" s="8" t="s">
        <v>126</v>
      </c>
      <c r="L241" s="8" t="s">
        <v>267</v>
      </c>
      <c r="M241" s="8">
        <v>16</v>
      </c>
      <c r="N241" s="8">
        <v>45</v>
      </c>
      <c r="O241" s="8">
        <v>15</v>
      </c>
      <c r="P241" s="8">
        <v>612</v>
      </c>
      <c r="Q241" s="8">
        <v>3</v>
      </c>
      <c r="R241" s="8" t="s">
        <v>38</v>
      </c>
      <c r="S241" s="8" t="s">
        <v>119</v>
      </c>
      <c r="T241" s="8" t="s">
        <v>66</v>
      </c>
      <c r="U241" s="9" t="s">
        <v>1171</v>
      </c>
      <c r="V241" s="8" t="s">
        <v>73</v>
      </c>
    </row>
    <row r="242" spans="1:22">
      <c r="A242" s="3" t="s">
        <v>1172</v>
      </c>
      <c r="B242" s="4" t="s">
        <v>172</v>
      </c>
      <c r="C242" s="4" t="s">
        <v>173</v>
      </c>
      <c r="D242" s="4" t="s">
        <v>123</v>
      </c>
      <c r="E242" s="4" t="s">
        <v>124</v>
      </c>
      <c r="F242" s="4" t="s">
        <v>365</v>
      </c>
      <c r="G242" s="4" t="s">
        <v>32</v>
      </c>
      <c r="H242" s="4" t="s">
        <v>1173</v>
      </c>
      <c r="I242" s="4" t="s">
        <v>118</v>
      </c>
      <c r="J242" s="4" t="s">
        <v>110</v>
      </c>
      <c r="K242" s="4" t="s">
        <v>36</v>
      </c>
      <c r="L242" s="4" t="s">
        <v>178</v>
      </c>
      <c r="M242" s="4">
        <v>16</v>
      </c>
      <c r="N242" s="4">
        <v>8500</v>
      </c>
      <c r="O242" s="4">
        <v>15</v>
      </c>
      <c r="P242" s="4">
        <v>115600</v>
      </c>
      <c r="Q242" s="4">
        <v>4</v>
      </c>
      <c r="R242" s="4" t="s">
        <v>52</v>
      </c>
      <c r="S242" s="4" t="s">
        <v>39</v>
      </c>
      <c r="T242" s="4" t="s">
        <v>179</v>
      </c>
      <c r="U242" s="6" t="s">
        <v>1174</v>
      </c>
      <c r="V242" s="4" t="s">
        <v>73</v>
      </c>
    </row>
    <row r="243" spans="1:22">
      <c r="A243" s="7" t="s">
        <v>1175</v>
      </c>
      <c r="B243" s="8" t="s">
        <v>172</v>
      </c>
      <c r="C243" s="8" t="s">
        <v>226</v>
      </c>
      <c r="D243" s="8" t="s">
        <v>449</v>
      </c>
      <c r="E243" s="8" t="s">
        <v>1176</v>
      </c>
      <c r="F243" s="8" t="s">
        <v>365</v>
      </c>
      <c r="G243" s="8" t="s">
        <v>32</v>
      </c>
      <c r="H243" s="8" t="s">
        <v>1177</v>
      </c>
      <c r="I243" s="8" t="s">
        <v>298</v>
      </c>
      <c r="J243" s="8" t="s">
        <v>299</v>
      </c>
      <c r="K243" s="8" t="s">
        <v>126</v>
      </c>
      <c r="L243" s="8" t="s">
        <v>231</v>
      </c>
      <c r="M243" s="8">
        <v>15</v>
      </c>
      <c r="N243" s="8">
        <v>20</v>
      </c>
      <c r="O243" s="8">
        <v>20</v>
      </c>
      <c r="P243" s="8">
        <v>240</v>
      </c>
      <c r="Q243" s="8">
        <v>3</v>
      </c>
      <c r="R243" s="8" t="s">
        <v>52</v>
      </c>
      <c r="S243" s="8" t="s">
        <v>53</v>
      </c>
      <c r="T243" s="8" t="s">
        <v>179</v>
      </c>
      <c r="U243" s="9" t="s">
        <v>1178</v>
      </c>
      <c r="V243" s="8" t="s">
        <v>73</v>
      </c>
    </row>
    <row r="244" spans="1:22">
      <c r="A244" s="3" t="s">
        <v>1179</v>
      </c>
      <c r="B244" s="4" t="s">
        <v>87</v>
      </c>
      <c r="C244" s="4" t="s">
        <v>122</v>
      </c>
      <c r="D244" s="4" t="s">
        <v>444</v>
      </c>
      <c r="E244" s="4" t="s">
        <v>1180</v>
      </c>
      <c r="F244" s="4" t="s">
        <v>184</v>
      </c>
      <c r="G244" s="4" t="s">
        <v>80</v>
      </c>
      <c r="H244" s="4" t="s">
        <v>1181</v>
      </c>
      <c r="I244" s="4" t="s">
        <v>63</v>
      </c>
      <c r="J244" s="4" t="s">
        <v>35</v>
      </c>
      <c r="K244" s="4" t="s">
        <v>126</v>
      </c>
      <c r="L244" s="4" t="s">
        <v>127</v>
      </c>
      <c r="M244" s="4">
        <v>14</v>
      </c>
      <c r="N244" s="4">
        <v>60</v>
      </c>
      <c r="O244" s="4">
        <v>5</v>
      </c>
      <c r="P244" s="4">
        <v>798</v>
      </c>
      <c r="Q244" s="4">
        <v>4</v>
      </c>
      <c r="R244" s="4" t="s">
        <v>38</v>
      </c>
      <c r="S244" s="4" t="s">
        <v>53</v>
      </c>
      <c r="T244" s="4" t="s">
        <v>93</v>
      </c>
      <c r="U244" s="6" t="s">
        <v>1182</v>
      </c>
      <c r="V244" s="4" t="s">
        <v>42</v>
      </c>
    </row>
    <row r="245" spans="1:22">
      <c r="A245" s="7" t="s">
        <v>1183</v>
      </c>
      <c r="B245" s="8" t="s">
        <v>57</v>
      </c>
      <c r="C245" s="8" t="s">
        <v>76</v>
      </c>
      <c r="D245" s="8" t="s">
        <v>1184</v>
      </c>
      <c r="E245" s="8" t="s">
        <v>1185</v>
      </c>
      <c r="F245" s="8" t="s">
        <v>167</v>
      </c>
      <c r="G245" s="8" t="s">
        <v>32</v>
      </c>
      <c r="H245" s="8" t="s">
        <v>1186</v>
      </c>
      <c r="I245" s="8" t="s">
        <v>109</v>
      </c>
      <c r="J245" s="8" t="s">
        <v>110</v>
      </c>
      <c r="K245" s="8" t="s">
        <v>50</v>
      </c>
      <c r="L245" s="8" t="s">
        <v>82</v>
      </c>
      <c r="M245" s="8">
        <v>19</v>
      </c>
      <c r="N245" s="8">
        <v>1200</v>
      </c>
      <c r="O245" s="8">
        <v>20</v>
      </c>
      <c r="P245" s="8">
        <v>18240</v>
      </c>
      <c r="Q245" s="8">
        <v>2</v>
      </c>
      <c r="R245" s="8" t="s">
        <v>38</v>
      </c>
      <c r="S245" s="8" t="s">
        <v>119</v>
      </c>
      <c r="T245" s="8" t="s">
        <v>66</v>
      </c>
      <c r="U245" s="9" t="s">
        <v>1187</v>
      </c>
      <c r="V245" s="8" t="s">
        <v>73</v>
      </c>
    </row>
    <row r="246" spans="1:22">
      <c r="A246" s="3" t="s">
        <v>1188</v>
      </c>
      <c r="B246" s="4" t="s">
        <v>27</v>
      </c>
      <c r="C246" s="4" t="s">
        <v>263</v>
      </c>
      <c r="D246" s="4" t="s">
        <v>344</v>
      </c>
      <c r="E246" s="4" t="s">
        <v>350</v>
      </c>
      <c r="F246" s="4" t="s">
        <v>31</v>
      </c>
      <c r="G246" s="4" t="s">
        <v>32</v>
      </c>
      <c r="H246" s="4" t="s">
        <v>1189</v>
      </c>
      <c r="I246" s="4" t="s">
        <v>63</v>
      </c>
      <c r="J246" s="4" t="s">
        <v>35</v>
      </c>
      <c r="K246" s="4" t="s">
        <v>126</v>
      </c>
      <c r="L246" s="4" t="s">
        <v>267</v>
      </c>
      <c r="M246" s="4">
        <v>5</v>
      </c>
      <c r="N246" s="4">
        <v>45</v>
      </c>
      <c r="O246" s="4">
        <v>15</v>
      </c>
      <c r="P246" s="4">
        <v>191.25</v>
      </c>
      <c r="Q246" s="4">
        <v>2</v>
      </c>
      <c r="R246" s="4" t="s">
        <v>38</v>
      </c>
      <c r="S246" s="4" t="s">
        <v>65</v>
      </c>
      <c r="T246" s="4" t="s">
        <v>54</v>
      </c>
      <c r="U246" s="6" t="s">
        <v>1190</v>
      </c>
      <c r="V246" s="4" t="s">
        <v>73</v>
      </c>
    </row>
    <row r="247" spans="1:22">
      <c r="A247" s="7" t="s">
        <v>1191</v>
      </c>
      <c r="B247" s="8" t="s">
        <v>331</v>
      </c>
      <c r="C247" s="8" t="s">
        <v>188</v>
      </c>
      <c r="D247" s="8" t="s">
        <v>241</v>
      </c>
      <c r="E247" s="8" t="s">
        <v>1192</v>
      </c>
      <c r="F247" s="8" t="s">
        <v>398</v>
      </c>
      <c r="G247" s="8" t="s">
        <v>80</v>
      </c>
      <c r="H247" s="8" t="s">
        <v>1193</v>
      </c>
      <c r="I247" s="8" t="s">
        <v>34</v>
      </c>
      <c r="J247" s="8" t="s">
        <v>35</v>
      </c>
      <c r="K247" s="8" t="s">
        <v>50</v>
      </c>
      <c r="L247" s="8" t="s">
        <v>193</v>
      </c>
      <c r="M247" s="8">
        <v>19</v>
      </c>
      <c r="N247" s="8">
        <v>700</v>
      </c>
      <c r="O247" s="8">
        <v>5</v>
      </c>
      <c r="P247" s="8">
        <v>12635</v>
      </c>
      <c r="Q247" s="8">
        <v>5</v>
      </c>
      <c r="R247" s="8" t="s">
        <v>92</v>
      </c>
      <c r="S247" s="8" t="s">
        <v>155</v>
      </c>
      <c r="T247" s="8" t="s">
        <v>336</v>
      </c>
      <c r="U247" s="9" t="s">
        <v>1194</v>
      </c>
      <c r="V247" s="8" t="s">
        <v>42</v>
      </c>
    </row>
    <row r="248" spans="1:22">
      <c r="A248" s="3" t="s">
        <v>1195</v>
      </c>
      <c r="B248" s="4" t="s">
        <v>131</v>
      </c>
      <c r="C248" s="4" t="s">
        <v>122</v>
      </c>
      <c r="D248" s="4" t="s">
        <v>468</v>
      </c>
      <c r="E248" s="4" t="s">
        <v>88</v>
      </c>
      <c r="F248" s="4" t="s">
        <v>204</v>
      </c>
      <c r="G248" s="4" t="s">
        <v>80</v>
      </c>
      <c r="H248" s="4" t="s">
        <v>1196</v>
      </c>
      <c r="I248" s="4" t="s">
        <v>298</v>
      </c>
      <c r="J248" s="4" t="s">
        <v>299</v>
      </c>
      <c r="K248" s="4" t="s">
        <v>126</v>
      </c>
      <c r="L248" s="4" t="s">
        <v>127</v>
      </c>
      <c r="M248" s="4">
        <v>7</v>
      </c>
      <c r="N248" s="4">
        <v>60</v>
      </c>
      <c r="O248" s="4">
        <v>0</v>
      </c>
      <c r="P248" s="4">
        <v>420</v>
      </c>
      <c r="Q248" s="4">
        <v>4</v>
      </c>
      <c r="R248" s="4" t="s">
        <v>38</v>
      </c>
      <c r="S248" s="4" t="s">
        <v>119</v>
      </c>
      <c r="T248" s="4" t="s">
        <v>136</v>
      </c>
      <c r="U248" s="6" t="s">
        <v>1197</v>
      </c>
      <c r="V248" s="4" t="s">
        <v>68</v>
      </c>
    </row>
    <row r="249" spans="1:22">
      <c r="A249" s="7" t="s">
        <v>1198</v>
      </c>
      <c r="B249" s="8" t="s">
        <v>75</v>
      </c>
      <c r="C249" s="8" t="s">
        <v>28</v>
      </c>
      <c r="D249" s="8" t="s">
        <v>219</v>
      </c>
      <c r="E249" s="8" t="s">
        <v>715</v>
      </c>
      <c r="F249" s="8" t="s">
        <v>221</v>
      </c>
      <c r="G249" s="8" t="s">
        <v>80</v>
      </c>
      <c r="H249" s="8" t="s">
        <v>1199</v>
      </c>
      <c r="I249" s="8" t="s">
        <v>109</v>
      </c>
      <c r="J249" s="8" t="s">
        <v>110</v>
      </c>
      <c r="K249" s="8" t="s">
        <v>36</v>
      </c>
      <c r="L249" s="8" t="s">
        <v>37</v>
      </c>
      <c r="M249" s="8">
        <v>13</v>
      </c>
      <c r="N249" s="8">
        <v>2200</v>
      </c>
      <c r="O249" s="8">
        <v>10</v>
      </c>
      <c r="P249" s="8">
        <v>25740</v>
      </c>
      <c r="Q249" s="8">
        <v>1</v>
      </c>
      <c r="R249" s="8" t="s">
        <v>83</v>
      </c>
      <c r="S249" s="8" t="s">
        <v>155</v>
      </c>
      <c r="T249" s="8" t="s">
        <v>84</v>
      </c>
      <c r="U249" s="9" t="s">
        <v>1200</v>
      </c>
      <c r="V249" s="8" t="s">
        <v>42</v>
      </c>
    </row>
    <row r="250" spans="1:22">
      <c r="A250" s="3" t="s">
        <v>1201</v>
      </c>
      <c r="B250" s="4" t="s">
        <v>75</v>
      </c>
      <c r="C250" s="4" t="s">
        <v>28</v>
      </c>
      <c r="D250" s="4" t="s">
        <v>1202</v>
      </c>
      <c r="E250" s="4" t="s">
        <v>1203</v>
      </c>
      <c r="F250" s="4" t="s">
        <v>221</v>
      </c>
      <c r="G250" s="4" t="s">
        <v>80</v>
      </c>
      <c r="H250" s="4" t="s">
        <v>1204</v>
      </c>
      <c r="I250" s="4" t="s">
        <v>63</v>
      </c>
      <c r="J250" s="4" t="s">
        <v>35</v>
      </c>
      <c r="K250" s="4" t="s">
        <v>36</v>
      </c>
      <c r="L250" s="4" t="s">
        <v>37</v>
      </c>
      <c r="M250" s="4">
        <v>9</v>
      </c>
      <c r="N250" s="4">
        <v>2200</v>
      </c>
      <c r="O250" s="4">
        <v>10</v>
      </c>
      <c r="P250" s="4">
        <v>17820</v>
      </c>
      <c r="Q250" s="4">
        <v>2</v>
      </c>
      <c r="R250" s="4" t="s">
        <v>1205</v>
      </c>
      <c r="S250" s="4" t="s">
        <v>65</v>
      </c>
      <c r="T250" s="4" t="s">
        <v>84</v>
      </c>
      <c r="U250" s="6" t="s">
        <v>1206</v>
      </c>
      <c r="V250" s="4" t="s">
        <v>73</v>
      </c>
    </row>
    <row r="251" spans="1:22">
      <c r="A251" s="7" t="s">
        <v>1207</v>
      </c>
      <c r="B251" s="8" t="s">
        <v>331</v>
      </c>
      <c r="C251" s="8" t="s">
        <v>173</v>
      </c>
      <c r="D251" s="8" t="s">
        <v>948</v>
      </c>
      <c r="E251" s="8" t="s">
        <v>1208</v>
      </c>
      <c r="F251" s="8" t="s">
        <v>398</v>
      </c>
      <c r="G251" s="8" t="s">
        <v>80</v>
      </c>
      <c r="H251" s="8" t="s">
        <v>1209</v>
      </c>
      <c r="I251" s="8" t="s">
        <v>63</v>
      </c>
      <c r="J251" s="8" t="s">
        <v>35</v>
      </c>
      <c r="K251" s="8" t="s">
        <v>36</v>
      </c>
      <c r="L251" s="8" t="s">
        <v>178</v>
      </c>
      <c r="M251" s="8">
        <v>6</v>
      </c>
      <c r="N251" s="8">
        <v>8500</v>
      </c>
      <c r="O251" s="8">
        <v>15</v>
      </c>
      <c r="P251" s="8">
        <v>43350</v>
      </c>
      <c r="Q251" s="8">
        <v>2</v>
      </c>
      <c r="R251" s="8" t="s">
        <v>38</v>
      </c>
      <c r="S251" s="8" t="s">
        <v>155</v>
      </c>
      <c r="T251" s="8" t="s">
        <v>336</v>
      </c>
      <c r="U251" s="9" t="s">
        <v>1210</v>
      </c>
      <c r="V251" s="8" t="s">
        <v>73</v>
      </c>
    </row>
    <row r="252" spans="1:22">
      <c r="A252" s="3" t="s">
        <v>1211</v>
      </c>
      <c r="B252" s="4" t="s">
        <v>225</v>
      </c>
      <c r="C252" s="4" t="s">
        <v>28</v>
      </c>
      <c r="D252" s="4" t="s">
        <v>740</v>
      </c>
      <c r="E252" s="4" t="s">
        <v>98</v>
      </c>
      <c r="F252" s="4" t="s">
        <v>229</v>
      </c>
      <c r="G252" s="4" t="s">
        <v>80</v>
      </c>
      <c r="H252" s="4" t="s">
        <v>1212</v>
      </c>
      <c r="I252" s="4" t="s">
        <v>48</v>
      </c>
      <c r="J252" s="4" t="s">
        <v>49</v>
      </c>
      <c r="K252" s="4" t="s">
        <v>36</v>
      </c>
      <c r="L252" s="4" t="s">
        <v>37</v>
      </c>
      <c r="M252" s="4">
        <v>9</v>
      </c>
      <c r="N252" s="4">
        <v>2200</v>
      </c>
      <c r="O252" s="4">
        <v>10</v>
      </c>
      <c r="P252" s="4">
        <v>17820</v>
      </c>
      <c r="Q252" s="4">
        <v>3</v>
      </c>
      <c r="R252" s="4" t="s">
        <v>83</v>
      </c>
      <c r="S252" s="4" t="s">
        <v>39</v>
      </c>
      <c r="T252" s="4" t="s">
        <v>232</v>
      </c>
      <c r="U252" s="6" t="s">
        <v>1213</v>
      </c>
      <c r="V252" s="4" t="s">
        <v>68</v>
      </c>
    </row>
    <row r="253" spans="1:22">
      <c r="A253" s="7" t="s">
        <v>1214</v>
      </c>
      <c r="B253" s="8" t="s">
        <v>27</v>
      </c>
      <c r="C253" s="8" t="s">
        <v>173</v>
      </c>
      <c r="D253" s="8" t="s">
        <v>829</v>
      </c>
      <c r="E253" s="8" t="s">
        <v>880</v>
      </c>
      <c r="F253" s="8" t="s">
        <v>31</v>
      </c>
      <c r="G253" s="8" t="s">
        <v>32</v>
      </c>
      <c r="H253" s="8" t="s">
        <v>1215</v>
      </c>
      <c r="I253" s="8" t="s">
        <v>298</v>
      </c>
      <c r="J253" s="8" t="s">
        <v>299</v>
      </c>
      <c r="K253" s="8" t="s">
        <v>36</v>
      </c>
      <c r="L253" s="8" t="s">
        <v>178</v>
      </c>
      <c r="M253" s="8">
        <v>16</v>
      </c>
      <c r="N253" s="8">
        <v>8500</v>
      </c>
      <c r="O253" s="8">
        <v>0</v>
      </c>
      <c r="P253" s="8">
        <v>136000</v>
      </c>
      <c r="Q253" s="8">
        <v>5</v>
      </c>
      <c r="R253" s="8" t="s">
        <v>92</v>
      </c>
      <c r="S253" s="8" t="s">
        <v>119</v>
      </c>
      <c r="T253" s="8" t="s">
        <v>54</v>
      </c>
      <c r="U253" s="9" t="s">
        <v>1216</v>
      </c>
      <c r="V253" s="8" t="s">
        <v>73</v>
      </c>
    </row>
    <row r="254" spans="1:22">
      <c r="A254" s="3" t="s">
        <v>1217</v>
      </c>
      <c r="B254" s="4" t="s">
        <v>331</v>
      </c>
      <c r="C254" s="4" t="s">
        <v>76</v>
      </c>
      <c r="D254" s="4" t="s">
        <v>1218</v>
      </c>
      <c r="E254" s="4" t="s">
        <v>696</v>
      </c>
      <c r="F254" s="4" t="s">
        <v>398</v>
      </c>
      <c r="G254" s="4" t="s">
        <v>80</v>
      </c>
      <c r="H254" s="4" t="s">
        <v>1219</v>
      </c>
      <c r="I254" s="4" t="s">
        <v>48</v>
      </c>
      <c r="J254" s="4" t="s">
        <v>49</v>
      </c>
      <c r="K254" s="4" t="s">
        <v>50</v>
      </c>
      <c r="L254" s="4" t="s">
        <v>82</v>
      </c>
      <c r="M254" s="4">
        <v>10</v>
      </c>
      <c r="N254" s="4">
        <v>1200</v>
      </c>
      <c r="O254" s="4">
        <v>15</v>
      </c>
      <c r="P254" s="4">
        <v>10200</v>
      </c>
      <c r="Q254" s="4">
        <v>5</v>
      </c>
      <c r="R254" s="4" t="s">
        <v>38</v>
      </c>
      <c r="S254" s="4" t="s">
        <v>53</v>
      </c>
      <c r="T254" s="4" t="s">
        <v>336</v>
      </c>
      <c r="U254" s="6" t="s">
        <v>1220</v>
      </c>
      <c r="V254" s="4" t="s">
        <v>42</v>
      </c>
    </row>
    <row r="255" spans="1:22">
      <c r="A255" s="7" t="s">
        <v>1221</v>
      </c>
      <c r="B255" s="8" t="s">
        <v>131</v>
      </c>
      <c r="C255" s="8" t="s">
        <v>44</v>
      </c>
      <c r="D255" s="8" t="s">
        <v>417</v>
      </c>
      <c r="E255" s="8" t="s">
        <v>140</v>
      </c>
      <c r="F255" s="8" t="s">
        <v>204</v>
      </c>
      <c r="G255" s="8" t="s">
        <v>80</v>
      </c>
      <c r="H255" s="8" t="s">
        <v>1222</v>
      </c>
      <c r="I255" s="8" t="s">
        <v>298</v>
      </c>
      <c r="J255" s="8" t="s">
        <v>299</v>
      </c>
      <c r="K255" s="8" t="s">
        <v>50</v>
      </c>
      <c r="L255" s="8" t="s">
        <v>51</v>
      </c>
      <c r="M255" s="8">
        <v>7</v>
      </c>
      <c r="N255" s="8">
        <v>12000</v>
      </c>
      <c r="O255" s="8">
        <v>0</v>
      </c>
      <c r="P255" s="8">
        <v>84000</v>
      </c>
      <c r="Q255" s="8">
        <v>1</v>
      </c>
      <c r="R255" s="8" t="s">
        <v>92</v>
      </c>
      <c r="S255" s="8" t="s">
        <v>155</v>
      </c>
      <c r="T255" s="8" t="s">
        <v>136</v>
      </c>
      <c r="U255" s="9" t="s">
        <v>1223</v>
      </c>
      <c r="V255" s="8" t="s">
        <v>68</v>
      </c>
    </row>
    <row r="256" spans="1:22">
      <c r="A256" s="3" t="s">
        <v>1224</v>
      </c>
      <c r="B256" s="4" t="s">
        <v>225</v>
      </c>
      <c r="C256" s="4" t="s">
        <v>44</v>
      </c>
      <c r="D256" s="4" t="s">
        <v>132</v>
      </c>
      <c r="E256" s="4" t="s">
        <v>1225</v>
      </c>
      <c r="F256" s="4" t="s">
        <v>229</v>
      </c>
      <c r="G256" s="4" t="s">
        <v>80</v>
      </c>
      <c r="H256" s="4" t="s">
        <v>1226</v>
      </c>
      <c r="I256" s="4" t="s">
        <v>118</v>
      </c>
      <c r="J256" s="4" t="s">
        <v>110</v>
      </c>
      <c r="K256" s="4" t="s">
        <v>50</v>
      </c>
      <c r="L256" s="4" t="s">
        <v>51</v>
      </c>
      <c r="M256" s="4">
        <v>3</v>
      </c>
      <c r="N256" s="4">
        <v>12000</v>
      </c>
      <c r="O256" s="4">
        <v>10</v>
      </c>
      <c r="P256" s="4">
        <v>32400</v>
      </c>
      <c r="Q256" s="4">
        <v>4</v>
      </c>
      <c r="R256" s="4" t="s">
        <v>83</v>
      </c>
      <c r="S256" s="4" t="s">
        <v>155</v>
      </c>
      <c r="T256" s="4" t="s">
        <v>232</v>
      </c>
      <c r="U256" s="6" t="s">
        <v>1227</v>
      </c>
      <c r="V256" s="4" t="s">
        <v>42</v>
      </c>
    </row>
    <row r="257" spans="1:22">
      <c r="A257" s="7" t="s">
        <v>1228</v>
      </c>
      <c r="B257" s="8" t="s">
        <v>225</v>
      </c>
      <c r="C257" s="8" t="s">
        <v>44</v>
      </c>
      <c r="D257" s="8" t="s">
        <v>1229</v>
      </c>
      <c r="E257" s="8" t="s">
        <v>931</v>
      </c>
      <c r="F257" s="8" t="s">
        <v>229</v>
      </c>
      <c r="G257" s="8" t="s">
        <v>80</v>
      </c>
      <c r="H257" s="8" t="s">
        <v>1230</v>
      </c>
      <c r="I257" s="8" t="s">
        <v>34</v>
      </c>
      <c r="J257" s="8" t="s">
        <v>35</v>
      </c>
      <c r="K257" s="8" t="s">
        <v>50</v>
      </c>
      <c r="L257" s="8" t="s">
        <v>51</v>
      </c>
      <c r="M257" s="8">
        <v>4</v>
      </c>
      <c r="N257" s="8">
        <v>12000</v>
      </c>
      <c r="O257" s="8">
        <v>15</v>
      </c>
      <c r="P257" s="8">
        <v>40800</v>
      </c>
      <c r="Q257" s="8">
        <v>3</v>
      </c>
      <c r="R257" s="8" t="s">
        <v>83</v>
      </c>
      <c r="S257" s="8" t="s">
        <v>39</v>
      </c>
      <c r="T257" s="8" t="s">
        <v>232</v>
      </c>
      <c r="U257" s="9" t="s">
        <v>1231</v>
      </c>
      <c r="V257" s="8" t="s">
        <v>68</v>
      </c>
    </row>
    <row r="258" spans="1:22">
      <c r="A258" s="3" t="s">
        <v>1232</v>
      </c>
      <c r="B258" s="4" t="s">
        <v>131</v>
      </c>
      <c r="C258" s="4" t="s">
        <v>44</v>
      </c>
      <c r="D258" s="4" t="s">
        <v>264</v>
      </c>
      <c r="E258" s="4" t="s">
        <v>502</v>
      </c>
      <c r="F258" s="4" t="s">
        <v>204</v>
      </c>
      <c r="G258" s="4" t="s">
        <v>80</v>
      </c>
      <c r="H258" s="4" t="s">
        <v>1233</v>
      </c>
      <c r="I258" s="4" t="s">
        <v>34</v>
      </c>
      <c r="J258" s="4" t="s">
        <v>35</v>
      </c>
      <c r="K258" s="4" t="s">
        <v>50</v>
      </c>
      <c r="L258" s="4" t="s">
        <v>51</v>
      </c>
      <c r="M258" s="4">
        <v>13</v>
      </c>
      <c r="N258" s="4">
        <v>12000</v>
      </c>
      <c r="O258" s="4">
        <v>10</v>
      </c>
      <c r="P258" s="4">
        <v>140400</v>
      </c>
      <c r="Q258" s="4">
        <v>2</v>
      </c>
      <c r="R258" s="4" t="s">
        <v>38</v>
      </c>
      <c r="S258" s="4" t="s">
        <v>155</v>
      </c>
      <c r="T258" s="4" t="s">
        <v>136</v>
      </c>
      <c r="U258" s="6" t="s">
        <v>1234</v>
      </c>
      <c r="V258" s="4" t="s">
        <v>73</v>
      </c>
    </row>
    <row r="259" spans="1:22">
      <c r="A259" s="7" t="s">
        <v>1235</v>
      </c>
      <c r="B259" s="8" t="s">
        <v>27</v>
      </c>
      <c r="C259" s="8" t="s">
        <v>96</v>
      </c>
      <c r="D259" s="8" t="s">
        <v>322</v>
      </c>
      <c r="E259" s="8" t="s">
        <v>683</v>
      </c>
      <c r="F259" s="8" t="s">
        <v>31</v>
      </c>
      <c r="G259" s="8" t="s">
        <v>32</v>
      </c>
      <c r="H259" s="8" t="s">
        <v>1236</v>
      </c>
      <c r="I259" s="8" t="s">
        <v>63</v>
      </c>
      <c r="J259" s="8" t="s">
        <v>35</v>
      </c>
      <c r="K259" s="8" t="s">
        <v>36</v>
      </c>
      <c r="L259" s="8" t="s">
        <v>101</v>
      </c>
      <c r="M259" s="8">
        <v>19</v>
      </c>
      <c r="N259" s="8">
        <v>3500</v>
      </c>
      <c r="O259" s="8">
        <v>20</v>
      </c>
      <c r="P259" s="8">
        <v>53200</v>
      </c>
      <c r="Q259" s="8">
        <v>1</v>
      </c>
      <c r="R259" s="8" t="s">
        <v>38</v>
      </c>
      <c r="S259" s="8" t="s">
        <v>65</v>
      </c>
      <c r="T259" s="8" t="s">
        <v>54</v>
      </c>
      <c r="U259" s="9" t="s">
        <v>1237</v>
      </c>
      <c r="V259" s="8" t="s">
        <v>73</v>
      </c>
    </row>
    <row r="260" spans="1:22">
      <c r="A260" s="3" t="s">
        <v>1238</v>
      </c>
      <c r="B260" s="4" t="s">
        <v>27</v>
      </c>
      <c r="C260" s="4" t="s">
        <v>28</v>
      </c>
      <c r="D260" s="4" t="s">
        <v>936</v>
      </c>
      <c r="E260" s="4" t="s">
        <v>440</v>
      </c>
      <c r="F260" s="4" t="s">
        <v>31</v>
      </c>
      <c r="G260" s="4" t="s">
        <v>32</v>
      </c>
      <c r="H260" s="4" t="s">
        <v>1239</v>
      </c>
      <c r="I260" s="4" t="s">
        <v>109</v>
      </c>
      <c r="J260" s="4" t="s">
        <v>110</v>
      </c>
      <c r="K260" s="4" t="s">
        <v>36</v>
      </c>
      <c r="L260" s="4" t="s">
        <v>37</v>
      </c>
      <c r="M260" s="4">
        <v>7</v>
      </c>
      <c r="N260" s="4">
        <v>2200</v>
      </c>
      <c r="O260" s="4">
        <v>5</v>
      </c>
      <c r="P260" s="4">
        <v>14630</v>
      </c>
      <c r="Q260" s="4">
        <v>3</v>
      </c>
      <c r="R260" s="4" t="s">
        <v>92</v>
      </c>
      <c r="S260" s="4" t="s">
        <v>65</v>
      </c>
      <c r="T260" s="4" t="s">
        <v>54</v>
      </c>
      <c r="U260" s="6" t="s">
        <v>1240</v>
      </c>
      <c r="V260" s="4" t="s">
        <v>73</v>
      </c>
    </row>
    <row r="261" spans="1:22">
      <c r="A261" s="7" t="s">
        <v>1241</v>
      </c>
      <c r="B261" s="8" t="s">
        <v>87</v>
      </c>
      <c r="C261" s="8" t="s">
        <v>188</v>
      </c>
      <c r="D261" s="8" t="s">
        <v>1242</v>
      </c>
      <c r="E261" s="8" t="s">
        <v>430</v>
      </c>
      <c r="F261" s="8" t="s">
        <v>184</v>
      </c>
      <c r="G261" s="8" t="s">
        <v>80</v>
      </c>
      <c r="H261" s="8" t="s">
        <v>1243</v>
      </c>
      <c r="I261" s="8" t="s">
        <v>216</v>
      </c>
      <c r="J261" s="8" t="s">
        <v>49</v>
      </c>
      <c r="K261" s="8" t="s">
        <v>50</v>
      </c>
      <c r="L261" s="8" t="s">
        <v>193</v>
      </c>
      <c r="M261" s="8">
        <v>18</v>
      </c>
      <c r="N261" s="8">
        <v>700</v>
      </c>
      <c r="O261" s="8">
        <v>5</v>
      </c>
      <c r="P261" s="8">
        <v>11970</v>
      </c>
      <c r="Q261" s="8">
        <v>2</v>
      </c>
      <c r="R261" s="8" t="s">
        <v>92</v>
      </c>
      <c r="S261" s="8" t="s">
        <v>65</v>
      </c>
      <c r="T261" s="8" t="s">
        <v>93</v>
      </c>
      <c r="U261" s="9" t="s">
        <v>1244</v>
      </c>
      <c r="V261" s="8" t="s">
        <v>73</v>
      </c>
    </row>
    <row r="262" spans="1:22">
      <c r="A262" s="3" t="s">
        <v>1245</v>
      </c>
      <c r="B262" s="4" t="s">
        <v>27</v>
      </c>
      <c r="C262" s="4" t="s">
        <v>226</v>
      </c>
      <c r="D262" s="4" t="s">
        <v>1110</v>
      </c>
      <c r="E262" s="4" t="s">
        <v>1246</v>
      </c>
      <c r="F262" s="4" t="s">
        <v>31</v>
      </c>
      <c r="G262" s="4" t="s">
        <v>32</v>
      </c>
      <c r="H262" s="4" t="s">
        <v>1247</v>
      </c>
      <c r="I262" s="4" t="s">
        <v>298</v>
      </c>
      <c r="J262" s="4" t="s">
        <v>299</v>
      </c>
      <c r="K262" s="4" t="s">
        <v>126</v>
      </c>
      <c r="L262" s="4" t="s">
        <v>231</v>
      </c>
      <c r="M262" s="4">
        <v>11</v>
      </c>
      <c r="N262" s="4">
        <v>20</v>
      </c>
      <c r="O262" s="4">
        <v>0</v>
      </c>
      <c r="P262" s="4">
        <v>220</v>
      </c>
      <c r="Q262" s="4">
        <v>2</v>
      </c>
      <c r="R262" s="4" t="s">
        <v>52</v>
      </c>
      <c r="S262" s="4" t="s">
        <v>119</v>
      </c>
      <c r="T262" s="4" t="s">
        <v>54</v>
      </c>
      <c r="U262" s="6" t="s">
        <v>1248</v>
      </c>
      <c r="V262" s="4" t="s">
        <v>73</v>
      </c>
    </row>
    <row r="263" spans="1:22">
      <c r="A263" s="7" t="s">
        <v>1249</v>
      </c>
      <c r="B263" s="8" t="s">
        <v>331</v>
      </c>
      <c r="C263" s="8" t="s">
        <v>44</v>
      </c>
      <c r="D263" s="8" t="s">
        <v>1073</v>
      </c>
      <c r="E263" s="8" t="s">
        <v>276</v>
      </c>
      <c r="F263" s="8" t="s">
        <v>398</v>
      </c>
      <c r="G263" s="8" t="s">
        <v>80</v>
      </c>
      <c r="H263" s="8" t="s">
        <v>1250</v>
      </c>
      <c r="I263" s="8" t="s">
        <v>118</v>
      </c>
      <c r="J263" s="8" t="s">
        <v>110</v>
      </c>
      <c r="K263" s="8" t="s">
        <v>50</v>
      </c>
      <c r="L263" s="8" t="s">
        <v>51</v>
      </c>
      <c r="M263" s="8">
        <v>17</v>
      </c>
      <c r="N263" s="8">
        <v>12000</v>
      </c>
      <c r="O263" s="8">
        <v>20</v>
      </c>
      <c r="P263" s="8">
        <v>163200</v>
      </c>
      <c r="Q263" s="8">
        <v>4</v>
      </c>
      <c r="R263" s="8" t="s">
        <v>92</v>
      </c>
      <c r="S263" s="8" t="s">
        <v>155</v>
      </c>
      <c r="T263" s="8" t="s">
        <v>336</v>
      </c>
      <c r="U263" s="9" t="s">
        <v>1251</v>
      </c>
      <c r="V263" s="8" t="s">
        <v>42</v>
      </c>
    </row>
    <row r="264" spans="1:22">
      <c r="A264" s="3" t="s">
        <v>1252</v>
      </c>
      <c r="B264" s="4" t="s">
        <v>255</v>
      </c>
      <c r="C264" s="4" t="s">
        <v>28</v>
      </c>
      <c r="D264" s="4" t="s">
        <v>1253</v>
      </c>
      <c r="E264" s="4" t="s">
        <v>271</v>
      </c>
      <c r="F264" s="4" t="s">
        <v>258</v>
      </c>
      <c r="G264" s="4" t="s">
        <v>32</v>
      </c>
      <c r="H264" s="4" t="s">
        <v>1254</v>
      </c>
      <c r="I264" s="4" t="s">
        <v>298</v>
      </c>
      <c r="J264" s="4" t="s">
        <v>299</v>
      </c>
      <c r="K264" s="4" t="s">
        <v>36</v>
      </c>
      <c r="L264" s="4" t="s">
        <v>37</v>
      </c>
      <c r="M264" s="4">
        <v>4</v>
      </c>
      <c r="N264" s="4">
        <v>2200</v>
      </c>
      <c r="O264" s="4">
        <v>5</v>
      </c>
      <c r="P264" s="4">
        <v>8360</v>
      </c>
      <c r="Q264" s="4">
        <v>2</v>
      </c>
      <c r="R264" s="4" t="s">
        <v>38</v>
      </c>
      <c r="S264" s="4" t="s">
        <v>39</v>
      </c>
      <c r="T264" s="4" t="s">
        <v>260</v>
      </c>
      <c r="U264" s="6" t="s">
        <v>1255</v>
      </c>
      <c r="V264" s="4" t="s">
        <v>42</v>
      </c>
    </row>
    <row r="265" spans="1:22">
      <c r="A265" s="7" t="s">
        <v>1256</v>
      </c>
      <c r="B265" s="8" t="s">
        <v>27</v>
      </c>
      <c r="C265" s="8" t="s">
        <v>58</v>
      </c>
      <c r="D265" s="8" t="s">
        <v>1257</v>
      </c>
      <c r="E265" s="8" t="s">
        <v>459</v>
      </c>
      <c r="F265" s="8" t="s">
        <v>31</v>
      </c>
      <c r="G265" s="8" t="s">
        <v>32</v>
      </c>
      <c r="H265" s="8" t="s">
        <v>1258</v>
      </c>
      <c r="I265" s="8" t="s">
        <v>142</v>
      </c>
      <c r="J265" s="8" t="s">
        <v>110</v>
      </c>
      <c r="K265" s="8" t="s">
        <v>50</v>
      </c>
      <c r="L265" s="8" t="s">
        <v>64</v>
      </c>
      <c r="M265" s="8">
        <v>6</v>
      </c>
      <c r="N265" s="8">
        <v>55000</v>
      </c>
      <c r="O265" s="8">
        <v>20</v>
      </c>
      <c r="P265" s="8">
        <v>264000</v>
      </c>
      <c r="Q265" s="8">
        <v>2</v>
      </c>
      <c r="R265" s="8" t="s">
        <v>92</v>
      </c>
      <c r="S265" s="8" t="s">
        <v>155</v>
      </c>
      <c r="T265" s="8" t="s">
        <v>54</v>
      </c>
      <c r="U265" s="9" t="s">
        <v>1259</v>
      </c>
      <c r="V265" s="8" t="s">
        <v>73</v>
      </c>
    </row>
    <row r="266" spans="1:22">
      <c r="A266" s="3" t="s">
        <v>1260</v>
      </c>
      <c r="B266" s="4" t="s">
        <v>75</v>
      </c>
      <c r="C266" s="4" t="s">
        <v>173</v>
      </c>
      <c r="D266" s="4" t="s">
        <v>88</v>
      </c>
      <c r="E266" s="4" t="s">
        <v>1002</v>
      </c>
      <c r="F266" s="4" t="s">
        <v>221</v>
      </c>
      <c r="G266" s="4" t="s">
        <v>80</v>
      </c>
      <c r="H266" s="4" t="s">
        <v>1261</v>
      </c>
      <c r="I266" s="4" t="s">
        <v>48</v>
      </c>
      <c r="J266" s="4" t="s">
        <v>49</v>
      </c>
      <c r="K266" s="4" t="s">
        <v>36</v>
      </c>
      <c r="L266" s="4" t="s">
        <v>178</v>
      </c>
      <c r="M266" s="4">
        <v>6</v>
      </c>
      <c r="N266" s="4">
        <v>8500</v>
      </c>
      <c r="O266" s="4">
        <v>10</v>
      </c>
      <c r="P266" s="4">
        <v>45900</v>
      </c>
      <c r="Q266" s="4">
        <v>5</v>
      </c>
      <c r="R266" s="4" t="s">
        <v>92</v>
      </c>
      <c r="S266" s="4" t="s">
        <v>65</v>
      </c>
      <c r="T266" s="4" t="s">
        <v>84</v>
      </c>
      <c r="U266" s="6" t="s">
        <v>1262</v>
      </c>
      <c r="V266" s="4" t="s">
        <v>42</v>
      </c>
    </row>
    <row r="267" spans="1:22">
      <c r="A267" s="7" t="s">
        <v>1263</v>
      </c>
      <c r="B267" s="8" t="s">
        <v>27</v>
      </c>
      <c r="C267" s="8" t="s">
        <v>226</v>
      </c>
      <c r="D267" s="8" t="s">
        <v>562</v>
      </c>
      <c r="E267" s="8" t="s">
        <v>375</v>
      </c>
      <c r="F267" s="8" t="s">
        <v>31</v>
      </c>
      <c r="G267" s="8" t="s">
        <v>32</v>
      </c>
      <c r="H267" s="8" t="s">
        <v>1264</v>
      </c>
      <c r="I267" s="8" t="s">
        <v>216</v>
      </c>
      <c r="J267" s="8" t="s">
        <v>49</v>
      </c>
      <c r="K267" s="8" t="s">
        <v>126</v>
      </c>
      <c r="L267" s="8" t="s">
        <v>231</v>
      </c>
      <c r="M267" s="8">
        <v>6</v>
      </c>
      <c r="N267" s="8">
        <v>20</v>
      </c>
      <c r="O267" s="8">
        <v>15</v>
      </c>
      <c r="P267" s="8">
        <v>102</v>
      </c>
      <c r="Q267" s="8">
        <v>2</v>
      </c>
      <c r="R267" s="8" t="s">
        <v>92</v>
      </c>
      <c r="S267" s="8" t="s">
        <v>53</v>
      </c>
      <c r="T267" s="8" t="s">
        <v>54</v>
      </c>
      <c r="U267" s="9" t="s">
        <v>1265</v>
      </c>
      <c r="V267" s="8" t="s">
        <v>73</v>
      </c>
    </row>
    <row r="268" spans="1:22">
      <c r="A268" s="3" t="s">
        <v>1266</v>
      </c>
      <c r="B268" s="4" t="s">
        <v>57</v>
      </c>
      <c r="C268" s="4" t="s">
        <v>122</v>
      </c>
      <c r="D268" s="4" t="s">
        <v>1267</v>
      </c>
      <c r="E268" s="4" t="s">
        <v>601</v>
      </c>
      <c r="F268" s="4" t="s">
        <v>167</v>
      </c>
      <c r="G268" s="4" t="s">
        <v>32</v>
      </c>
      <c r="H268" s="4" t="s">
        <v>1268</v>
      </c>
      <c r="I268" s="4" t="s">
        <v>109</v>
      </c>
      <c r="J268" s="4" t="s">
        <v>110</v>
      </c>
      <c r="K268" s="4" t="s">
        <v>126</v>
      </c>
      <c r="L268" s="4" t="s">
        <v>127</v>
      </c>
      <c r="M268" s="4">
        <v>6</v>
      </c>
      <c r="N268" s="4">
        <v>60</v>
      </c>
      <c r="O268" s="4">
        <v>5</v>
      </c>
      <c r="P268" s="4">
        <v>342</v>
      </c>
      <c r="Q268" s="4">
        <v>1</v>
      </c>
      <c r="R268" s="4" t="s">
        <v>52</v>
      </c>
      <c r="S268" s="4" t="s">
        <v>65</v>
      </c>
      <c r="T268" s="4" t="s">
        <v>66</v>
      </c>
      <c r="U268" s="6" t="s">
        <v>1269</v>
      </c>
      <c r="V268" s="4" t="s">
        <v>42</v>
      </c>
    </row>
    <row r="269" spans="1:22">
      <c r="A269" s="7" t="s">
        <v>1270</v>
      </c>
      <c r="B269" s="8" t="s">
        <v>131</v>
      </c>
      <c r="C269" s="8" t="s">
        <v>173</v>
      </c>
      <c r="D269" s="8" t="s">
        <v>1271</v>
      </c>
      <c r="E269" s="8" t="s">
        <v>1272</v>
      </c>
      <c r="F269" s="8" t="s">
        <v>204</v>
      </c>
      <c r="G269" s="8" t="s">
        <v>80</v>
      </c>
      <c r="H269" s="8" t="s">
        <v>1273</v>
      </c>
      <c r="I269" s="8" t="s">
        <v>34</v>
      </c>
      <c r="J269" s="8" t="s">
        <v>35</v>
      </c>
      <c r="K269" s="8" t="s">
        <v>36</v>
      </c>
      <c r="L269" s="8" t="s">
        <v>178</v>
      </c>
      <c r="M269" s="8">
        <v>19</v>
      </c>
      <c r="N269" s="8">
        <v>8500</v>
      </c>
      <c r="O269" s="8">
        <v>0</v>
      </c>
      <c r="P269" s="8">
        <v>161500</v>
      </c>
      <c r="Q269" s="8">
        <v>5</v>
      </c>
      <c r="R269" s="8" t="s">
        <v>92</v>
      </c>
      <c r="S269" s="8" t="s">
        <v>155</v>
      </c>
      <c r="T269" s="8" t="s">
        <v>136</v>
      </c>
      <c r="U269" s="9" t="s">
        <v>1274</v>
      </c>
      <c r="V269" s="8" t="s">
        <v>42</v>
      </c>
    </row>
    <row r="270" spans="1:22">
      <c r="A270" s="3" t="s">
        <v>1275</v>
      </c>
      <c r="B270" s="4" t="s">
        <v>255</v>
      </c>
      <c r="C270" s="4" t="s">
        <v>58</v>
      </c>
      <c r="D270" s="4" t="s">
        <v>449</v>
      </c>
      <c r="E270" s="4" t="s">
        <v>577</v>
      </c>
      <c r="F270" s="4" t="s">
        <v>258</v>
      </c>
      <c r="G270" s="4" t="s">
        <v>32</v>
      </c>
      <c r="H270" s="4" t="s">
        <v>1276</v>
      </c>
      <c r="I270" s="4" t="s">
        <v>216</v>
      </c>
      <c r="J270" s="4" t="s">
        <v>49</v>
      </c>
      <c r="K270" s="4" t="s">
        <v>50</v>
      </c>
      <c r="L270" s="4" t="s">
        <v>64</v>
      </c>
      <c r="M270" s="4">
        <v>8</v>
      </c>
      <c r="N270" s="4">
        <v>55000</v>
      </c>
      <c r="O270" s="4">
        <v>0</v>
      </c>
      <c r="P270" s="4">
        <v>440000</v>
      </c>
      <c r="Q270" s="4">
        <v>3</v>
      </c>
      <c r="R270" s="4" t="s">
        <v>83</v>
      </c>
      <c r="S270" s="4" t="s">
        <v>119</v>
      </c>
      <c r="T270" s="4" t="s">
        <v>260</v>
      </c>
      <c r="U270" s="6" t="s">
        <v>1277</v>
      </c>
      <c r="V270" s="4" t="s">
        <v>68</v>
      </c>
    </row>
    <row r="271" spans="1:22">
      <c r="A271" s="7" t="s">
        <v>1278</v>
      </c>
      <c r="B271" s="8" t="s">
        <v>75</v>
      </c>
      <c r="C271" s="8" t="s">
        <v>44</v>
      </c>
      <c r="D271" s="8" t="s">
        <v>1102</v>
      </c>
      <c r="E271" s="8" t="s">
        <v>587</v>
      </c>
      <c r="F271" s="8" t="s">
        <v>221</v>
      </c>
      <c r="G271" s="8" t="s">
        <v>80</v>
      </c>
      <c r="H271" s="8" t="s">
        <v>1279</v>
      </c>
      <c r="I271" s="8" t="s">
        <v>298</v>
      </c>
      <c r="J271" s="8" t="s">
        <v>299</v>
      </c>
      <c r="K271" s="8" t="s">
        <v>50</v>
      </c>
      <c r="L271" s="8" t="s">
        <v>51</v>
      </c>
      <c r="M271" s="8">
        <v>18</v>
      </c>
      <c r="N271" s="8">
        <v>12000</v>
      </c>
      <c r="O271" s="8">
        <v>20</v>
      </c>
      <c r="P271" s="8">
        <v>172800</v>
      </c>
      <c r="Q271" s="8">
        <v>5</v>
      </c>
      <c r="R271" s="8" t="s">
        <v>92</v>
      </c>
      <c r="S271" s="8" t="s">
        <v>65</v>
      </c>
      <c r="T271" s="8" t="s">
        <v>84</v>
      </c>
      <c r="U271" s="9" t="s">
        <v>1280</v>
      </c>
      <c r="V271" s="8" t="s">
        <v>73</v>
      </c>
    </row>
    <row r="272" spans="1:22">
      <c r="A272" s="3" t="s">
        <v>1281</v>
      </c>
      <c r="B272" s="4" t="s">
        <v>131</v>
      </c>
      <c r="C272" s="4" t="s">
        <v>173</v>
      </c>
      <c r="D272" s="4" t="s">
        <v>1282</v>
      </c>
      <c r="E272" s="4" t="s">
        <v>202</v>
      </c>
      <c r="F272" s="4" t="s">
        <v>204</v>
      </c>
      <c r="G272" s="4" t="s">
        <v>80</v>
      </c>
      <c r="H272" s="4" t="s">
        <v>1283</v>
      </c>
      <c r="I272" s="4" t="s">
        <v>142</v>
      </c>
      <c r="J272" s="4" t="s">
        <v>110</v>
      </c>
      <c r="K272" s="4" t="s">
        <v>36</v>
      </c>
      <c r="L272" s="4" t="s">
        <v>178</v>
      </c>
      <c r="M272" s="4">
        <v>8</v>
      </c>
      <c r="N272" s="4">
        <v>8500</v>
      </c>
      <c r="O272" s="4">
        <v>5</v>
      </c>
      <c r="P272" s="4">
        <v>64600</v>
      </c>
      <c r="Q272" s="4">
        <v>2</v>
      </c>
      <c r="R272" s="4" t="s">
        <v>83</v>
      </c>
      <c r="S272" s="4" t="s">
        <v>65</v>
      </c>
      <c r="T272" s="4" t="s">
        <v>136</v>
      </c>
      <c r="U272" s="6" t="s">
        <v>1284</v>
      </c>
      <c r="V272" s="4" t="s">
        <v>73</v>
      </c>
    </row>
    <row r="273" spans="1:22">
      <c r="A273" s="7" t="s">
        <v>1285</v>
      </c>
      <c r="B273" s="8" t="s">
        <v>27</v>
      </c>
      <c r="C273" s="8" t="s">
        <v>226</v>
      </c>
      <c r="D273" s="8" t="s">
        <v>1286</v>
      </c>
      <c r="E273" s="8" t="s">
        <v>728</v>
      </c>
      <c r="F273" s="8" t="s">
        <v>31</v>
      </c>
      <c r="G273" s="8" t="s">
        <v>32</v>
      </c>
      <c r="H273" s="8" t="s">
        <v>1287</v>
      </c>
      <c r="I273" s="8" t="s">
        <v>109</v>
      </c>
      <c r="J273" s="8" t="s">
        <v>110</v>
      </c>
      <c r="K273" s="8" t="s">
        <v>126</v>
      </c>
      <c r="L273" s="8" t="s">
        <v>231</v>
      </c>
      <c r="M273" s="8">
        <v>13</v>
      </c>
      <c r="N273" s="8">
        <v>20</v>
      </c>
      <c r="O273" s="8">
        <v>5</v>
      </c>
      <c r="P273" s="8">
        <v>247</v>
      </c>
      <c r="Q273" s="8">
        <v>3</v>
      </c>
      <c r="R273" s="8" t="s">
        <v>52</v>
      </c>
      <c r="S273" s="8" t="s">
        <v>119</v>
      </c>
      <c r="T273" s="8" t="s">
        <v>54</v>
      </c>
      <c r="U273" s="9" t="s">
        <v>1288</v>
      </c>
      <c r="V273" s="8" t="s">
        <v>68</v>
      </c>
    </row>
    <row r="274" spans="1:22">
      <c r="A274" s="3" t="s">
        <v>1289</v>
      </c>
      <c r="B274" s="4" t="s">
        <v>87</v>
      </c>
      <c r="C274" s="4" t="s">
        <v>122</v>
      </c>
      <c r="D274" s="4" t="s">
        <v>744</v>
      </c>
      <c r="E274" s="4" t="s">
        <v>1290</v>
      </c>
      <c r="F274" s="4" t="s">
        <v>184</v>
      </c>
      <c r="G274" s="4" t="s">
        <v>80</v>
      </c>
      <c r="H274" s="4" t="s">
        <v>1291</v>
      </c>
      <c r="I274" s="4" t="s">
        <v>216</v>
      </c>
      <c r="J274" s="4" t="s">
        <v>49</v>
      </c>
      <c r="K274" s="4" t="s">
        <v>126</v>
      </c>
      <c r="L274" s="4" t="s">
        <v>127</v>
      </c>
      <c r="M274" s="4">
        <v>1</v>
      </c>
      <c r="N274" s="4">
        <v>60</v>
      </c>
      <c r="O274" s="4">
        <v>15</v>
      </c>
      <c r="P274" s="4">
        <v>51</v>
      </c>
      <c r="Q274" s="4">
        <v>2</v>
      </c>
      <c r="R274" s="4" t="s">
        <v>83</v>
      </c>
      <c r="S274" s="4" t="s">
        <v>65</v>
      </c>
      <c r="T274" s="4" t="s">
        <v>93</v>
      </c>
      <c r="U274" s="6" t="s">
        <v>1292</v>
      </c>
      <c r="V274" s="4" t="s">
        <v>73</v>
      </c>
    </row>
    <row r="275" spans="1:22">
      <c r="A275" s="7" t="s">
        <v>1293</v>
      </c>
      <c r="B275" s="8" t="s">
        <v>57</v>
      </c>
      <c r="C275" s="8" t="s">
        <v>226</v>
      </c>
      <c r="D275" s="8" t="s">
        <v>1294</v>
      </c>
      <c r="E275" s="8" t="s">
        <v>969</v>
      </c>
      <c r="F275" s="8" t="s">
        <v>167</v>
      </c>
      <c r="G275" s="8" t="s">
        <v>32</v>
      </c>
      <c r="H275" s="8" t="s">
        <v>1295</v>
      </c>
      <c r="I275" s="8" t="s">
        <v>118</v>
      </c>
      <c r="J275" s="8" t="s">
        <v>110</v>
      </c>
      <c r="K275" s="8" t="s">
        <v>126</v>
      </c>
      <c r="L275" s="8" t="s">
        <v>231</v>
      </c>
      <c r="M275" s="8">
        <v>5</v>
      </c>
      <c r="N275" s="8">
        <v>20</v>
      </c>
      <c r="O275" s="8">
        <v>5</v>
      </c>
      <c r="P275" s="8">
        <v>95</v>
      </c>
      <c r="Q275" s="8">
        <v>2</v>
      </c>
      <c r="R275" s="8" t="s">
        <v>52</v>
      </c>
      <c r="S275" s="8" t="s">
        <v>53</v>
      </c>
      <c r="T275" s="8" t="s">
        <v>66</v>
      </c>
      <c r="U275" s="9" t="s">
        <v>1296</v>
      </c>
      <c r="V275" s="8" t="s">
        <v>68</v>
      </c>
    </row>
    <row r="276" spans="1:22">
      <c r="A276" s="3" t="s">
        <v>1297</v>
      </c>
      <c r="B276" s="4" t="s">
        <v>225</v>
      </c>
      <c r="C276" s="4" t="s">
        <v>226</v>
      </c>
      <c r="D276" s="4" t="s">
        <v>1298</v>
      </c>
      <c r="E276" s="4" t="s">
        <v>1021</v>
      </c>
      <c r="F276" s="4" t="s">
        <v>229</v>
      </c>
      <c r="G276" s="4" t="s">
        <v>80</v>
      </c>
      <c r="H276" s="4" t="s">
        <v>1299</v>
      </c>
      <c r="I276" s="4" t="s">
        <v>298</v>
      </c>
      <c r="J276" s="4" t="s">
        <v>299</v>
      </c>
      <c r="K276" s="4" t="s">
        <v>126</v>
      </c>
      <c r="L276" s="4" t="s">
        <v>231</v>
      </c>
      <c r="M276" s="4">
        <v>19</v>
      </c>
      <c r="N276" s="4">
        <v>20</v>
      </c>
      <c r="O276" s="4">
        <v>20</v>
      </c>
      <c r="P276" s="4">
        <v>304</v>
      </c>
      <c r="Q276" s="4">
        <v>3</v>
      </c>
      <c r="R276" s="4" t="s">
        <v>38</v>
      </c>
      <c r="S276" s="4" t="s">
        <v>39</v>
      </c>
      <c r="T276" s="4" t="s">
        <v>232</v>
      </c>
      <c r="U276" s="6" t="s">
        <v>1300</v>
      </c>
      <c r="V276" s="4" t="s">
        <v>73</v>
      </c>
    </row>
    <row r="277" spans="1:22">
      <c r="A277" s="7" t="s">
        <v>1301</v>
      </c>
      <c r="B277" s="8" t="s">
        <v>104</v>
      </c>
      <c r="C277" s="8" t="s">
        <v>263</v>
      </c>
      <c r="D277" s="8" t="s">
        <v>1302</v>
      </c>
      <c r="E277" s="8" t="s">
        <v>370</v>
      </c>
      <c r="F277" s="8" t="s">
        <v>107</v>
      </c>
      <c r="G277" s="8" t="s">
        <v>32</v>
      </c>
      <c r="H277" s="8" t="s">
        <v>1303</v>
      </c>
      <c r="I277" s="8" t="s">
        <v>142</v>
      </c>
      <c r="J277" s="8" t="s">
        <v>110</v>
      </c>
      <c r="K277" s="8" t="s">
        <v>126</v>
      </c>
      <c r="L277" s="8" t="s">
        <v>267</v>
      </c>
      <c r="M277" s="8">
        <v>17</v>
      </c>
      <c r="N277" s="8">
        <v>45</v>
      </c>
      <c r="O277" s="8">
        <v>5</v>
      </c>
      <c r="P277" s="8">
        <v>726.75</v>
      </c>
      <c r="Q277" s="8">
        <v>4</v>
      </c>
      <c r="R277" s="8" t="s">
        <v>38</v>
      </c>
      <c r="S277" s="8" t="s">
        <v>119</v>
      </c>
      <c r="T277" s="8" t="s">
        <v>148</v>
      </c>
      <c r="U277" s="9" t="s">
        <v>1304</v>
      </c>
      <c r="V277" s="8" t="s">
        <v>68</v>
      </c>
    </row>
    <row r="278" spans="1:22">
      <c r="A278" s="3" t="s">
        <v>1305</v>
      </c>
      <c r="B278" s="4" t="s">
        <v>87</v>
      </c>
      <c r="C278" s="4" t="s">
        <v>188</v>
      </c>
      <c r="D278" s="4" t="s">
        <v>1306</v>
      </c>
      <c r="E278" s="4" t="s">
        <v>174</v>
      </c>
      <c r="F278" s="4" t="s">
        <v>184</v>
      </c>
      <c r="G278" s="4" t="s">
        <v>80</v>
      </c>
      <c r="H278" s="4" t="s">
        <v>1307</v>
      </c>
      <c r="I278" s="4" t="s">
        <v>63</v>
      </c>
      <c r="J278" s="4" t="s">
        <v>35</v>
      </c>
      <c r="K278" s="4" t="s">
        <v>50</v>
      </c>
      <c r="L278" s="4" t="s">
        <v>193</v>
      </c>
      <c r="M278" s="4">
        <v>8</v>
      </c>
      <c r="N278" s="4">
        <v>700</v>
      </c>
      <c r="O278" s="4">
        <v>15</v>
      </c>
      <c r="P278" s="4">
        <v>4760</v>
      </c>
      <c r="Q278" s="4">
        <v>4</v>
      </c>
      <c r="R278" s="4" t="s">
        <v>52</v>
      </c>
      <c r="S278" s="4" t="s">
        <v>39</v>
      </c>
      <c r="T278" s="4" t="s">
        <v>93</v>
      </c>
      <c r="U278" s="6" t="s">
        <v>1308</v>
      </c>
      <c r="V278" s="4" t="s">
        <v>68</v>
      </c>
    </row>
    <row r="279" spans="1:22">
      <c r="A279" s="7" t="s">
        <v>1309</v>
      </c>
      <c r="B279" s="8" t="s">
        <v>172</v>
      </c>
      <c r="C279" s="8" t="s">
        <v>28</v>
      </c>
      <c r="D279" s="8" t="s">
        <v>1310</v>
      </c>
      <c r="E279" s="8" t="s">
        <v>1311</v>
      </c>
      <c r="F279" s="8" t="s">
        <v>365</v>
      </c>
      <c r="G279" s="8" t="s">
        <v>32</v>
      </c>
      <c r="H279" s="8" t="s">
        <v>1312</v>
      </c>
      <c r="I279" s="8" t="s">
        <v>109</v>
      </c>
      <c r="J279" s="8" t="s">
        <v>110</v>
      </c>
      <c r="K279" s="8" t="s">
        <v>36</v>
      </c>
      <c r="L279" s="8" t="s">
        <v>37</v>
      </c>
      <c r="M279" s="8">
        <v>15</v>
      </c>
      <c r="N279" s="8">
        <v>2200</v>
      </c>
      <c r="O279" s="8">
        <v>10</v>
      </c>
      <c r="P279" s="8">
        <v>29700</v>
      </c>
      <c r="Q279" s="8">
        <v>5</v>
      </c>
      <c r="R279" s="8" t="s">
        <v>92</v>
      </c>
      <c r="S279" s="8" t="s">
        <v>155</v>
      </c>
      <c r="T279" s="8" t="s">
        <v>179</v>
      </c>
      <c r="U279" s="9" t="s">
        <v>1313</v>
      </c>
      <c r="V279" s="8" t="s">
        <v>42</v>
      </c>
    </row>
    <row r="280" spans="1:22">
      <c r="A280" s="3" t="s">
        <v>1314</v>
      </c>
      <c r="B280" s="4" t="s">
        <v>104</v>
      </c>
      <c r="C280" s="4" t="s">
        <v>28</v>
      </c>
      <c r="D280" s="4" t="s">
        <v>864</v>
      </c>
      <c r="E280" s="4" t="s">
        <v>1315</v>
      </c>
      <c r="F280" s="4" t="s">
        <v>107</v>
      </c>
      <c r="G280" s="4" t="s">
        <v>32</v>
      </c>
      <c r="H280" s="4" t="s">
        <v>1316</v>
      </c>
      <c r="I280" s="4" t="s">
        <v>109</v>
      </c>
      <c r="J280" s="4" t="s">
        <v>110</v>
      </c>
      <c r="K280" s="4" t="s">
        <v>36</v>
      </c>
      <c r="L280" s="4" t="s">
        <v>37</v>
      </c>
      <c r="M280" s="4">
        <v>1</v>
      </c>
      <c r="N280" s="4">
        <v>2200</v>
      </c>
      <c r="O280" s="4">
        <v>0</v>
      </c>
      <c r="P280" s="4">
        <v>2200</v>
      </c>
      <c r="Q280" s="4">
        <v>4</v>
      </c>
      <c r="R280" s="4" t="s">
        <v>38</v>
      </c>
      <c r="S280" s="4" t="s">
        <v>53</v>
      </c>
      <c r="T280" s="4" t="s">
        <v>148</v>
      </c>
      <c r="U280" s="6" t="s">
        <v>1317</v>
      </c>
      <c r="V280" s="4" t="s">
        <v>73</v>
      </c>
    </row>
    <row r="281" spans="1:22">
      <c r="A281" s="7" t="s">
        <v>1318</v>
      </c>
      <c r="B281" s="8" t="s">
        <v>255</v>
      </c>
      <c r="C281" s="8" t="s">
        <v>96</v>
      </c>
      <c r="D281" s="8" t="s">
        <v>876</v>
      </c>
      <c r="E281" s="8" t="s">
        <v>1319</v>
      </c>
      <c r="F281" s="8" t="s">
        <v>258</v>
      </c>
      <c r="G281" s="8" t="s">
        <v>32</v>
      </c>
      <c r="H281" s="8" t="s">
        <v>1320</v>
      </c>
      <c r="I281" s="8" t="s">
        <v>142</v>
      </c>
      <c r="J281" s="8" t="s">
        <v>110</v>
      </c>
      <c r="K281" s="8" t="s">
        <v>36</v>
      </c>
      <c r="L281" s="8" t="s">
        <v>101</v>
      </c>
      <c r="M281" s="8">
        <v>10</v>
      </c>
      <c r="N281" s="8">
        <v>3500</v>
      </c>
      <c r="O281" s="8">
        <v>10</v>
      </c>
      <c r="P281" s="8">
        <v>31500</v>
      </c>
      <c r="Q281" s="8">
        <v>4</v>
      </c>
      <c r="R281" s="8" t="s">
        <v>52</v>
      </c>
      <c r="S281" s="8" t="s">
        <v>39</v>
      </c>
      <c r="T281" s="8" t="s">
        <v>260</v>
      </c>
      <c r="U281" s="9" t="s">
        <v>1321</v>
      </c>
      <c r="V281" s="8" t="s">
        <v>73</v>
      </c>
    </row>
    <row r="282" spans="1:22">
      <c r="A282" s="3" t="s">
        <v>1322</v>
      </c>
      <c r="B282" s="4" t="s">
        <v>75</v>
      </c>
      <c r="C282" s="4" t="s">
        <v>96</v>
      </c>
      <c r="D282" s="4" t="s">
        <v>1323</v>
      </c>
      <c r="E282" s="4" t="s">
        <v>1324</v>
      </c>
      <c r="F282" s="4" t="s">
        <v>221</v>
      </c>
      <c r="G282" s="4" t="s">
        <v>80</v>
      </c>
      <c r="H282" s="4" t="s">
        <v>1325</v>
      </c>
      <c r="I282" s="4" t="s">
        <v>216</v>
      </c>
      <c r="J282" s="4" t="s">
        <v>49</v>
      </c>
      <c r="K282" s="4" t="s">
        <v>36</v>
      </c>
      <c r="L282" s="4" t="s">
        <v>101</v>
      </c>
      <c r="M282" s="4">
        <v>16</v>
      </c>
      <c r="N282" s="4">
        <v>3500</v>
      </c>
      <c r="O282" s="4">
        <v>15</v>
      </c>
      <c r="P282" s="4">
        <v>47600</v>
      </c>
      <c r="Q282" s="4">
        <v>1</v>
      </c>
      <c r="R282" s="4" t="s">
        <v>83</v>
      </c>
      <c r="S282" s="4" t="s">
        <v>119</v>
      </c>
      <c r="T282" s="4" t="s">
        <v>84</v>
      </c>
      <c r="U282" s="6" t="s">
        <v>1326</v>
      </c>
      <c r="V282" s="4" t="s">
        <v>68</v>
      </c>
    </row>
    <row r="283" spans="1:22">
      <c r="A283" s="7" t="s">
        <v>1327</v>
      </c>
      <c r="B283" s="8" t="s">
        <v>255</v>
      </c>
      <c r="C283" s="8" t="s">
        <v>44</v>
      </c>
      <c r="D283" s="8" t="s">
        <v>1328</v>
      </c>
      <c r="E283" s="8" t="s">
        <v>29</v>
      </c>
      <c r="F283" s="8" t="s">
        <v>258</v>
      </c>
      <c r="G283" s="8" t="s">
        <v>32</v>
      </c>
      <c r="H283" s="8" t="s">
        <v>1329</v>
      </c>
      <c r="I283" s="8" t="s">
        <v>216</v>
      </c>
      <c r="J283" s="8" t="s">
        <v>49</v>
      </c>
      <c r="K283" s="8" t="s">
        <v>50</v>
      </c>
      <c r="L283" s="8" t="s">
        <v>51</v>
      </c>
      <c r="M283" s="8">
        <v>1</v>
      </c>
      <c r="N283" s="8">
        <v>12000</v>
      </c>
      <c r="O283" s="8">
        <v>0</v>
      </c>
      <c r="P283" s="8">
        <v>12000</v>
      </c>
      <c r="Q283" s="8">
        <v>4</v>
      </c>
      <c r="R283" s="8" t="s">
        <v>52</v>
      </c>
      <c r="S283" s="8" t="s">
        <v>119</v>
      </c>
      <c r="T283" s="8" t="s">
        <v>260</v>
      </c>
      <c r="U283" s="9" t="s">
        <v>1330</v>
      </c>
      <c r="V283" s="8" t="s">
        <v>73</v>
      </c>
    </row>
    <row r="284" spans="1:22">
      <c r="A284" s="3" t="s">
        <v>1331</v>
      </c>
      <c r="B284" s="4" t="s">
        <v>87</v>
      </c>
      <c r="C284" s="4" t="s">
        <v>188</v>
      </c>
      <c r="D284" s="4" t="s">
        <v>1332</v>
      </c>
      <c r="E284" s="4" t="s">
        <v>610</v>
      </c>
      <c r="F284" s="4" t="s">
        <v>184</v>
      </c>
      <c r="G284" s="4" t="s">
        <v>80</v>
      </c>
      <c r="H284" s="4" t="s">
        <v>1333</v>
      </c>
      <c r="I284" s="4" t="s">
        <v>109</v>
      </c>
      <c r="J284" s="4" t="s">
        <v>110</v>
      </c>
      <c r="K284" s="4" t="s">
        <v>50</v>
      </c>
      <c r="L284" s="4" t="s">
        <v>193</v>
      </c>
      <c r="M284" s="4">
        <v>6</v>
      </c>
      <c r="N284" s="4">
        <v>700</v>
      </c>
      <c r="O284" s="4">
        <v>20</v>
      </c>
      <c r="P284" s="4">
        <v>3360</v>
      </c>
      <c r="Q284" s="4">
        <v>2</v>
      </c>
      <c r="R284" s="4" t="s">
        <v>52</v>
      </c>
      <c r="S284" s="4" t="s">
        <v>119</v>
      </c>
      <c r="T284" s="4" t="s">
        <v>93</v>
      </c>
      <c r="U284" s="6" t="s">
        <v>1334</v>
      </c>
      <c r="V284" s="4" t="s">
        <v>68</v>
      </c>
    </row>
    <row r="285" spans="1:22">
      <c r="A285" s="7" t="s">
        <v>1335</v>
      </c>
      <c r="B285" s="8" t="s">
        <v>75</v>
      </c>
      <c r="C285" s="8" t="s">
        <v>28</v>
      </c>
      <c r="D285" s="8" t="s">
        <v>927</v>
      </c>
      <c r="E285" s="8" t="s">
        <v>1336</v>
      </c>
      <c r="F285" s="8" t="s">
        <v>221</v>
      </c>
      <c r="G285" s="8" t="s">
        <v>80</v>
      </c>
      <c r="H285" s="8" t="s">
        <v>1337</v>
      </c>
      <c r="I285" s="8" t="s">
        <v>142</v>
      </c>
      <c r="J285" s="8" t="s">
        <v>110</v>
      </c>
      <c r="K285" s="8" t="s">
        <v>36</v>
      </c>
      <c r="L285" s="8" t="s">
        <v>37</v>
      </c>
      <c r="M285" s="8">
        <v>3</v>
      </c>
      <c r="N285" s="8">
        <v>2200</v>
      </c>
      <c r="O285" s="8">
        <v>0</v>
      </c>
      <c r="P285" s="8">
        <v>6600</v>
      </c>
      <c r="Q285" s="8">
        <v>4</v>
      </c>
      <c r="R285" s="8" t="s">
        <v>83</v>
      </c>
      <c r="S285" s="8" t="s">
        <v>39</v>
      </c>
      <c r="T285" s="8" t="s">
        <v>84</v>
      </c>
      <c r="U285" s="9" t="s">
        <v>1338</v>
      </c>
      <c r="V285" s="8" t="s">
        <v>42</v>
      </c>
    </row>
    <row r="286" spans="1:22">
      <c r="A286" s="3" t="s">
        <v>1339</v>
      </c>
      <c r="B286" s="4" t="s">
        <v>255</v>
      </c>
      <c r="C286" s="4" t="s">
        <v>263</v>
      </c>
      <c r="D286" s="4" t="s">
        <v>1202</v>
      </c>
      <c r="E286" s="4" t="s">
        <v>220</v>
      </c>
      <c r="F286" s="4" t="s">
        <v>258</v>
      </c>
      <c r="G286" s="4" t="s">
        <v>32</v>
      </c>
      <c r="H286" s="4" t="s">
        <v>1340</v>
      </c>
      <c r="I286" s="4" t="s">
        <v>34</v>
      </c>
      <c r="J286" s="4" t="s">
        <v>35</v>
      </c>
      <c r="K286" s="4" t="s">
        <v>126</v>
      </c>
      <c r="L286" s="4" t="s">
        <v>267</v>
      </c>
      <c r="M286" s="4">
        <v>6</v>
      </c>
      <c r="N286" s="4">
        <v>45</v>
      </c>
      <c r="O286" s="4">
        <v>15</v>
      </c>
      <c r="P286" s="4">
        <v>229.5</v>
      </c>
      <c r="Q286" s="4">
        <v>1</v>
      </c>
      <c r="R286" s="4" t="s">
        <v>92</v>
      </c>
      <c r="S286" s="4" t="s">
        <v>53</v>
      </c>
      <c r="T286" s="4" t="s">
        <v>260</v>
      </c>
      <c r="U286" s="6" t="s">
        <v>1341</v>
      </c>
      <c r="V286" s="4" t="s">
        <v>42</v>
      </c>
    </row>
    <row r="287" spans="1:22">
      <c r="A287" s="7" t="s">
        <v>1342</v>
      </c>
      <c r="B287" s="8" t="s">
        <v>255</v>
      </c>
      <c r="C287" s="8" t="s">
        <v>76</v>
      </c>
      <c r="D287" s="8" t="s">
        <v>30</v>
      </c>
      <c r="E287" s="8" t="s">
        <v>1343</v>
      </c>
      <c r="F287" s="8" t="s">
        <v>258</v>
      </c>
      <c r="G287" s="8" t="s">
        <v>32</v>
      </c>
      <c r="H287" s="8" t="s">
        <v>1344</v>
      </c>
      <c r="I287" s="8" t="s">
        <v>63</v>
      </c>
      <c r="J287" s="8" t="s">
        <v>35</v>
      </c>
      <c r="K287" s="8" t="s">
        <v>50</v>
      </c>
      <c r="L287" s="8" t="s">
        <v>82</v>
      </c>
      <c r="M287" s="8">
        <v>2</v>
      </c>
      <c r="N287" s="8">
        <v>1200</v>
      </c>
      <c r="O287" s="8">
        <v>0</v>
      </c>
      <c r="P287" s="8">
        <v>2400</v>
      </c>
      <c r="Q287" s="8">
        <v>1</v>
      </c>
      <c r="R287" s="8" t="s">
        <v>38</v>
      </c>
      <c r="S287" s="8" t="s">
        <v>155</v>
      </c>
      <c r="T287" s="8" t="s">
        <v>260</v>
      </c>
      <c r="U287" s="9" t="s">
        <v>1345</v>
      </c>
      <c r="V287" s="8" t="s">
        <v>73</v>
      </c>
    </row>
    <row r="288" spans="1:22">
      <c r="A288" s="3" t="s">
        <v>1346</v>
      </c>
      <c r="B288" s="4" t="s">
        <v>172</v>
      </c>
      <c r="C288" s="4" t="s">
        <v>188</v>
      </c>
      <c r="D288" s="4" t="s">
        <v>1347</v>
      </c>
      <c r="E288" s="4" t="s">
        <v>1348</v>
      </c>
      <c r="F288" s="4" t="s">
        <v>365</v>
      </c>
      <c r="G288" s="4" t="s">
        <v>32</v>
      </c>
      <c r="H288" s="4" t="s">
        <v>1349</v>
      </c>
      <c r="I288" s="4" t="s">
        <v>34</v>
      </c>
      <c r="J288" s="4" t="s">
        <v>35</v>
      </c>
      <c r="K288" s="4" t="s">
        <v>50</v>
      </c>
      <c r="L288" s="4" t="s">
        <v>193</v>
      </c>
      <c r="M288" s="4">
        <v>14</v>
      </c>
      <c r="N288" s="4">
        <v>700</v>
      </c>
      <c r="O288" s="4">
        <v>15</v>
      </c>
      <c r="P288" s="4">
        <v>8330</v>
      </c>
      <c r="Q288" s="4">
        <v>5</v>
      </c>
      <c r="R288" s="4" t="s">
        <v>38</v>
      </c>
      <c r="S288" s="4" t="s">
        <v>119</v>
      </c>
      <c r="T288" s="4" t="s">
        <v>179</v>
      </c>
      <c r="U288" s="6" t="s">
        <v>1350</v>
      </c>
      <c r="V288" s="4" t="s">
        <v>68</v>
      </c>
    </row>
    <row r="289" spans="1:22">
      <c r="A289" s="7" t="s">
        <v>1351</v>
      </c>
      <c r="B289" s="8" t="s">
        <v>104</v>
      </c>
      <c r="C289" s="8" t="s">
        <v>226</v>
      </c>
      <c r="D289" s="8" t="s">
        <v>295</v>
      </c>
      <c r="E289" s="8" t="s">
        <v>511</v>
      </c>
      <c r="F289" s="8" t="s">
        <v>107</v>
      </c>
      <c r="G289" s="8" t="s">
        <v>32</v>
      </c>
      <c r="H289" s="8" t="s">
        <v>1352</v>
      </c>
      <c r="I289" s="8" t="s">
        <v>109</v>
      </c>
      <c r="J289" s="8" t="s">
        <v>110</v>
      </c>
      <c r="K289" s="8" t="s">
        <v>126</v>
      </c>
      <c r="L289" s="8" t="s">
        <v>231</v>
      </c>
      <c r="M289" s="8">
        <v>13</v>
      </c>
      <c r="N289" s="8">
        <v>20</v>
      </c>
      <c r="O289" s="8">
        <v>5</v>
      </c>
      <c r="P289" s="8">
        <v>247</v>
      </c>
      <c r="Q289" s="8">
        <v>1</v>
      </c>
      <c r="R289" s="8" t="s">
        <v>83</v>
      </c>
      <c r="S289" s="8" t="s">
        <v>39</v>
      </c>
      <c r="T289" s="8" t="s">
        <v>1353</v>
      </c>
      <c r="U289" s="9" t="s">
        <v>1354</v>
      </c>
      <c r="V289" s="8" t="s">
        <v>68</v>
      </c>
    </row>
    <row r="290" spans="1:22">
      <c r="A290" s="3" t="s">
        <v>1355</v>
      </c>
      <c r="B290" s="4" t="s">
        <v>75</v>
      </c>
      <c r="C290" s="4" t="s">
        <v>28</v>
      </c>
      <c r="D290" s="4" t="s">
        <v>139</v>
      </c>
      <c r="E290" s="4" t="s">
        <v>140</v>
      </c>
      <c r="F290" s="4" t="s">
        <v>221</v>
      </c>
      <c r="G290" s="4" t="s">
        <v>80</v>
      </c>
      <c r="H290" s="4" t="s">
        <v>1356</v>
      </c>
      <c r="I290" s="4" t="s">
        <v>118</v>
      </c>
      <c r="J290" s="4" t="s">
        <v>110</v>
      </c>
      <c r="K290" s="4" t="s">
        <v>36</v>
      </c>
      <c r="L290" s="4" t="s">
        <v>37</v>
      </c>
      <c r="M290" s="4">
        <v>3</v>
      </c>
      <c r="N290" s="4">
        <v>2200</v>
      </c>
      <c r="O290" s="4">
        <v>0</v>
      </c>
      <c r="P290" s="4">
        <v>6600</v>
      </c>
      <c r="Q290" s="4">
        <v>4</v>
      </c>
      <c r="R290" s="4" t="s">
        <v>52</v>
      </c>
      <c r="S290" s="4" t="s">
        <v>65</v>
      </c>
      <c r="T290" s="4" t="s">
        <v>84</v>
      </c>
      <c r="U290" s="6" t="s">
        <v>1357</v>
      </c>
      <c r="V290" s="4" t="s">
        <v>73</v>
      </c>
    </row>
    <row r="291" spans="1:22">
      <c r="A291" s="7" t="s">
        <v>1358</v>
      </c>
      <c r="B291" s="8" t="s">
        <v>75</v>
      </c>
      <c r="C291" s="8" t="s">
        <v>122</v>
      </c>
      <c r="D291" s="8" t="s">
        <v>454</v>
      </c>
      <c r="E291" s="8" t="s">
        <v>927</v>
      </c>
      <c r="F291" s="8" t="s">
        <v>221</v>
      </c>
      <c r="G291" s="8" t="s">
        <v>80</v>
      </c>
      <c r="H291" s="8" t="s">
        <v>1359</v>
      </c>
      <c r="I291" s="8" t="s">
        <v>118</v>
      </c>
      <c r="J291" s="8" t="s">
        <v>110</v>
      </c>
      <c r="K291" s="8" t="s">
        <v>126</v>
      </c>
      <c r="L291" s="8" t="s">
        <v>127</v>
      </c>
      <c r="M291" s="8">
        <v>3</v>
      </c>
      <c r="N291" s="8">
        <v>60</v>
      </c>
      <c r="O291" s="8">
        <v>15</v>
      </c>
      <c r="P291" s="8">
        <v>153</v>
      </c>
      <c r="Q291" s="8">
        <v>4</v>
      </c>
      <c r="R291" s="8" t="s">
        <v>92</v>
      </c>
      <c r="S291" s="8" t="s">
        <v>119</v>
      </c>
      <c r="T291" s="8" t="s">
        <v>84</v>
      </c>
      <c r="U291" s="9" t="s">
        <v>1360</v>
      </c>
      <c r="V291" s="8" t="s">
        <v>42</v>
      </c>
    </row>
    <row r="292" spans="1:22">
      <c r="A292" s="3" t="s">
        <v>1361</v>
      </c>
      <c r="B292" s="4" t="s">
        <v>131</v>
      </c>
      <c r="C292" s="4" t="s">
        <v>96</v>
      </c>
      <c r="D292" s="4" t="s">
        <v>628</v>
      </c>
      <c r="E292" s="4" t="s">
        <v>829</v>
      </c>
      <c r="F292" s="4" t="s">
        <v>204</v>
      </c>
      <c r="G292" s="4" t="s">
        <v>80</v>
      </c>
      <c r="H292" s="4" t="s">
        <v>588</v>
      </c>
      <c r="I292" s="4" t="s">
        <v>109</v>
      </c>
      <c r="J292" s="4" t="s">
        <v>110</v>
      </c>
      <c r="K292" s="4" t="s">
        <v>36</v>
      </c>
      <c r="L292" s="4" t="s">
        <v>101</v>
      </c>
      <c r="M292" s="4">
        <v>9</v>
      </c>
      <c r="N292" s="4">
        <v>3500</v>
      </c>
      <c r="O292" s="4">
        <v>5</v>
      </c>
      <c r="P292" s="4">
        <v>29925</v>
      </c>
      <c r="Q292" s="4">
        <v>1</v>
      </c>
      <c r="R292" s="4" t="s">
        <v>38</v>
      </c>
      <c r="S292" s="4" t="s">
        <v>65</v>
      </c>
      <c r="T292" s="4" t="s">
        <v>136</v>
      </c>
      <c r="U292" s="6" t="s">
        <v>1362</v>
      </c>
      <c r="V292" s="4" t="s">
        <v>68</v>
      </c>
    </row>
    <row r="293" spans="1:22">
      <c r="A293" s="7" t="s">
        <v>1363</v>
      </c>
      <c r="B293" s="8" t="s">
        <v>331</v>
      </c>
      <c r="C293" s="8" t="s">
        <v>76</v>
      </c>
      <c r="D293" s="8" t="s">
        <v>124</v>
      </c>
      <c r="E293" s="8" t="s">
        <v>1364</v>
      </c>
      <c r="F293" s="8" t="s">
        <v>398</v>
      </c>
      <c r="G293" s="8" t="s">
        <v>80</v>
      </c>
      <c r="H293" s="8" t="s">
        <v>1365</v>
      </c>
      <c r="I293" s="8" t="s">
        <v>216</v>
      </c>
      <c r="J293" s="8" t="s">
        <v>49</v>
      </c>
      <c r="K293" s="8" t="s">
        <v>50</v>
      </c>
      <c r="L293" s="8" t="s">
        <v>82</v>
      </c>
      <c r="M293" s="8">
        <v>5</v>
      </c>
      <c r="N293" s="8">
        <v>1200</v>
      </c>
      <c r="O293" s="8">
        <v>20</v>
      </c>
      <c r="P293" s="8">
        <v>4800</v>
      </c>
      <c r="Q293" s="8">
        <v>2</v>
      </c>
      <c r="R293" s="8" t="s">
        <v>92</v>
      </c>
      <c r="S293" s="8" t="s">
        <v>119</v>
      </c>
      <c r="T293" s="8" t="s">
        <v>336</v>
      </c>
      <c r="U293" s="9" t="s">
        <v>1366</v>
      </c>
      <c r="V293" s="8" t="s">
        <v>68</v>
      </c>
    </row>
    <row r="294" spans="1:22">
      <c r="A294" s="3" t="s">
        <v>1367</v>
      </c>
      <c r="B294" s="4" t="s">
        <v>57</v>
      </c>
      <c r="C294" s="4" t="s">
        <v>76</v>
      </c>
      <c r="D294" s="4" t="s">
        <v>1035</v>
      </c>
      <c r="E294" s="4" t="s">
        <v>914</v>
      </c>
      <c r="F294" s="4" t="s">
        <v>167</v>
      </c>
      <c r="G294" s="4" t="s">
        <v>32</v>
      </c>
      <c r="H294" s="4" t="s">
        <v>1368</v>
      </c>
      <c r="I294" s="4" t="s">
        <v>216</v>
      </c>
      <c r="J294" s="4" t="s">
        <v>49</v>
      </c>
      <c r="K294" s="4" t="s">
        <v>50</v>
      </c>
      <c r="L294" s="4" t="s">
        <v>82</v>
      </c>
      <c r="M294" s="4">
        <v>10</v>
      </c>
      <c r="N294" s="4">
        <v>1200</v>
      </c>
      <c r="O294" s="4">
        <v>20</v>
      </c>
      <c r="P294" s="4">
        <v>9600</v>
      </c>
      <c r="Q294" s="4">
        <v>4</v>
      </c>
      <c r="R294" s="4" t="s">
        <v>38</v>
      </c>
      <c r="S294" s="4" t="s">
        <v>53</v>
      </c>
      <c r="T294" s="5" t="s">
        <v>1369</v>
      </c>
      <c r="U294" s="6" t="s">
        <v>1370</v>
      </c>
      <c r="V294" s="4" t="s">
        <v>42</v>
      </c>
    </row>
    <row r="295" spans="1:22">
      <c r="A295" s="7" t="s">
        <v>1371</v>
      </c>
      <c r="B295" s="8" t="s">
        <v>27</v>
      </c>
      <c r="C295" s="8" t="s">
        <v>76</v>
      </c>
      <c r="D295" s="8" t="s">
        <v>1372</v>
      </c>
      <c r="E295" s="8" t="s">
        <v>1373</v>
      </c>
      <c r="F295" s="8" t="s">
        <v>31</v>
      </c>
      <c r="G295" s="8" t="s">
        <v>32</v>
      </c>
      <c r="H295" s="8" t="s">
        <v>1374</v>
      </c>
      <c r="I295" s="8" t="s">
        <v>142</v>
      </c>
      <c r="J295" s="8" t="s">
        <v>110</v>
      </c>
      <c r="K295" s="8" t="s">
        <v>50</v>
      </c>
      <c r="L295" s="8" t="s">
        <v>82</v>
      </c>
      <c r="M295" s="8">
        <v>5</v>
      </c>
      <c r="N295" s="8">
        <v>1200</v>
      </c>
      <c r="O295" s="8">
        <v>20</v>
      </c>
      <c r="P295" s="8">
        <v>4800</v>
      </c>
      <c r="Q295" s="8">
        <v>3</v>
      </c>
      <c r="R295" s="8" t="s">
        <v>52</v>
      </c>
      <c r="S295" s="8" t="s">
        <v>155</v>
      </c>
      <c r="T295" s="8" t="s">
        <v>54</v>
      </c>
      <c r="U295" s="9" t="s">
        <v>1375</v>
      </c>
      <c r="V295" s="8" t="s">
        <v>42</v>
      </c>
    </row>
    <row r="296" spans="1:22">
      <c r="A296" s="3" t="s">
        <v>1376</v>
      </c>
      <c r="B296" s="4" t="s">
        <v>172</v>
      </c>
      <c r="C296" s="4" t="s">
        <v>226</v>
      </c>
      <c r="D296" s="4" t="s">
        <v>1377</v>
      </c>
      <c r="E296" s="4" t="s">
        <v>1378</v>
      </c>
      <c r="F296" s="4" t="s">
        <v>365</v>
      </c>
      <c r="G296" s="4" t="s">
        <v>32</v>
      </c>
      <c r="H296" s="4" t="s">
        <v>1379</v>
      </c>
      <c r="I296" s="4" t="s">
        <v>109</v>
      </c>
      <c r="J296" s="4" t="s">
        <v>110</v>
      </c>
      <c r="K296" s="4" t="s">
        <v>126</v>
      </c>
      <c r="L296" s="4" t="s">
        <v>231</v>
      </c>
      <c r="M296" s="4">
        <v>10</v>
      </c>
      <c r="N296" s="4">
        <v>20</v>
      </c>
      <c r="O296" s="4">
        <v>5</v>
      </c>
      <c r="P296" s="4">
        <v>190</v>
      </c>
      <c r="Q296" s="4">
        <v>4</v>
      </c>
      <c r="R296" s="4" t="s">
        <v>38</v>
      </c>
      <c r="S296" s="4" t="s">
        <v>155</v>
      </c>
      <c r="T296" s="4" t="s">
        <v>179</v>
      </c>
      <c r="U296" s="6" t="s">
        <v>1380</v>
      </c>
      <c r="V296" s="4" t="s">
        <v>68</v>
      </c>
    </row>
    <row r="297" spans="1:22">
      <c r="A297" s="7" t="s">
        <v>1381</v>
      </c>
      <c r="B297" s="8" t="s">
        <v>104</v>
      </c>
      <c r="C297" s="8" t="s">
        <v>122</v>
      </c>
      <c r="D297" s="8" t="s">
        <v>1382</v>
      </c>
      <c r="E297" s="8" t="s">
        <v>1383</v>
      </c>
      <c r="F297" s="8" t="s">
        <v>107</v>
      </c>
      <c r="G297" s="8" t="s">
        <v>32</v>
      </c>
      <c r="H297" s="8" t="s">
        <v>1384</v>
      </c>
      <c r="I297" s="8" t="s">
        <v>48</v>
      </c>
      <c r="J297" s="8" t="s">
        <v>49</v>
      </c>
      <c r="K297" s="8" t="s">
        <v>126</v>
      </c>
      <c r="L297" s="8" t="s">
        <v>127</v>
      </c>
      <c r="M297" s="8">
        <v>20</v>
      </c>
      <c r="N297" s="8">
        <v>60</v>
      </c>
      <c r="O297" s="8">
        <v>15</v>
      </c>
      <c r="P297" s="8">
        <v>1020</v>
      </c>
      <c r="Q297" s="8">
        <v>5</v>
      </c>
      <c r="R297" s="8" t="s">
        <v>83</v>
      </c>
      <c r="S297" s="8" t="s">
        <v>39</v>
      </c>
      <c r="T297" s="8" t="s">
        <v>148</v>
      </c>
      <c r="U297" s="9" t="s">
        <v>1385</v>
      </c>
      <c r="V297" s="8" t="s">
        <v>68</v>
      </c>
    </row>
    <row r="298" spans="1:22">
      <c r="A298" s="3" t="s">
        <v>1386</v>
      </c>
      <c r="B298" s="4" t="s">
        <v>331</v>
      </c>
      <c r="C298" s="4" t="s">
        <v>28</v>
      </c>
      <c r="D298" s="4" t="s">
        <v>1364</v>
      </c>
      <c r="E298" s="4" t="s">
        <v>581</v>
      </c>
      <c r="F298" s="4" t="s">
        <v>398</v>
      </c>
      <c r="G298" s="4" t="s">
        <v>80</v>
      </c>
      <c r="H298" s="4" t="s">
        <v>1387</v>
      </c>
      <c r="I298" s="4" t="s">
        <v>142</v>
      </c>
      <c r="J298" s="4" t="s">
        <v>110</v>
      </c>
      <c r="K298" s="4" t="s">
        <v>36</v>
      </c>
      <c r="L298" s="4" t="s">
        <v>37</v>
      </c>
      <c r="M298" s="4">
        <v>7</v>
      </c>
      <c r="N298" s="4">
        <v>2200</v>
      </c>
      <c r="O298" s="4">
        <v>15</v>
      </c>
      <c r="P298" s="4">
        <v>13090</v>
      </c>
      <c r="Q298" s="4">
        <v>4</v>
      </c>
      <c r="R298" s="4" t="s">
        <v>38</v>
      </c>
      <c r="S298" s="4" t="s">
        <v>65</v>
      </c>
      <c r="T298" s="4" t="s">
        <v>336</v>
      </c>
      <c r="U298" s="6" t="s">
        <v>1388</v>
      </c>
      <c r="V298" s="4" t="s">
        <v>73</v>
      </c>
    </row>
    <row r="299" spans="1:22">
      <c r="A299" s="7" t="s">
        <v>1389</v>
      </c>
      <c r="B299" s="8" t="s">
        <v>131</v>
      </c>
      <c r="C299" s="8" t="s">
        <v>58</v>
      </c>
      <c r="D299" s="8" t="s">
        <v>623</v>
      </c>
      <c r="E299" s="8" t="s">
        <v>764</v>
      </c>
      <c r="F299" s="8" t="s">
        <v>204</v>
      </c>
      <c r="G299" s="8" t="s">
        <v>80</v>
      </c>
      <c r="H299" s="8" t="s">
        <v>1390</v>
      </c>
      <c r="I299" s="8" t="s">
        <v>34</v>
      </c>
      <c r="J299" s="8" t="s">
        <v>35</v>
      </c>
      <c r="K299" s="8" t="s">
        <v>50</v>
      </c>
      <c r="L299" s="8" t="s">
        <v>64</v>
      </c>
      <c r="M299" s="8">
        <v>11</v>
      </c>
      <c r="N299" s="8">
        <v>55000</v>
      </c>
      <c r="O299" s="8">
        <v>5</v>
      </c>
      <c r="P299" s="8">
        <v>574750</v>
      </c>
      <c r="Q299" s="8">
        <v>1</v>
      </c>
      <c r="R299" s="8" t="s">
        <v>92</v>
      </c>
      <c r="S299" s="8" t="s">
        <v>39</v>
      </c>
      <c r="T299" s="8" t="s">
        <v>136</v>
      </c>
      <c r="U299" s="9" t="s">
        <v>1391</v>
      </c>
      <c r="V299" s="8" t="s">
        <v>73</v>
      </c>
    </row>
    <row r="300" spans="1:22">
      <c r="A300" s="3" t="s">
        <v>1392</v>
      </c>
      <c r="B300" s="4" t="s">
        <v>87</v>
      </c>
      <c r="C300" s="4" t="s">
        <v>96</v>
      </c>
      <c r="D300" s="4" t="s">
        <v>312</v>
      </c>
      <c r="E300" s="4" t="s">
        <v>1393</v>
      </c>
      <c r="F300" s="4" t="s">
        <v>184</v>
      </c>
      <c r="G300" s="4" t="s">
        <v>80</v>
      </c>
      <c r="H300" s="4" t="s">
        <v>1394</v>
      </c>
      <c r="I300" s="4" t="s">
        <v>216</v>
      </c>
      <c r="J300" s="4" t="s">
        <v>49</v>
      </c>
      <c r="K300" s="4" t="s">
        <v>36</v>
      </c>
      <c r="L300" s="4" t="s">
        <v>101</v>
      </c>
      <c r="M300" s="4">
        <v>12</v>
      </c>
      <c r="N300" s="4">
        <v>3500</v>
      </c>
      <c r="O300" s="4">
        <v>0</v>
      </c>
      <c r="P300" s="4">
        <v>42000</v>
      </c>
      <c r="Q300" s="4">
        <v>2</v>
      </c>
      <c r="R300" s="4" t="s">
        <v>52</v>
      </c>
      <c r="S300" s="4"/>
      <c r="T300" s="4" t="s">
        <v>93</v>
      </c>
      <c r="U300" s="6" t="s">
        <v>1395</v>
      </c>
      <c r="V300" s="4" t="s">
        <v>68</v>
      </c>
    </row>
    <row r="301" spans="1:22">
      <c r="A301" s="7" t="s">
        <v>1396</v>
      </c>
      <c r="B301" s="8" t="s">
        <v>75</v>
      </c>
      <c r="C301" s="8" t="s">
        <v>263</v>
      </c>
      <c r="D301" s="8" t="s">
        <v>98</v>
      </c>
      <c r="E301" s="8" t="s">
        <v>302</v>
      </c>
      <c r="F301" s="8" t="s">
        <v>221</v>
      </c>
      <c r="G301" s="8" t="s">
        <v>80</v>
      </c>
      <c r="H301" s="8" t="s">
        <v>1397</v>
      </c>
      <c r="I301" s="8" t="s">
        <v>34</v>
      </c>
      <c r="J301" s="8" t="s">
        <v>35</v>
      </c>
      <c r="K301" s="8" t="s">
        <v>126</v>
      </c>
      <c r="L301" s="8" t="s">
        <v>267</v>
      </c>
      <c r="M301" s="8">
        <v>15</v>
      </c>
      <c r="N301" s="8">
        <v>45</v>
      </c>
      <c r="O301" s="8">
        <v>10</v>
      </c>
      <c r="P301" s="8">
        <v>607.5</v>
      </c>
      <c r="Q301" s="8">
        <v>2</v>
      </c>
      <c r="R301" s="8" t="s">
        <v>38</v>
      </c>
      <c r="S301" s="8" t="s">
        <v>155</v>
      </c>
      <c r="T301" s="8" t="s">
        <v>84</v>
      </c>
      <c r="U301" s="9" t="s">
        <v>1398</v>
      </c>
      <c r="V301" s="8" t="s">
        <v>68</v>
      </c>
    </row>
    <row r="302" spans="1:22">
      <c r="A302" s="3" t="s">
        <v>1399</v>
      </c>
      <c r="B302" s="4" t="s">
        <v>331</v>
      </c>
      <c r="C302" s="4" t="s">
        <v>263</v>
      </c>
      <c r="D302" s="4" t="s">
        <v>1324</v>
      </c>
      <c r="E302" s="4" t="s">
        <v>940</v>
      </c>
      <c r="F302" s="4" t="s">
        <v>398</v>
      </c>
      <c r="G302" s="4" t="s">
        <v>80</v>
      </c>
      <c r="H302" s="4" t="s">
        <v>1400</v>
      </c>
      <c r="I302" s="4" t="s">
        <v>63</v>
      </c>
      <c r="J302" s="4" t="s">
        <v>35</v>
      </c>
      <c r="K302" s="4" t="s">
        <v>126</v>
      </c>
      <c r="L302" s="4" t="s">
        <v>267</v>
      </c>
      <c r="M302" s="4">
        <v>13</v>
      </c>
      <c r="N302" s="4">
        <v>45</v>
      </c>
      <c r="O302" s="4">
        <v>0</v>
      </c>
      <c r="P302" s="4">
        <v>585</v>
      </c>
      <c r="Q302" s="4">
        <v>5</v>
      </c>
      <c r="R302" s="4" t="s">
        <v>52</v>
      </c>
      <c r="S302" s="4" t="s">
        <v>53</v>
      </c>
      <c r="T302" s="4" t="s">
        <v>336</v>
      </c>
      <c r="U302" s="6" t="s">
        <v>1401</v>
      </c>
      <c r="V302" s="4" t="s">
        <v>68</v>
      </c>
    </row>
    <row r="303" spans="1:22">
      <c r="A303" s="7" t="s">
        <v>1402</v>
      </c>
      <c r="B303" s="8" t="s">
        <v>131</v>
      </c>
      <c r="C303" s="8" t="s">
        <v>58</v>
      </c>
      <c r="D303" s="8" t="s">
        <v>715</v>
      </c>
      <c r="E303" s="8" t="s">
        <v>1203</v>
      </c>
      <c r="F303" s="8" t="s">
        <v>204</v>
      </c>
      <c r="G303" s="8" t="s">
        <v>80</v>
      </c>
      <c r="H303" s="8" t="s">
        <v>1403</v>
      </c>
      <c r="I303" s="8" t="s">
        <v>63</v>
      </c>
      <c r="J303" s="8" t="s">
        <v>35</v>
      </c>
      <c r="K303" s="8" t="s">
        <v>50</v>
      </c>
      <c r="L303" s="8" t="s">
        <v>64</v>
      </c>
      <c r="M303" s="8">
        <v>8</v>
      </c>
      <c r="N303" s="8">
        <v>55000</v>
      </c>
      <c r="O303" s="8">
        <v>0</v>
      </c>
      <c r="P303" s="8">
        <v>440000</v>
      </c>
      <c r="Q303" s="8">
        <v>2</v>
      </c>
      <c r="R303" s="8" t="s">
        <v>92</v>
      </c>
      <c r="S303" s="8" t="s">
        <v>155</v>
      </c>
      <c r="T303" s="8" t="s">
        <v>136</v>
      </c>
      <c r="U303" s="9" t="s">
        <v>1404</v>
      </c>
      <c r="V303" s="8" t="s">
        <v>73</v>
      </c>
    </row>
    <row r="304" spans="1:22">
      <c r="A304" s="3" t="s">
        <v>1405</v>
      </c>
      <c r="B304" s="4" t="s">
        <v>255</v>
      </c>
      <c r="C304" s="4" t="s">
        <v>58</v>
      </c>
      <c r="D304" s="4" t="s">
        <v>834</v>
      </c>
      <c r="E304" s="4" t="s">
        <v>385</v>
      </c>
      <c r="F304" s="4" t="s">
        <v>258</v>
      </c>
      <c r="G304" s="4" t="s">
        <v>32</v>
      </c>
      <c r="H304" s="4" t="s">
        <v>1406</v>
      </c>
      <c r="I304" s="4" t="s">
        <v>48</v>
      </c>
      <c r="J304" s="4" t="s">
        <v>49</v>
      </c>
      <c r="K304" s="4" t="s">
        <v>50</v>
      </c>
      <c r="L304" s="4" t="s">
        <v>64</v>
      </c>
      <c r="M304" s="4">
        <v>4</v>
      </c>
      <c r="N304" s="4">
        <v>55000</v>
      </c>
      <c r="O304" s="4">
        <v>20</v>
      </c>
      <c r="P304" s="4">
        <v>176000</v>
      </c>
      <c r="Q304" s="4">
        <v>5</v>
      </c>
      <c r="R304" s="4" t="s">
        <v>38</v>
      </c>
      <c r="S304" s="4" t="s">
        <v>53</v>
      </c>
      <c r="T304" s="4" t="s">
        <v>260</v>
      </c>
      <c r="U304" s="6" t="s">
        <v>1407</v>
      </c>
      <c r="V304" s="4" t="s">
        <v>68</v>
      </c>
    </row>
    <row r="305" spans="1:22">
      <c r="A305" s="7" t="s">
        <v>1408</v>
      </c>
      <c r="B305" s="8" t="s">
        <v>27</v>
      </c>
      <c r="C305" s="8" t="s">
        <v>96</v>
      </c>
      <c r="D305" s="8" t="s">
        <v>1409</v>
      </c>
      <c r="E305" s="8" t="s">
        <v>720</v>
      </c>
      <c r="F305" s="8" t="s">
        <v>31</v>
      </c>
      <c r="G305" s="8" t="s">
        <v>32</v>
      </c>
      <c r="H305" s="8" t="s">
        <v>1410</v>
      </c>
      <c r="I305" s="8" t="s">
        <v>142</v>
      </c>
      <c r="J305" s="8" t="s">
        <v>110</v>
      </c>
      <c r="K305" s="8" t="s">
        <v>36</v>
      </c>
      <c r="L305" s="8" t="s">
        <v>101</v>
      </c>
      <c r="M305" s="8">
        <v>19</v>
      </c>
      <c r="N305" s="8">
        <v>3500</v>
      </c>
      <c r="O305" s="8">
        <v>5</v>
      </c>
      <c r="P305" s="8">
        <v>63175</v>
      </c>
      <c r="Q305" s="8">
        <v>1</v>
      </c>
      <c r="R305" s="8" t="s">
        <v>83</v>
      </c>
      <c r="S305" s="8" t="s">
        <v>119</v>
      </c>
      <c r="T305" s="8" t="s">
        <v>54</v>
      </c>
      <c r="U305" s="9" t="s">
        <v>1411</v>
      </c>
      <c r="V305" s="8" t="s">
        <v>42</v>
      </c>
    </row>
    <row r="306" spans="1:22">
      <c r="A306" s="3" t="s">
        <v>1412</v>
      </c>
      <c r="B306" s="4" t="s">
        <v>225</v>
      </c>
      <c r="C306" s="4" t="s">
        <v>76</v>
      </c>
      <c r="D306" s="4" t="s">
        <v>1413</v>
      </c>
      <c r="E306" s="4" t="s">
        <v>418</v>
      </c>
      <c r="F306" s="4" t="s">
        <v>229</v>
      </c>
      <c r="G306" s="4" t="s">
        <v>80</v>
      </c>
      <c r="H306" s="4" t="s">
        <v>1414</v>
      </c>
      <c r="I306" s="4" t="s">
        <v>216</v>
      </c>
      <c r="J306" s="4" t="s">
        <v>49</v>
      </c>
      <c r="K306" s="4" t="s">
        <v>50</v>
      </c>
      <c r="L306" s="4" t="s">
        <v>82</v>
      </c>
      <c r="M306" s="4">
        <v>17</v>
      </c>
      <c r="N306" s="4">
        <v>1200</v>
      </c>
      <c r="O306" s="4">
        <v>15</v>
      </c>
      <c r="P306" s="4">
        <v>17340</v>
      </c>
      <c r="Q306" s="4">
        <v>2</v>
      </c>
      <c r="R306" s="4" t="s">
        <v>52</v>
      </c>
      <c r="S306" s="4" t="s">
        <v>53</v>
      </c>
      <c r="T306" s="4" t="s">
        <v>232</v>
      </c>
      <c r="U306" s="6" t="s">
        <v>1415</v>
      </c>
      <c r="V306" s="4" t="s">
        <v>42</v>
      </c>
    </row>
    <row r="307" spans="1:22">
      <c r="A307" s="7" t="s">
        <v>1416</v>
      </c>
      <c r="B307" s="8" t="s">
        <v>27</v>
      </c>
      <c r="C307" s="8" t="s">
        <v>28</v>
      </c>
      <c r="D307" s="8" t="s">
        <v>454</v>
      </c>
      <c r="E307" s="8" t="s">
        <v>740</v>
      </c>
      <c r="F307" s="8" t="s">
        <v>31</v>
      </c>
      <c r="G307" s="8" t="s">
        <v>32</v>
      </c>
      <c r="H307" s="8" t="s">
        <v>1417</v>
      </c>
      <c r="I307" s="8" t="s">
        <v>34</v>
      </c>
      <c r="J307" s="8" t="s">
        <v>35</v>
      </c>
      <c r="K307" s="8" t="s">
        <v>36</v>
      </c>
      <c r="L307" s="8" t="s">
        <v>37</v>
      </c>
      <c r="M307" s="8">
        <v>8</v>
      </c>
      <c r="N307" s="8">
        <v>2200</v>
      </c>
      <c r="O307" s="8">
        <v>5</v>
      </c>
      <c r="P307" s="8">
        <v>16720</v>
      </c>
      <c r="Q307" s="8">
        <v>3</v>
      </c>
      <c r="R307" s="8" t="s">
        <v>83</v>
      </c>
      <c r="S307" s="8" t="s">
        <v>119</v>
      </c>
      <c r="T307" s="8" t="s">
        <v>54</v>
      </c>
      <c r="U307" s="9" t="s">
        <v>1418</v>
      </c>
      <c r="V307" s="8" t="s">
        <v>68</v>
      </c>
    </row>
    <row r="308" spans="1:22">
      <c r="A308" s="3" t="s">
        <v>1419</v>
      </c>
      <c r="B308" s="4" t="s">
        <v>255</v>
      </c>
      <c r="C308" s="4" t="s">
        <v>188</v>
      </c>
      <c r="D308" s="4" t="s">
        <v>991</v>
      </c>
      <c r="E308" s="4" t="s">
        <v>391</v>
      </c>
      <c r="F308" s="4" t="s">
        <v>258</v>
      </c>
      <c r="G308" s="4" t="s">
        <v>32</v>
      </c>
      <c r="H308" s="4" t="s">
        <v>817</v>
      </c>
      <c r="I308" s="4" t="s">
        <v>109</v>
      </c>
      <c r="J308" s="4" t="s">
        <v>110</v>
      </c>
      <c r="K308" s="4" t="s">
        <v>50</v>
      </c>
      <c r="L308" s="4" t="s">
        <v>193</v>
      </c>
      <c r="M308" s="4">
        <v>17</v>
      </c>
      <c r="N308" s="4">
        <v>700</v>
      </c>
      <c r="O308" s="4">
        <v>20</v>
      </c>
      <c r="P308" s="4">
        <v>9520</v>
      </c>
      <c r="Q308" s="4">
        <v>4</v>
      </c>
      <c r="R308" s="4" t="s">
        <v>52</v>
      </c>
      <c r="S308" s="4" t="s">
        <v>119</v>
      </c>
      <c r="T308" s="4" t="s">
        <v>260</v>
      </c>
      <c r="U308" s="6" t="s">
        <v>1420</v>
      </c>
      <c r="V308" s="4" t="s">
        <v>42</v>
      </c>
    </row>
    <row r="309" spans="1:22">
      <c r="A309" s="7" t="s">
        <v>1421</v>
      </c>
      <c r="B309" s="8" t="s">
        <v>255</v>
      </c>
      <c r="C309" s="8" t="s">
        <v>173</v>
      </c>
      <c r="D309" s="8" t="s">
        <v>376</v>
      </c>
      <c r="E309" s="8" t="s">
        <v>250</v>
      </c>
      <c r="F309" s="8" t="s">
        <v>258</v>
      </c>
      <c r="G309" s="8" t="s">
        <v>32</v>
      </c>
      <c r="H309" s="8" t="s">
        <v>1219</v>
      </c>
      <c r="I309" s="8" t="s">
        <v>118</v>
      </c>
      <c r="J309" s="8" t="s">
        <v>110</v>
      </c>
      <c r="K309" s="8" t="s">
        <v>36</v>
      </c>
      <c r="L309" s="8" t="s">
        <v>178</v>
      </c>
      <c r="M309" s="8">
        <v>6</v>
      </c>
      <c r="N309" s="8">
        <v>8500</v>
      </c>
      <c r="O309" s="8">
        <v>15</v>
      </c>
      <c r="P309" s="8">
        <v>43350</v>
      </c>
      <c r="Q309" s="8">
        <v>1</v>
      </c>
      <c r="R309" s="8" t="s">
        <v>38</v>
      </c>
      <c r="S309" s="8" t="s">
        <v>65</v>
      </c>
      <c r="T309" s="8" t="s">
        <v>260</v>
      </c>
      <c r="U309" s="9" t="s">
        <v>1422</v>
      </c>
      <c r="V309" s="8" t="s">
        <v>42</v>
      </c>
    </row>
    <row r="310" spans="1:22">
      <c r="A310" s="3" t="s">
        <v>1423</v>
      </c>
      <c r="B310" s="4" t="s">
        <v>57</v>
      </c>
      <c r="C310" s="4" t="s">
        <v>96</v>
      </c>
      <c r="D310" s="4" t="s">
        <v>945</v>
      </c>
      <c r="E310" s="4" t="s">
        <v>349</v>
      </c>
      <c r="F310" s="4" t="s">
        <v>167</v>
      </c>
      <c r="G310" s="4" t="s">
        <v>32</v>
      </c>
      <c r="H310" s="4" t="s">
        <v>1424</v>
      </c>
      <c r="I310" s="4" t="s">
        <v>34</v>
      </c>
      <c r="J310" s="4" t="s">
        <v>35</v>
      </c>
      <c r="K310" s="4" t="s">
        <v>36</v>
      </c>
      <c r="L310" s="4" t="s">
        <v>101</v>
      </c>
      <c r="M310" s="4">
        <v>3</v>
      </c>
      <c r="N310" s="4">
        <v>3500</v>
      </c>
      <c r="O310" s="4">
        <v>10</v>
      </c>
      <c r="P310" s="4">
        <v>9450</v>
      </c>
      <c r="Q310" s="4">
        <v>1</v>
      </c>
      <c r="R310" s="4" t="s">
        <v>52</v>
      </c>
      <c r="S310" s="4" t="s">
        <v>53</v>
      </c>
      <c r="T310" s="4" t="s">
        <v>66</v>
      </c>
      <c r="U310" s="6" t="s">
        <v>1425</v>
      </c>
      <c r="V310" s="4" t="s">
        <v>42</v>
      </c>
    </row>
    <row r="311" spans="1:22">
      <c r="A311" s="7" t="s">
        <v>1426</v>
      </c>
      <c r="B311" s="8" t="s">
        <v>75</v>
      </c>
      <c r="C311" s="8" t="s">
        <v>44</v>
      </c>
      <c r="D311" s="8" t="s">
        <v>1382</v>
      </c>
      <c r="E311" s="8" t="s">
        <v>787</v>
      </c>
      <c r="F311" s="8" t="s">
        <v>221</v>
      </c>
      <c r="G311" s="8" t="s">
        <v>80</v>
      </c>
      <c r="H311" s="8" t="s">
        <v>1427</v>
      </c>
      <c r="I311" s="8" t="s">
        <v>142</v>
      </c>
      <c r="J311" s="8" t="s">
        <v>110</v>
      </c>
      <c r="K311" s="8" t="s">
        <v>50</v>
      </c>
      <c r="L311" s="8" t="s">
        <v>51</v>
      </c>
      <c r="M311" s="8">
        <v>2</v>
      </c>
      <c r="N311" s="8">
        <v>12000</v>
      </c>
      <c r="O311" s="8">
        <v>20</v>
      </c>
      <c r="P311" s="8">
        <v>19200</v>
      </c>
      <c r="Q311" s="8">
        <v>1</v>
      </c>
      <c r="R311" s="8" t="s">
        <v>83</v>
      </c>
      <c r="S311" s="8" t="s">
        <v>65</v>
      </c>
      <c r="T311" s="8" t="s">
        <v>84</v>
      </c>
      <c r="U311" s="9" t="s">
        <v>1428</v>
      </c>
      <c r="V311" s="8" t="s">
        <v>42</v>
      </c>
    </row>
    <row r="312" spans="1:22">
      <c r="A312" s="3" t="s">
        <v>1429</v>
      </c>
      <c r="B312" s="4" t="s">
        <v>225</v>
      </c>
      <c r="C312" s="4" t="s">
        <v>226</v>
      </c>
      <c r="D312" s="4" t="s">
        <v>344</v>
      </c>
      <c r="E312" s="4" t="s">
        <v>1430</v>
      </c>
      <c r="F312" s="4" t="s">
        <v>229</v>
      </c>
      <c r="G312" s="4" t="s">
        <v>80</v>
      </c>
      <c r="H312" s="4" t="s">
        <v>1431</v>
      </c>
      <c r="I312" s="4" t="s">
        <v>48</v>
      </c>
      <c r="J312" s="4" t="s">
        <v>49</v>
      </c>
      <c r="K312" s="4" t="s">
        <v>126</v>
      </c>
      <c r="L312" s="4" t="s">
        <v>231</v>
      </c>
      <c r="M312" s="4">
        <v>12</v>
      </c>
      <c r="N312" s="4">
        <v>20</v>
      </c>
      <c r="O312" s="4">
        <v>20</v>
      </c>
      <c r="P312" s="4">
        <v>192</v>
      </c>
      <c r="Q312" s="4">
        <v>2</v>
      </c>
      <c r="R312" s="4" t="s">
        <v>83</v>
      </c>
      <c r="S312" s="4" t="s">
        <v>53</v>
      </c>
      <c r="T312" s="4" t="s">
        <v>232</v>
      </c>
      <c r="U312" s="6" t="s">
        <v>1432</v>
      </c>
      <c r="V312" s="4" t="s">
        <v>42</v>
      </c>
    </row>
    <row r="313" spans="1:22">
      <c r="A313" s="7" t="s">
        <v>1433</v>
      </c>
      <c r="B313" s="8" t="s">
        <v>104</v>
      </c>
      <c r="C313" s="8" t="s">
        <v>44</v>
      </c>
      <c r="D313" s="8" t="s">
        <v>720</v>
      </c>
      <c r="E313" s="8" t="s">
        <v>1434</v>
      </c>
      <c r="F313" s="8" t="s">
        <v>107</v>
      </c>
      <c r="G313" s="8" t="s">
        <v>32</v>
      </c>
      <c r="H313" s="8" t="s">
        <v>1435</v>
      </c>
      <c r="I313" s="8" t="s">
        <v>298</v>
      </c>
      <c r="J313" s="8" t="s">
        <v>299</v>
      </c>
      <c r="K313" s="8" t="s">
        <v>50</v>
      </c>
      <c r="L313" s="8" t="s">
        <v>51</v>
      </c>
      <c r="M313" s="8">
        <v>20</v>
      </c>
      <c r="N313" s="8">
        <v>12000</v>
      </c>
      <c r="O313" s="8">
        <v>15</v>
      </c>
      <c r="P313" s="8">
        <v>204000</v>
      </c>
      <c r="Q313" s="8">
        <v>3</v>
      </c>
      <c r="R313" s="8" t="s">
        <v>38</v>
      </c>
      <c r="S313" s="8" t="s">
        <v>39</v>
      </c>
      <c r="T313" s="8" t="s">
        <v>148</v>
      </c>
      <c r="U313" s="9" t="s">
        <v>1436</v>
      </c>
      <c r="V313" s="8" t="s">
        <v>68</v>
      </c>
    </row>
    <row r="314" spans="1:22">
      <c r="A314" s="3" t="s">
        <v>1437</v>
      </c>
      <c r="B314" s="4" t="s">
        <v>57</v>
      </c>
      <c r="C314" s="4" t="s">
        <v>122</v>
      </c>
      <c r="D314" s="4" t="s">
        <v>402</v>
      </c>
      <c r="E314" s="4" t="s">
        <v>744</v>
      </c>
      <c r="F314" s="4" t="s">
        <v>167</v>
      </c>
      <c r="G314" s="4" t="s">
        <v>32</v>
      </c>
      <c r="H314" s="4" t="s">
        <v>1438</v>
      </c>
      <c r="I314" s="4" t="s">
        <v>216</v>
      </c>
      <c r="J314" s="4" t="s">
        <v>49</v>
      </c>
      <c r="K314" s="4" t="s">
        <v>126</v>
      </c>
      <c r="L314" s="4" t="s">
        <v>127</v>
      </c>
      <c r="M314" s="4">
        <v>13</v>
      </c>
      <c r="N314" s="4">
        <v>60</v>
      </c>
      <c r="O314" s="4">
        <v>10</v>
      </c>
      <c r="P314" s="4">
        <v>702</v>
      </c>
      <c r="Q314" s="4">
        <v>5</v>
      </c>
      <c r="R314" s="4" t="s">
        <v>38</v>
      </c>
      <c r="S314" s="4" t="s">
        <v>39</v>
      </c>
      <c r="T314" s="4" t="s">
        <v>66</v>
      </c>
      <c r="U314" s="6" t="s">
        <v>1439</v>
      </c>
      <c r="V314" s="4" t="s">
        <v>68</v>
      </c>
    </row>
    <row r="315" spans="1:22">
      <c r="A315" s="7" t="s">
        <v>1440</v>
      </c>
      <c r="B315" s="8" t="s">
        <v>75</v>
      </c>
      <c r="C315" s="8" t="s">
        <v>58</v>
      </c>
      <c r="D315" s="8" t="s">
        <v>1441</v>
      </c>
      <c r="E315" s="8" t="s">
        <v>1298</v>
      </c>
      <c r="F315" s="8" t="s">
        <v>221</v>
      </c>
      <c r="G315" s="8" t="s">
        <v>80</v>
      </c>
      <c r="H315" s="8" t="s">
        <v>1442</v>
      </c>
      <c r="I315" s="8" t="s">
        <v>118</v>
      </c>
      <c r="J315" s="8" t="s">
        <v>110</v>
      </c>
      <c r="K315" s="8" t="s">
        <v>50</v>
      </c>
      <c r="L315" s="8" t="s">
        <v>64</v>
      </c>
      <c r="M315" s="8">
        <v>13</v>
      </c>
      <c r="N315" s="8">
        <v>55000</v>
      </c>
      <c r="O315" s="8">
        <v>5</v>
      </c>
      <c r="P315" s="8">
        <v>679250</v>
      </c>
      <c r="Q315" s="8">
        <v>1</v>
      </c>
      <c r="R315" s="8" t="s">
        <v>92</v>
      </c>
      <c r="S315" s="8" t="s">
        <v>155</v>
      </c>
      <c r="T315" s="8" t="s">
        <v>84</v>
      </c>
      <c r="U315" s="9" t="s">
        <v>1443</v>
      </c>
      <c r="V315" s="8" t="s">
        <v>68</v>
      </c>
    </row>
    <row r="316" spans="1:22">
      <c r="A316" s="3" t="s">
        <v>1444</v>
      </c>
      <c r="B316" s="4" t="s">
        <v>104</v>
      </c>
      <c r="C316" s="4" t="s">
        <v>76</v>
      </c>
      <c r="D316" s="4" t="s">
        <v>801</v>
      </c>
      <c r="E316" s="4" t="s">
        <v>802</v>
      </c>
      <c r="F316" s="4" t="s">
        <v>107</v>
      </c>
      <c r="G316" s="4" t="s">
        <v>32</v>
      </c>
      <c r="H316" s="4" t="s">
        <v>1445</v>
      </c>
      <c r="I316" s="4" t="s">
        <v>63</v>
      </c>
      <c r="J316" s="4" t="s">
        <v>35</v>
      </c>
      <c r="K316" s="4" t="s">
        <v>50</v>
      </c>
      <c r="L316" s="4" t="s">
        <v>82</v>
      </c>
      <c r="M316" s="4">
        <v>7</v>
      </c>
      <c r="N316" s="4">
        <v>1200</v>
      </c>
      <c r="O316" s="4">
        <v>15</v>
      </c>
      <c r="P316" s="4">
        <v>7140</v>
      </c>
      <c r="Q316" s="4">
        <v>5</v>
      </c>
      <c r="R316" s="4" t="s">
        <v>92</v>
      </c>
      <c r="S316" s="4" t="s">
        <v>53</v>
      </c>
      <c r="T316" s="4" t="s">
        <v>148</v>
      </c>
      <c r="U316" s="6" t="s">
        <v>1446</v>
      </c>
      <c r="V316" s="4" t="s">
        <v>68</v>
      </c>
    </row>
    <row r="317" spans="1:22">
      <c r="A317" s="7" t="s">
        <v>1447</v>
      </c>
      <c r="B317" s="8" t="s">
        <v>87</v>
      </c>
      <c r="C317" s="8" t="s">
        <v>44</v>
      </c>
      <c r="D317" s="8" t="s">
        <v>965</v>
      </c>
      <c r="E317" s="8" t="s">
        <v>1448</v>
      </c>
      <c r="F317" s="8" t="s">
        <v>184</v>
      </c>
      <c r="G317" s="8" t="s">
        <v>80</v>
      </c>
      <c r="H317" s="8" t="s">
        <v>1449</v>
      </c>
      <c r="I317" s="8" t="s">
        <v>216</v>
      </c>
      <c r="J317" s="8" t="s">
        <v>49</v>
      </c>
      <c r="K317" s="8" t="s">
        <v>50</v>
      </c>
      <c r="L317" s="8" t="s">
        <v>51</v>
      </c>
      <c r="M317" s="8">
        <v>17</v>
      </c>
      <c r="N317" s="8">
        <v>12000</v>
      </c>
      <c r="O317" s="8">
        <v>5</v>
      </c>
      <c r="P317" s="8">
        <v>193800</v>
      </c>
      <c r="Q317" s="8">
        <v>1</v>
      </c>
      <c r="R317" s="8" t="s">
        <v>38</v>
      </c>
      <c r="S317" s="8" t="s">
        <v>65</v>
      </c>
      <c r="T317" s="8" t="s">
        <v>93</v>
      </c>
      <c r="U317" s="9" t="s">
        <v>1450</v>
      </c>
      <c r="V317" s="8" t="s">
        <v>73</v>
      </c>
    </row>
    <row r="318" spans="1:22">
      <c r="A318" s="3" t="s">
        <v>1451</v>
      </c>
      <c r="B318" s="4" t="s">
        <v>87</v>
      </c>
      <c r="C318" s="4" t="s">
        <v>226</v>
      </c>
      <c r="D318" s="4" t="s">
        <v>360</v>
      </c>
      <c r="E318" s="4" t="s">
        <v>521</v>
      </c>
      <c r="F318" s="4" t="s">
        <v>184</v>
      </c>
      <c r="G318" s="4" t="s">
        <v>80</v>
      </c>
      <c r="H318" s="4" t="s">
        <v>1452</v>
      </c>
      <c r="I318" s="4" t="s">
        <v>63</v>
      </c>
      <c r="J318" s="4" t="s">
        <v>35</v>
      </c>
      <c r="K318" s="4" t="s">
        <v>126</v>
      </c>
      <c r="L318" s="4" t="s">
        <v>231</v>
      </c>
      <c r="M318" s="4">
        <v>10</v>
      </c>
      <c r="N318" s="4">
        <v>20</v>
      </c>
      <c r="O318" s="4">
        <v>5</v>
      </c>
      <c r="P318" s="4">
        <v>190</v>
      </c>
      <c r="Q318" s="4">
        <v>2</v>
      </c>
      <c r="R318" s="4" t="s">
        <v>38</v>
      </c>
      <c r="S318" s="4" t="s">
        <v>65</v>
      </c>
      <c r="T318" s="4" t="s">
        <v>93</v>
      </c>
      <c r="U318" s="6" t="s">
        <v>1453</v>
      </c>
      <c r="V318" s="4" t="s">
        <v>73</v>
      </c>
    </row>
    <row r="319" spans="1:22">
      <c r="A319" s="7" t="s">
        <v>1454</v>
      </c>
      <c r="B319" s="8" t="s">
        <v>172</v>
      </c>
      <c r="C319" s="8" t="s">
        <v>28</v>
      </c>
      <c r="D319" s="8" t="s">
        <v>295</v>
      </c>
      <c r="E319" s="8" t="s">
        <v>1455</v>
      </c>
      <c r="F319" s="8" t="s">
        <v>365</v>
      </c>
      <c r="G319" s="8" t="s">
        <v>32</v>
      </c>
      <c r="H319" s="8" t="s">
        <v>1456</v>
      </c>
      <c r="I319" s="8" t="s">
        <v>48</v>
      </c>
      <c r="J319" s="8" t="s">
        <v>49</v>
      </c>
      <c r="K319" s="8" t="s">
        <v>36</v>
      </c>
      <c r="L319" s="8" t="s">
        <v>37</v>
      </c>
      <c r="M319" s="8">
        <v>11</v>
      </c>
      <c r="N319" s="8">
        <v>2200</v>
      </c>
      <c r="O319" s="8">
        <v>5</v>
      </c>
      <c r="P319" s="8">
        <v>22990</v>
      </c>
      <c r="Q319" s="8">
        <v>5</v>
      </c>
      <c r="R319" s="8" t="s">
        <v>83</v>
      </c>
      <c r="S319" s="8" t="s">
        <v>53</v>
      </c>
      <c r="T319" s="8" t="s">
        <v>179</v>
      </c>
      <c r="U319" s="9" t="s">
        <v>1457</v>
      </c>
      <c r="V319" s="8" t="s">
        <v>68</v>
      </c>
    </row>
    <row r="320" spans="1:22">
      <c r="A320" s="3" t="s">
        <v>1458</v>
      </c>
      <c r="B320" s="4" t="s">
        <v>104</v>
      </c>
      <c r="C320" s="4" t="s">
        <v>122</v>
      </c>
      <c r="D320" s="4" t="s">
        <v>1373</v>
      </c>
      <c r="E320" s="4" t="s">
        <v>182</v>
      </c>
      <c r="F320" s="4" t="s">
        <v>107</v>
      </c>
      <c r="G320" s="4" t="s">
        <v>32</v>
      </c>
      <c r="H320" s="4" t="s">
        <v>1459</v>
      </c>
      <c r="I320" s="4" t="s">
        <v>216</v>
      </c>
      <c r="J320" s="4" t="s">
        <v>49</v>
      </c>
      <c r="K320" s="4" t="s">
        <v>126</v>
      </c>
      <c r="L320" s="4" t="s">
        <v>127</v>
      </c>
      <c r="M320" s="4">
        <v>8</v>
      </c>
      <c r="N320" s="4">
        <v>60</v>
      </c>
      <c r="O320" s="4">
        <v>15</v>
      </c>
      <c r="P320" s="4">
        <v>408</v>
      </c>
      <c r="Q320" s="4">
        <v>4</v>
      </c>
      <c r="R320" s="4" t="s">
        <v>38</v>
      </c>
      <c r="S320" s="4" t="s">
        <v>53</v>
      </c>
      <c r="T320" s="4" t="s">
        <v>148</v>
      </c>
      <c r="U320" s="6" t="s">
        <v>1460</v>
      </c>
      <c r="V320" s="4" t="s">
        <v>68</v>
      </c>
    </row>
    <row r="321" spans="1:22">
      <c r="A321" s="7" t="s">
        <v>1461</v>
      </c>
      <c r="B321" s="8" t="s">
        <v>225</v>
      </c>
      <c r="C321" s="8" t="s">
        <v>263</v>
      </c>
      <c r="D321" s="8" t="s">
        <v>829</v>
      </c>
      <c r="E321" s="8" t="s">
        <v>123</v>
      </c>
      <c r="F321" s="8" t="s">
        <v>229</v>
      </c>
      <c r="G321" s="8" t="s">
        <v>80</v>
      </c>
      <c r="H321" s="8" t="s">
        <v>1462</v>
      </c>
      <c r="I321" s="8" t="s">
        <v>48</v>
      </c>
      <c r="J321" s="8" t="s">
        <v>49</v>
      </c>
      <c r="K321" s="8" t="s">
        <v>126</v>
      </c>
      <c r="L321" s="8" t="s">
        <v>267</v>
      </c>
      <c r="M321" s="8">
        <v>17</v>
      </c>
      <c r="N321" s="8">
        <v>45</v>
      </c>
      <c r="O321" s="8">
        <v>15</v>
      </c>
      <c r="P321" s="8">
        <v>650.25</v>
      </c>
      <c r="Q321" s="8">
        <v>2</v>
      </c>
      <c r="R321" s="8" t="s">
        <v>92</v>
      </c>
      <c r="S321" s="8" t="s">
        <v>155</v>
      </c>
      <c r="T321" s="8" t="s">
        <v>232</v>
      </c>
      <c r="U321" s="9" t="s">
        <v>1463</v>
      </c>
      <c r="V321" s="8" t="s">
        <v>42</v>
      </c>
    </row>
    <row r="322" spans="1:22">
      <c r="A322" s="3" t="s">
        <v>1464</v>
      </c>
      <c r="B322" s="4" t="s">
        <v>331</v>
      </c>
      <c r="C322" s="4" t="s">
        <v>188</v>
      </c>
      <c r="D322" s="4" t="s">
        <v>636</v>
      </c>
      <c r="E322" s="4" t="s">
        <v>1465</v>
      </c>
      <c r="F322" s="4" t="s">
        <v>398</v>
      </c>
      <c r="G322" s="4" t="s">
        <v>80</v>
      </c>
      <c r="H322" s="4" t="s">
        <v>1466</v>
      </c>
      <c r="I322" s="4" t="s">
        <v>216</v>
      </c>
      <c r="J322" s="4" t="s">
        <v>49</v>
      </c>
      <c r="K322" s="4" t="s">
        <v>50</v>
      </c>
      <c r="L322" s="4" t="s">
        <v>193</v>
      </c>
      <c r="M322" s="4">
        <v>14</v>
      </c>
      <c r="N322" s="4">
        <v>700</v>
      </c>
      <c r="O322" s="4">
        <v>15</v>
      </c>
      <c r="P322" s="4">
        <v>8330</v>
      </c>
      <c r="Q322" s="4">
        <v>1</v>
      </c>
      <c r="R322" s="4" t="s">
        <v>83</v>
      </c>
      <c r="S322" s="4" t="s">
        <v>119</v>
      </c>
      <c r="T322" s="4" t="s">
        <v>336</v>
      </c>
      <c r="U322" s="6" t="s">
        <v>1467</v>
      </c>
      <c r="V322" s="4" t="s">
        <v>42</v>
      </c>
    </row>
    <row r="323" spans="1:22">
      <c r="A323" s="7" t="s">
        <v>1468</v>
      </c>
      <c r="B323" s="8" t="s">
        <v>87</v>
      </c>
      <c r="C323" s="8" t="s">
        <v>76</v>
      </c>
      <c r="D323" s="8" t="s">
        <v>1469</v>
      </c>
      <c r="E323" s="8" t="s">
        <v>952</v>
      </c>
      <c r="F323" s="8" t="s">
        <v>184</v>
      </c>
      <c r="G323" s="8" t="s">
        <v>80</v>
      </c>
      <c r="H323" s="8" t="s">
        <v>1470</v>
      </c>
      <c r="I323" s="8" t="s">
        <v>118</v>
      </c>
      <c r="J323" s="8" t="s">
        <v>110</v>
      </c>
      <c r="K323" s="8" t="s">
        <v>50</v>
      </c>
      <c r="L323" s="8" t="s">
        <v>82</v>
      </c>
      <c r="M323" s="8">
        <v>3</v>
      </c>
      <c r="N323" s="8">
        <v>1200</v>
      </c>
      <c r="O323" s="8">
        <v>5</v>
      </c>
      <c r="P323" s="8">
        <v>3420</v>
      </c>
      <c r="Q323" s="8">
        <v>3</v>
      </c>
      <c r="R323" s="8" t="s">
        <v>52</v>
      </c>
      <c r="S323" s="8" t="s">
        <v>155</v>
      </c>
      <c r="T323" s="8" t="s">
        <v>93</v>
      </c>
      <c r="U323" s="9" t="s">
        <v>1471</v>
      </c>
      <c r="V323" s="8" t="s">
        <v>42</v>
      </c>
    </row>
    <row r="324" spans="1:22">
      <c r="A324" s="3" t="s">
        <v>1472</v>
      </c>
      <c r="B324" s="4" t="s">
        <v>27</v>
      </c>
      <c r="C324" s="4" t="s">
        <v>76</v>
      </c>
      <c r="D324" s="4" t="s">
        <v>493</v>
      </c>
      <c r="E324" s="4" t="s">
        <v>918</v>
      </c>
      <c r="F324" s="4" t="s">
        <v>31</v>
      </c>
      <c r="G324" s="4" t="s">
        <v>32</v>
      </c>
      <c r="H324" s="4" t="s">
        <v>1473</v>
      </c>
      <c r="I324" s="4" t="s">
        <v>142</v>
      </c>
      <c r="J324" s="4" t="s">
        <v>110</v>
      </c>
      <c r="K324" s="4" t="s">
        <v>50</v>
      </c>
      <c r="L324" s="4" t="s">
        <v>82</v>
      </c>
      <c r="M324" s="4">
        <v>9</v>
      </c>
      <c r="N324" s="4">
        <v>1200</v>
      </c>
      <c r="O324" s="4">
        <v>15</v>
      </c>
      <c r="P324" s="4">
        <v>9180</v>
      </c>
      <c r="Q324" s="4">
        <v>3</v>
      </c>
      <c r="R324" s="4" t="s">
        <v>38</v>
      </c>
      <c r="S324" s="4" t="s">
        <v>53</v>
      </c>
      <c r="T324" s="4" t="s">
        <v>54</v>
      </c>
      <c r="U324" s="6" t="s">
        <v>1474</v>
      </c>
      <c r="V324" s="4" t="s">
        <v>42</v>
      </c>
    </row>
    <row r="325" spans="1:22">
      <c r="A325" s="7" t="s">
        <v>1475</v>
      </c>
      <c r="B325" s="8" t="s">
        <v>255</v>
      </c>
      <c r="C325" s="8" t="s">
        <v>226</v>
      </c>
      <c r="D325" s="8" t="s">
        <v>228</v>
      </c>
      <c r="E325" s="8" t="s">
        <v>364</v>
      </c>
      <c r="F325" s="8" t="s">
        <v>258</v>
      </c>
      <c r="G325" s="8" t="s">
        <v>32</v>
      </c>
      <c r="H325" s="8" t="s">
        <v>1476</v>
      </c>
      <c r="I325" s="8" t="s">
        <v>109</v>
      </c>
      <c r="J325" s="8" t="s">
        <v>110</v>
      </c>
      <c r="K325" s="8" t="s">
        <v>126</v>
      </c>
      <c r="L325" s="8" t="s">
        <v>231</v>
      </c>
      <c r="M325" s="8">
        <v>5</v>
      </c>
      <c r="N325" s="8">
        <v>20</v>
      </c>
      <c r="O325" s="8">
        <v>5</v>
      </c>
      <c r="P325" s="8">
        <v>95</v>
      </c>
      <c r="Q325" s="8">
        <v>4</v>
      </c>
      <c r="R325" s="8" t="s">
        <v>38</v>
      </c>
      <c r="S325" s="8" t="s">
        <v>155</v>
      </c>
      <c r="T325" s="8" t="s">
        <v>260</v>
      </c>
      <c r="U325" s="9" t="s">
        <v>1477</v>
      </c>
      <c r="V325" s="8" t="s">
        <v>42</v>
      </c>
    </row>
    <row r="326" spans="1:22">
      <c r="A326" s="3" t="s">
        <v>1478</v>
      </c>
      <c r="B326" s="4" t="s">
        <v>255</v>
      </c>
      <c r="C326" s="4" t="s">
        <v>28</v>
      </c>
      <c r="D326" s="4" t="s">
        <v>1479</v>
      </c>
      <c r="E326" s="4" t="s">
        <v>1480</v>
      </c>
      <c r="F326" s="4" t="s">
        <v>258</v>
      </c>
      <c r="G326" s="4" t="s">
        <v>32</v>
      </c>
      <c r="H326" s="4" t="s">
        <v>1481</v>
      </c>
      <c r="I326" s="4" t="s">
        <v>142</v>
      </c>
      <c r="J326" s="4" t="s">
        <v>110</v>
      </c>
      <c r="K326" s="4" t="s">
        <v>36</v>
      </c>
      <c r="L326" s="4" t="s">
        <v>37</v>
      </c>
      <c r="M326" s="4">
        <v>8</v>
      </c>
      <c r="N326" s="4">
        <v>2200</v>
      </c>
      <c r="O326" s="4">
        <v>10</v>
      </c>
      <c r="P326" s="4">
        <v>15840</v>
      </c>
      <c r="Q326" s="4">
        <v>4</v>
      </c>
      <c r="R326" s="4" t="s">
        <v>92</v>
      </c>
      <c r="S326" s="4" t="s">
        <v>65</v>
      </c>
      <c r="T326" s="4" t="s">
        <v>260</v>
      </c>
      <c r="U326" s="6" t="s">
        <v>1482</v>
      </c>
      <c r="V326" s="4" t="s">
        <v>73</v>
      </c>
    </row>
    <row r="327" spans="1:22">
      <c r="A327" s="7" t="s">
        <v>1483</v>
      </c>
      <c r="B327" s="8" t="s">
        <v>255</v>
      </c>
      <c r="C327" s="8" t="s">
        <v>188</v>
      </c>
      <c r="D327" s="8" t="s">
        <v>302</v>
      </c>
      <c r="E327" s="8" t="s">
        <v>1484</v>
      </c>
      <c r="F327" s="8" t="s">
        <v>258</v>
      </c>
      <c r="G327" s="8" t="s">
        <v>32</v>
      </c>
      <c r="H327" s="8" t="s">
        <v>1485</v>
      </c>
      <c r="I327" s="8" t="s">
        <v>109</v>
      </c>
      <c r="J327" s="8" t="s">
        <v>110</v>
      </c>
      <c r="K327" s="8" t="s">
        <v>50</v>
      </c>
      <c r="L327" s="8" t="s">
        <v>193</v>
      </c>
      <c r="M327" s="8">
        <v>10</v>
      </c>
      <c r="N327" s="8">
        <v>700</v>
      </c>
      <c r="O327" s="8">
        <v>20</v>
      </c>
      <c r="P327" s="8">
        <v>5600</v>
      </c>
      <c r="Q327" s="8">
        <v>1</v>
      </c>
      <c r="R327" s="8" t="s">
        <v>92</v>
      </c>
      <c r="S327" s="8" t="s">
        <v>119</v>
      </c>
      <c r="T327" s="8" t="s">
        <v>260</v>
      </c>
      <c r="U327" s="9" t="s">
        <v>1486</v>
      </c>
      <c r="V327" s="8" t="s">
        <v>42</v>
      </c>
    </row>
    <row r="328" spans="1:22">
      <c r="A328" s="3" t="s">
        <v>1487</v>
      </c>
      <c r="B328" s="4" t="s">
        <v>87</v>
      </c>
      <c r="C328" s="4" t="s">
        <v>188</v>
      </c>
      <c r="D328" s="4" t="s">
        <v>1488</v>
      </c>
      <c r="E328" s="4" t="s">
        <v>1489</v>
      </c>
      <c r="F328" s="4" t="s">
        <v>184</v>
      </c>
      <c r="G328" s="4" t="s">
        <v>80</v>
      </c>
      <c r="H328" s="4" t="s">
        <v>1490</v>
      </c>
      <c r="I328" s="4" t="s">
        <v>63</v>
      </c>
      <c r="J328" s="4" t="s">
        <v>35</v>
      </c>
      <c r="K328" s="4" t="s">
        <v>50</v>
      </c>
      <c r="L328" s="4" t="s">
        <v>193</v>
      </c>
      <c r="M328" s="4">
        <v>2</v>
      </c>
      <c r="N328" s="4">
        <v>700</v>
      </c>
      <c r="O328" s="4">
        <v>20</v>
      </c>
      <c r="P328" s="4">
        <v>1120</v>
      </c>
      <c r="Q328" s="4">
        <v>2</v>
      </c>
      <c r="R328" s="4" t="s">
        <v>38</v>
      </c>
      <c r="S328" s="4" t="s">
        <v>119</v>
      </c>
      <c r="T328" s="4" t="s">
        <v>93</v>
      </c>
      <c r="U328" s="6" t="s">
        <v>1491</v>
      </c>
      <c r="V328" s="4" t="s">
        <v>68</v>
      </c>
    </row>
    <row r="329" spans="1:22">
      <c r="A329" s="7" t="s">
        <v>1492</v>
      </c>
      <c r="B329" s="8" t="s">
        <v>225</v>
      </c>
      <c r="C329" s="8" t="s">
        <v>96</v>
      </c>
      <c r="D329" s="8" t="s">
        <v>876</v>
      </c>
      <c r="E329" s="8" t="s">
        <v>969</v>
      </c>
      <c r="F329" s="8" t="s">
        <v>229</v>
      </c>
      <c r="G329" s="8" t="s">
        <v>80</v>
      </c>
      <c r="H329" s="8" t="s">
        <v>1493</v>
      </c>
      <c r="I329" s="8" t="s">
        <v>118</v>
      </c>
      <c r="J329" s="8" t="s">
        <v>110</v>
      </c>
      <c r="K329" s="8" t="s">
        <v>36</v>
      </c>
      <c r="L329" s="8" t="s">
        <v>101</v>
      </c>
      <c r="M329" s="8">
        <v>16</v>
      </c>
      <c r="N329" s="8">
        <v>3500</v>
      </c>
      <c r="O329" s="8">
        <v>20</v>
      </c>
      <c r="P329" s="8">
        <v>44800</v>
      </c>
      <c r="Q329" s="8">
        <v>2</v>
      </c>
      <c r="R329" s="8" t="s">
        <v>92</v>
      </c>
      <c r="S329" s="8" t="s">
        <v>39</v>
      </c>
      <c r="T329" s="8" t="s">
        <v>232</v>
      </c>
      <c r="U329" s="9" t="s">
        <v>1494</v>
      </c>
      <c r="V329" s="8" t="s">
        <v>68</v>
      </c>
    </row>
    <row r="330" spans="1:22">
      <c r="A330" s="3" t="s">
        <v>1495</v>
      </c>
      <c r="B330" s="4" t="s">
        <v>172</v>
      </c>
      <c r="C330" s="4" t="s">
        <v>96</v>
      </c>
      <c r="D330" s="4" t="s">
        <v>833</v>
      </c>
      <c r="E330" s="4" t="s">
        <v>760</v>
      </c>
      <c r="F330" s="4" t="s">
        <v>365</v>
      </c>
      <c r="G330" s="4" t="s">
        <v>32</v>
      </c>
      <c r="H330" s="4" t="s">
        <v>1496</v>
      </c>
      <c r="I330" s="4" t="s">
        <v>48</v>
      </c>
      <c r="J330" s="4" t="s">
        <v>49</v>
      </c>
      <c r="K330" s="4" t="s">
        <v>36</v>
      </c>
      <c r="L330" s="4" t="s">
        <v>101</v>
      </c>
      <c r="M330" s="4">
        <v>9</v>
      </c>
      <c r="N330" s="4">
        <v>3500</v>
      </c>
      <c r="O330" s="4">
        <v>20</v>
      </c>
      <c r="P330" s="4">
        <v>25200</v>
      </c>
      <c r="Q330" s="4">
        <v>1</v>
      </c>
      <c r="R330" s="4" t="s">
        <v>83</v>
      </c>
      <c r="S330" s="4" t="s">
        <v>53</v>
      </c>
      <c r="T330" s="4" t="s">
        <v>179</v>
      </c>
      <c r="U330" s="6" t="s">
        <v>1497</v>
      </c>
      <c r="V330" s="4" t="s">
        <v>73</v>
      </c>
    </row>
    <row r="331" spans="1:22">
      <c r="A331" s="7" t="s">
        <v>1498</v>
      </c>
      <c r="B331" s="8" t="s">
        <v>131</v>
      </c>
      <c r="C331" s="8" t="s">
        <v>188</v>
      </c>
      <c r="D331" s="8" t="s">
        <v>900</v>
      </c>
      <c r="E331" s="8" t="s">
        <v>534</v>
      </c>
      <c r="F331" s="8" t="s">
        <v>204</v>
      </c>
      <c r="G331" s="8" t="s">
        <v>80</v>
      </c>
      <c r="H331" s="8" t="s">
        <v>1499</v>
      </c>
      <c r="I331" s="8" t="s">
        <v>34</v>
      </c>
      <c r="J331" s="8" t="s">
        <v>35</v>
      </c>
      <c r="K331" s="8" t="s">
        <v>50</v>
      </c>
      <c r="L331" s="8" t="s">
        <v>193</v>
      </c>
      <c r="M331" s="8">
        <v>15</v>
      </c>
      <c r="N331" s="8">
        <v>700</v>
      </c>
      <c r="O331" s="8">
        <v>5</v>
      </c>
      <c r="P331" s="8">
        <v>9975</v>
      </c>
      <c r="Q331" s="8">
        <v>1</v>
      </c>
      <c r="R331" s="8" t="s">
        <v>38</v>
      </c>
      <c r="S331" s="8" t="s">
        <v>53</v>
      </c>
      <c r="T331" s="8" t="s">
        <v>136</v>
      </c>
      <c r="U331" s="9" t="s">
        <v>1500</v>
      </c>
      <c r="V331" s="8" t="s">
        <v>73</v>
      </c>
    </row>
    <row r="332" spans="1:22">
      <c r="A332" s="3" t="s">
        <v>1501</v>
      </c>
      <c r="B332" s="4" t="s">
        <v>57</v>
      </c>
      <c r="C332" s="4" t="s">
        <v>76</v>
      </c>
      <c r="D332" s="4" t="s">
        <v>183</v>
      </c>
      <c r="E332" s="4" t="s">
        <v>802</v>
      </c>
      <c r="F332" s="4" t="s">
        <v>167</v>
      </c>
      <c r="G332" s="4" t="s">
        <v>32</v>
      </c>
      <c r="H332" s="4" t="s">
        <v>1502</v>
      </c>
      <c r="I332" s="4" t="s">
        <v>142</v>
      </c>
      <c r="J332" s="4" t="s">
        <v>110</v>
      </c>
      <c r="K332" s="4" t="s">
        <v>50</v>
      </c>
      <c r="L332" s="4" t="s">
        <v>82</v>
      </c>
      <c r="M332" s="4">
        <v>13</v>
      </c>
      <c r="N332" s="4">
        <v>1200</v>
      </c>
      <c r="O332" s="4">
        <v>0</v>
      </c>
      <c r="P332" s="4">
        <v>15600</v>
      </c>
      <c r="Q332" s="4">
        <v>3</v>
      </c>
      <c r="R332" s="4" t="s">
        <v>52</v>
      </c>
      <c r="S332" s="4" t="s">
        <v>119</v>
      </c>
      <c r="T332" s="4" t="s">
        <v>66</v>
      </c>
      <c r="U332" s="6" t="s">
        <v>1503</v>
      </c>
      <c r="V332" s="4" t="s">
        <v>73</v>
      </c>
    </row>
    <row r="333" spans="1:22">
      <c r="A333" s="7" t="s">
        <v>1504</v>
      </c>
      <c r="B333" s="8" t="s">
        <v>331</v>
      </c>
      <c r="C333" s="8" t="s">
        <v>44</v>
      </c>
      <c r="D333" s="8" t="s">
        <v>1505</v>
      </c>
      <c r="E333" s="8" t="s">
        <v>1506</v>
      </c>
      <c r="F333" s="8" t="s">
        <v>398</v>
      </c>
      <c r="G333" s="8" t="s">
        <v>80</v>
      </c>
      <c r="H333" s="8" t="s">
        <v>1507</v>
      </c>
      <c r="I333" s="8" t="s">
        <v>48</v>
      </c>
      <c r="J333" s="8" t="s">
        <v>49</v>
      </c>
      <c r="K333" s="8" t="s">
        <v>50</v>
      </c>
      <c r="L333" s="8" t="s">
        <v>51</v>
      </c>
      <c r="M333" s="8">
        <v>5</v>
      </c>
      <c r="N333" s="8">
        <v>12000</v>
      </c>
      <c r="O333" s="8">
        <v>10</v>
      </c>
      <c r="P333" s="8">
        <v>54000</v>
      </c>
      <c r="Q333" s="8">
        <v>3</v>
      </c>
      <c r="R333" s="8" t="s">
        <v>92</v>
      </c>
      <c r="S333" s="8" t="s">
        <v>53</v>
      </c>
      <c r="T333" s="8" t="s">
        <v>336</v>
      </c>
      <c r="U333" s="9" t="s">
        <v>1508</v>
      </c>
      <c r="V333" s="8" t="s">
        <v>42</v>
      </c>
    </row>
    <row r="334" spans="1:22">
      <c r="A334" s="3" t="s">
        <v>1509</v>
      </c>
      <c r="B334" s="4" t="s">
        <v>57</v>
      </c>
      <c r="C334" s="4" t="s">
        <v>263</v>
      </c>
      <c r="D334" s="4" t="s">
        <v>1510</v>
      </c>
      <c r="E334" s="4" t="s">
        <v>1511</v>
      </c>
      <c r="F334" s="4" t="s">
        <v>167</v>
      </c>
      <c r="G334" s="4" t="s">
        <v>32</v>
      </c>
      <c r="H334" s="4" t="s">
        <v>1512</v>
      </c>
      <c r="I334" s="4" t="s">
        <v>63</v>
      </c>
      <c r="J334" s="4" t="s">
        <v>35</v>
      </c>
      <c r="K334" s="4" t="s">
        <v>126</v>
      </c>
      <c r="L334" s="4" t="s">
        <v>267</v>
      </c>
      <c r="M334" s="4">
        <v>12</v>
      </c>
      <c r="N334" s="4">
        <v>45</v>
      </c>
      <c r="O334" s="4">
        <v>20</v>
      </c>
      <c r="P334" s="4">
        <v>432</v>
      </c>
      <c r="Q334" s="4">
        <v>3</v>
      </c>
      <c r="R334" s="4" t="s">
        <v>52</v>
      </c>
      <c r="S334" s="4" t="s">
        <v>65</v>
      </c>
      <c r="T334" s="4" t="s">
        <v>66</v>
      </c>
      <c r="U334" s="6" t="s">
        <v>1513</v>
      </c>
      <c r="V334" s="4" t="s">
        <v>42</v>
      </c>
    </row>
    <row r="335" spans="1:22">
      <c r="A335" s="7" t="s">
        <v>1514</v>
      </c>
      <c r="B335" s="8" t="s">
        <v>27</v>
      </c>
      <c r="C335" s="8" t="s">
        <v>96</v>
      </c>
      <c r="D335" s="8" t="s">
        <v>656</v>
      </c>
      <c r="E335" s="8" t="s">
        <v>670</v>
      </c>
      <c r="F335" s="8" t="s">
        <v>31</v>
      </c>
      <c r="G335" s="8" t="s">
        <v>32</v>
      </c>
      <c r="H335" s="8" t="s">
        <v>1515</v>
      </c>
      <c r="I335" s="8" t="s">
        <v>63</v>
      </c>
      <c r="J335" s="8" t="s">
        <v>35</v>
      </c>
      <c r="K335" s="8" t="s">
        <v>36</v>
      </c>
      <c r="L335" s="8" t="s">
        <v>101</v>
      </c>
      <c r="M335" s="8">
        <v>2</v>
      </c>
      <c r="N335" s="8">
        <v>3500</v>
      </c>
      <c r="O335" s="8">
        <v>0</v>
      </c>
      <c r="P335" s="8">
        <v>7000</v>
      </c>
      <c r="Q335" s="8">
        <v>1</v>
      </c>
      <c r="R335" s="8" t="s">
        <v>52</v>
      </c>
      <c r="S335" s="8" t="s">
        <v>119</v>
      </c>
      <c r="T335" s="8" t="s">
        <v>54</v>
      </c>
      <c r="U335" s="9" t="s">
        <v>1516</v>
      </c>
      <c r="V335" s="8" t="s">
        <v>68</v>
      </c>
    </row>
    <row r="336" spans="1:22">
      <c r="A336" s="3" t="s">
        <v>1517</v>
      </c>
      <c r="B336" s="4" t="s">
        <v>27</v>
      </c>
      <c r="C336" s="4" t="s">
        <v>28</v>
      </c>
      <c r="D336" s="4" t="s">
        <v>430</v>
      </c>
      <c r="E336" s="4" t="s">
        <v>1184</v>
      </c>
      <c r="F336" s="4" t="s">
        <v>31</v>
      </c>
      <c r="G336" s="4" t="s">
        <v>32</v>
      </c>
      <c r="H336" s="4" t="s">
        <v>1518</v>
      </c>
      <c r="I336" s="4" t="s">
        <v>118</v>
      </c>
      <c r="J336" s="4" t="s">
        <v>110</v>
      </c>
      <c r="K336" s="4" t="s">
        <v>36</v>
      </c>
      <c r="L336" s="4" t="s">
        <v>37</v>
      </c>
      <c r="M336" s="4">
        <v>15</v>
      </c>
      <c r="N336" s="4">
        <v>2200</v>
      </c>
      <c r="O336" s="4">
        <v>15</v>
      </c>
      <c r="P336" s="4">
        <v>28050</v>
      </c>
      <c r="Q336" s="4">
        <v>2</v>
      </c>
      <c r="R336" s="4" t="s">
        <v>52</v>
      </c>
      <c r="S336" s="4" t="s">
        <v>53</v>
      </c>
      <c r="T336" s="4" t="s">
        <v>54</v>
      </c>
      <c r="U336" s="6" t="s">
        <v>1519</v>
      </c>
      <c r="V336" s="4" t="s">
        <v>68</v>
      </c>
    </row>
    <row r="337" spans="1:22">
      <c r="A337" s="7" t="s">
        <v>1520</v>
      </c>
      <c r="B337" s="8" t="s">
        <v>104</v>
      </c>
      <c r="C337" s="8" t="s">
        <v>226</v>
      </c>
      <c r="D337" s="8" t="s">
        <v>190</v>
      </c>
      <c r="E337" s="8" t="s">
        <v>1257</v>
      </c>
      <c r="F337" s="8" t="s">
        <v>107</v>
      </c>
      <c r="G337" s="8" t="s">
        <v>32</v>
      </c>
      <c r="H337" s="8" t="s">
        <v>1521</v>
      </c>
      <c r="I337" s="8" t="s">
        <v>142</v>
      </c>
      <c r="J337" s="8" t="s">
        <v>110</v>
      </c>
      <c r="K337" s="8" t="s">
        <v>126</v>
      </c>
      <c r="L337" s="8" t="s">
        <v>231</v>
      </c>
      <c r="M337" s="8">
        <v>8</v>
      </c>
      <c r="N337" s="8">
        <v>20</v>
      </c>
      <c r="O337" s="8">
        <v>20</v>
      </c>
      <c r="P337" s="8">
        <v>128</v>
      </c>
      <c r="Q337" s="8">
        <v>5</v>
      </c>
      <c r="R337" s="8" t="s">
        <v>92</v>
      </c>
      <c r="S337" s="8" t="s">
        <v>53</v>
      </c>
      <c r="T337" s="8" t="s">
        <v>148</v>
      </c>
      <c r="U337" s="9" t="s">
        <v>1522</v>
      </c>
      <c r="V337" s="8" t="s">
        <v>42</v>
      </c>
    </row>
    <row r="338" spans="1:22">
      <c r="A338" s="3" t="s">
        <v>1523</v>
      </c>
      <c r="B338" s="4" t="s">
        <v>131</v>
      </c>
      <c r="C338" s="4" t="s">
        <v>226</v>
      </c>
      <c r="D338" s="4" t="s">
        <v>302</v>
      </c>
      <c r="E338" s="4" t="s">
        <v>802</v>
      </c>
      <c r="F338" s="4" t="s">
        <v>204</v>
      </c>
      <c r="G338" s="4" t="s">
        <v>80</v>
      </c>
      <c r="H338" s="4" t="s">
        <v>1524</v>
      </c>
      <c r="I338" s="4" t="s">
        <v>34</v>
      </c>
      <c r="J338" s="4" t="s">
        <v>35</v>
      </c>
      <c r="K338" s="4" t="s">
        <v>126</v>
      </c>
      <c r="L338" s="4" t="s">
        <v>231</v>
      </c>
      <c r="M338" s="4">
        <v>1</v>
      </c>
      <c r="N338" s="4">
        <v>20</v>
      </c>
      <c r="O338" s="4">
        <v>0</v>
      </c>
      <c r="P338" s="4">
        <v>20</v>
      </c>
      <c r="Q338" s="4">
        <v>3</v>
      </c>
      <c r="R338" s="4" t="s">
        <v>92</v>
      </c>
      <c r="S338" s="4" t="s">
        <v>39</v>
      </c>
      <c r="T338" s="4" t="s">
        <v>136</v>
      </c>
      <c r="U338" s="6" t="s">
        <v>1525</v>
      </c>
      <c r="V338" s="4" t="s">
        <v>42</v>
      </c>
    </row>
    <row r="339" spans="1:22">
      <c r="A339" s="7" t="s">
        <v>1526</v>
      </c>
      <c r="B339" s="8" t="s">
        <v>27</v>
      </c>
      <c r="C339" s="8" t="s">
        <v>188</v>
      </c>
      <c r="D339" s="8" t="s">
        <v>1203</v>
      </c>
      <c r="E339" s="8" t="s">
        <v>257</v>
      </c>
      <c r="F339" s="8" t="s">
        <v>31</v>
      </c>
      <c r="G339" s="8" t="s">
        <v>32</v>
      </c>
      <c r="H339" s="8" t="s">
        <v>1527</v>
      </c>
      <c r="I339" s="8" t="s">
        <v>216</v>
      </c>
      <c r="J339" s="8" t="s">
        <v>49</v>
      </c>
      <c r="K339" s="8" t="s">
        <v>50</v>
      </c>
      <c r="L339" s="8" t="s">
        <v>193</v>
      </c>
      <c r="M339" s="8">
        <v>15</v>
      </c>
      <c r="N339" s="8">
        <v>700</v>
      </c>
      <c r="O339" s="8">
        <v>0</v>
      </c>
      <c r="P339" s="8">
        <v>10500</v>
      </c>
      <c r="Q339" s="8">
        <v>2</v>
      </c>
      <c r="R339" s="8" t="s">
        <v>92</v>
      </c>
      <c r="S339" s="8" t="s">
        <v>53</v>
      </c>
      <c r="T339" s="8" t="s">
        <v>54</v>
      </c>
      <c r="U339" s="9" t="s">
        <v>1528</v>
      </c>
      <c r="V339" s="8" t="s">
        <v>42</v>
      </c>
    </row>
    <row r="340" spans="1:22">
      <c r="A340" s="3" t="s">
        <v>1529</v>
      </c>
      <c r="B340" s="4" t="s">
        <v>331</v>
      </c>
      <c r="C340" s="4" t="s">
        <v>96</v>
      </c>
      <c r="D340" s="4" t="s">
        <v>936</v>
      </c>
      <c r="E340" s="4" t="s">
        <v>1530</v>
      </c>
      <c r="F340" s="4" t="s">
        <v>398</v>
      </c>
      <c r="G340" s="4" t="s">
        <v>80</v>
      </c>
      <c r="H340" s="4" t="s">
        <v>1531</v>
      </c>
      <c r="I340" s="4" t="s">
        <v>34</v>
      </c>
      <c r="J340" s="4" t="s">
        <v>35</v>
      </c>
      <c r="K340" s="4" t="s">
        <v>36</v>
      </c>
      <c r="L340" s="4" t="s">
        <v>101</v>
      </c>
      <c r="M340" s="4">
        <v>15</v>
      </c>
      <c r="N340" s="4">
        <v>3500</v>
      </c>
      <c r="O340" s="4">
        <v>10</v>
      </c>
      <c r="P340" s="4">
        <v>47250</v>
      </c>
      <c r="Q340" s="4">
        <v>3</v>
      </c>
      <c r="R340" s="4" t="s">
        <v>38</v>
      </c>
      <c r="S340" s="4" t="s">
        <v>155</v>
      </c>
      <c r="T340" s="4" t="s">
        <v>336</v>
      </c>
      <c r="U340" s="6" t="s">
        <v>1532</v>
      </c>
      <c r="V340" s="4" t="s">
        <v>68</v>
      </c>
    </row>
    <row r="341" spans="1:22">
      <c r="A341" s="7" t="s">
        <v>1533</v>
      </c>
      <c r="B341" s="8" t="s">
        <v>27</v>
      </c>
      <c r="C341" s="8" t="s">
        <v>122</v>
      </c>
      <c r="D341" s="8" t="s">
        <v>1534</v>
      </c>
      <c r="E341" s="8" t="s">
        <v>160</v>
      </c>
      <c r="F341" s="8" t="s">
        <v>31</v>
      </c>
      <c r="G341" s="8" t="s">
        <v>32</v>
      </c>
      <c r="H341" s="8" t="s">
        <v>1535</v>
      </c>
      <c r="I341" s="8" t="s">
        <v>298</v>
      </c>
      <c r="J341" s="8" t="s">
        <v>299</v>
      </c>
      <c r="K341" s="8" t="s">
        <v>126</v>
      </c>
      <c r="L341" s="8" t="s">
        <v>127</v>
      </c>
      <c r="M341" s="8">
        <v>16</v>
      </c>
      <c r="N341" s="8">
        <v>60</v>
      </c>
      <c r="O341" s="8">
        <v>10</v>
      </c>
      <c r="P341" s="8">
        <v>864</v>
      </c>
      <c r="Q341" s="8">
        <v>4</v>
      </c>
      <c r="R341" s="8" t="s">
        <v>83</v>
      </c>
      <c r="S341" s="8" t="s">
        <v>65</v>
      </c>
      <c r="T341" s="8" t="s">
        <v>54</v>
      </c>
      <c r="U341" s="9" t="s">
        <v>1536</v>
      </c>
      <c r="V341" s="8" t="s">
        <v>42</v>
      </c>
    </row>
    <row r="342" spans="1:22">
      <c r="A342" s="3" t="s">
        <v>1537</v>
      </c>
      <c r="B342" s="4" t="s">
        <v>131</v>
      </c>
      <c r="C342" s="4" t="s">
        <v>263</v>
      </c>
      <c r="D342" s="4" t="s">
        <v>313</v>
      </c>
      <c r="E342" s="4" t="s">
        <v>797</v>
      </c>
      <c r="F342" s="4" t="s">
        <v>204</v>
      </c>
      <c r="G342" s="4" t="s">
        <v>80</v>
      </c>
      <c r="H342" s="4" t="s">
        <v>1538</v>
      </c>
      <c r="I342" s="4" t="s">
        <v>48</v>
      </c>
      <c r="J342" s="4" t="s">
        <v>49</v>
      </c>
      <c r="K342" s="4" t="s">
        <v>126</v>
      </c>
      <c r="L342" s="4" t="s">
        <v>267</v>
      </c>
      <c r="M342" s="4">
        <v>2</v>
      </c>
      <c r="N342" s="4">
        <v>45</v>
      </c>
      <c r="O342" s="4">
        <v>15</v>
      </c>
      <c r="P342" s="4">
        <v>76.5</v>
      </c>
      <c r="Q342" s="4">
        <v>1</v>
      </c>
      <c r="R342" s="4" t="s">
        <v>92</v>
      </c>
      <c r="S342" s="4" t="s">
        <v>155</v>
      </c>
      <c r="T342" s="4" t="s">
        <v>136</v>
      </c>
      <c r="U342" s="6" t="s">
        <v>1539</v>
      </c>
      <c r="V342" s="4" t="s">
        <v>73</v>
      </c>
    </row>
    <row r="343" spans="1:22">
      <c r="A343" s="7" t="s">
        <v>1540</v>
      </c>
      <c r="B343" s="8" t="s">
        <v>172</v>
      </c>
      <c r="C343" s="8" t="s">
        <v>122</v>
      </c>
      <c r="D343" s="8" t="s">
        <v>1541</v>
      </c>
      <c r="E343" s="8" t="s">
        <v>1218</v>
      </c>
      <c r="F343" s="8" t="s">
        <v>365</v>
      </c>
      <c r="G343" s="8" t="s">
        <v>32</v>
      </c>
      <c r="H343" s="8" t="s">
        <v>1542</v>
      </c>
      <c r="I343" s="8" t="s">
        <v>48</v>
      </c>
      <c r="J343" s="8" t="s">
        <v>49</v>
      </c>
      <c r="K343" s="8" t="s">
        <v>126</v>
      </c>
      <c r="L343" s="8" t="s">
        <v>127</v>
      </c>
      <c r="M343" s="8">
        <v>13</v>
      </c>
      <c r="N343" s="8">
        <v>60</v>
      </c>
      <c r="O343" s="8">
        <v>15</v>
      </c>
      <c r="P343" s="8">
        <v>663</v>
      </c>
      <c r="Q343" s="8">
        <v>2</v>
      </c>
      <c r="R343" s="8" t="s">
        <v>52</v>
      </c>
      <c r="S343" s="8" t="s">
        <v>65</v>
      </c>
      <c r="T343" s="8" t="s">
        <v>179</v>
      </c>
      <c r="U343" s="9" t="s">
        <v>1543</v>
      </c>
      <c r="V343" s="8" t="s">
        <v>73</v>
      </c>
    </row>
    <row r="344" spans="1:22">
      <c r="A344" s="3" t="s">
        <v>1544</v>
      </c>
      <c r="B344" s="4" t="s">
        <v>87</v>
      </c>
      <c r="C344" s="4" t="s">
        <v>44</v>
      </c>
      <c r="D344" s="4" t="s">
        <v>1090</v>
      </c>
      <c r="E344" s="4" t="s">
        <v>240</v>
      </c>
      <c r="F344" s="4" t="s">
        <v>184</v>
      </c>
      <c r="G344" s="4" t="s">
        <v>80</v>
      </c>
      <c r="H344" s="4" t="s">
        <v>1545</v>
      </c>
      <c r="I344" s="4" t="s">
        <v>48</v>
      </c>
      <c r="J344" s="4" t="s">
        <v>49</v>
      </c>
      <c r="K344" s="4" t="s">
        <v>50</v>
      </c>
      <c r="L344" s="4" t="s">
        <v>51</v>
      </c>
      <c r="M344" s="4">
        <v>15</v>
      </c>
      <c r="N344" s="4">
        <v>12000</v>
      </c>
      <c r="O344" s="4">
        <v>20</v>
      </c>
      <c r="P344" s="4">
        <v>144000</v>
      </c>
      <c r="Q344" s="4">
        <v>3</v>
      </c>
      <c r="R344" s="4" t="s">
        <v>83</v>
      </c>
      <c r="S344" s="4" t="s">
        <v>39</v>
      </c>
      <c r="T344" s="4" t="s">
        <v>93</v>
      </c>
      <c r="U344" s="6" t="s">
        <v>1546</v>
      </c>
      <c r="V344" s="4" t="s">
        <v>73</v>
      </c>
    </row>
    <row r="345" spans="1:22">
      <c r="A345" s="7" t="s">
        <v>1547</v>
      </c>
      <c r="B345" s="8" t="s">
        <v>331</v>
      </c>
      <c r="C345" s="8" t="s">
        <v>226</v>
      </c>
      <c r="D345" s="8" t="s">
        <v>759</v>
      </c>
      <c r="E345" s="8" t="s">
        <v>1548</v>
      </c>
      <c r="F345" s="8" t="s">
        <v>398</v>
      </c>
      <c r="G345" s="8" t="s">
        <v>80</v>
      </c>
      <c r="H345" s="8" t="s">
        <v>1549</v>
      </c>
      <c r="I345" s="8" t="s">
        <v>48</v>
      </c>
      <c r="J345" s="8" t="s">
        <v>49</v>
      </c>
      <c r="K345" s="8" t="s">
        <v>126</v>
      </c>
      <c r="L345" s="8" t="s">
        <v>231</v>
      </c>
      <c r="M345" s="8">
        <v>2</v>
      </c>
      <c r="N345" s="8">
        <v>20</v>
      </c>
      <c r="O345" s="8">
        <v>20</v>
      </c>
      <c r="P345" s="8">
        <v>32</v>
      </c>
      <c r="Q345" s="8">
        <v>4</v>
      </c>
      <c r="R345" s="8" t="s">
        <v>38</v>
      </c>
      <c r="S345" s="8" t="s">
        <v>39</v>
      </c>
      <c r="T345" s="8" t="s">
        <v>336</v>
      </c>
      <c r="U345" s="9" t="s">
        <v>1550</v>
      </c>
      <c r="V345" s="8" t="s">
        <v>68</v>
      </c>
    </row>
    <row r="346" spans="1:22">
      <c r="A346" s="3" t="s">
        <v>1551</v>
      </c>
      <c r="B346" s="4" t="s">
        <v>131</v>
      </c>
      <c r="C346" s="4" t="s">
        <v>96</v>
      </c>
      <c r="D346" s="4" t="s">
        <v>386</v>
      </c>
      <c r="E346" s="4" t="s">
        <v>1552</v>
      </c>
      <c r="F346" s="4" t="s">
        <v>204</v>
      </c>
      <c r="G346" s="4" t="s">
        <v>80</v>
      </c>
      <c r="H346" s="4" t="s">
        <v>1553</v>
      </c>
      <c r="I346" s="4" t="s">
        <v>63</v>
      </c>
      <c r="J346" s="4" t="s">
        <v>35</v>
      </c>
      <c r="K346" s="4" t="s">
        <v>36</v>
      </c>
      <c r="L346" s="4" t="s">
        <v>101</v>
      </c>
      <c r="M346" s="4">
        <v>16</v>
      </c>
      <c r="N346" s="4">
        <v>3500</v>
      </c>
      <c r="O346" s="4">
        <v>0</v>
      </c>
      <c r="P346" s="4">
        <v>56000</v>
      </c>
      <c r="Q346" s="4">
        <v>4</v>
      </c>
      <c r="R346" s="4" t="s">
        <v>38</v>
      </c>
      <c r="S346" s="4" t="s">
        <v>119</v>
      </c>
      <c r="T346" s="4" t="s">
        <v>136</v>
      </c>
      <c r="U346" s="6" t="s">
        <v>1554</v>
      </c>
      <c r="V346" s="4" t="s">
        <v>42</v>
      </c>
    </row>
    <row r="347" spans="1:22">
      <c r="A347" s="7" t="s">
        <v>1555</v>
      </c>
      <c r="B347" s="8" t="s">
        <v>57</v>
      </c>
      <c r="C347" s="8" t="s">
        <v>96</v>
      </c>
      <c r="D347" s="8" t="s">
        <v>1306</v>
      </c>
      <c r="E347" s="8" t="s">
        <v>98</v>
      </c>
      <c r="F347" s="8" t="s">
        <v>167</v>
      </c>
      <c r="G347" s="8" t="s">
        <v>32</v>
      </c>
      <c r="H347" s="8" t="s">
        <v>1556</v>
      </c>
      <c r="I347" s="8" t="s">
        <v>142</v>
      </c>
      <c r="J347" s="8" t="s">
        <v>110</v>
      </c>
      <c r="K347" s="8" t="s">
        <v>36</v>
      </c>
      <c r="L347" s="8" t="s">
        <v>101</v>
      </c>
      <c r="M347" s="8">
        <v>18</v>
      </c>
      <c r="N347" s="8">
        <v>3500</v>
      </c>
      <c r="O347" s="8">
        <v>15</v>
      </c>
      <c r="P347" s="8">
        <v>53550</v>
      </c>
      <c r="Q347" s="8">
        <v>5</v>
      </c>
      <c r="R347" s="8" t="s">
        <v>38</v>
      </c>
      <c r="S347" s="8" t="s">
        <v>155</v>
      </c>
      <c r="T347" s="8" t="s">
        <v>66</v>
      </c>
      <c r="U347" s="9" t="s">
        <v>1557</v>
      </c>
      <c r="V347" s="8" t="s">
        <v>73</v>
      </c>
    </row>
    <row r="348" spans="1:22">
      <c r="A348" s="3" t="s">
        <v>1558</v>
      </c>
      <c r="B348" s="4" t="s">
        <v>27</v>
      </c>
      <c r="C348" s="4" t="s">
        <v>263</v>
      </c>
      <c r="D348" s="4" t="s">
        <v>69</v>
      </c>
      <c r="E348" s="4" t="s">
        <v>548</v>
      </c>
      <c r="F348" s="4" t="s">
        <v>31</v>
      </c>
      <c r="G348" s="4" t="s">
        <v>32</v>
      </c>
      <c r="H348" s="4" t="s">
        <v>1559</v>
      </c>
      <c r="I348" s="4" t="s">
        <v>142</v>
      </c>
      <c r="J348" s="4" t="s">
        <v>110</v>
      </c>
      <c r="K348" s="4" t="s">
        <v>126</v>
      </c>
      <c r="L348" s="4" t="s">
        <v>267</v>
      </c>
      <c r="M348" s="4">
        <v>20</v>
      </c>
      <c r="N348" s="4">
        <v>45</v>
      </c>
      <c r="O348" s="4">
        <v>15</v>
      </c>
      <c r="P348" s="4">
        <v>765</v>
      </c>
      <c r="Q348" s="4">
        <v>4</v>
      </c>
      <c r="R348" s="4" t="s">
        <v>38</v>
      </c>
      <c r="S348" s="4" t="s">
        <v>155</v>
      </c>
      <c r="T348" s="4" t="s">
        <v>54</v>
      </c>
      <c r="U348" s="6" t="s">
        <v>1560</v>
      </c>
      <c r="V348" s="4" t="s">
        <v>73</v>
      </c>
    </row>
    <row r="349" spans="1:22">
      <c r="A349" s="7" t="s">
        <v>1561</v>
      </c>
      <c r="B349" s="8" t="s">
        <v>255</v>
      </c>
      <c r="C349" s="8" t="s">
        <v>28</v>
      </c>
      <c r="D349" s="8" t="s">
        <v>1290</v>
      </c>
      <c r="E349" s="8" t="s">
        <v>360</v>
      </c>
      <c r="F349" s="8" t="s">
        <v>258</v>
      </c>
      <c r="G349" s="8" t="s">
        <v>32</v>
      </c>
      <c r="H349" s="8" t="s">
        <v>1562</v>
      </c>
      <c r="I349" s="8" t="s">
        <v>48</v>
      </c>
      <c r="J349" s="8" t="s">
        <v>49</v>
      </c>
      <c r="K349" s="8" t="s">
        <v>36</v>
      </c>
      <c r="L349" s="8" t="s">
        <v>37</v>
      </c>
      <c r="M349" s="8">
        <v>13</v>
      </c>
      <c r="N349" s="8">
        <v>2200</v>
      </c>
      <c r="O349" s="8">
        <v>15</v>
      </c>
      <c r="P349" s="8">
        <v>24310</v>
      </c>
      <c r="Q349" s="8">
        <v>2</v>
      </c>
      <c r="R349" s="8" t="s">
        <v>52</v>
      </c>
      <c r="S349" s="8" t="s">
        <v>119</v>
      </c>
      <c r="T349" s="8" t="s">
        <v>260</v>
      </c>
      <c r="U349" s="9" t="s">
        <v>1563</v>
      </c>
      <c r="V349" s="8" t="s">
        <v>68</v>
      </c>
    </row>
    <row r="350" spans="1:22">
      <c r="A350" s="3" t="s">
        <v>1564</v>
      </c>
      <c r="B350" s="4" t="s">
        <v>57</v>
      </c>
      <c r="C350" s="4" t="s">
        <v>1565</v>
      </c>
      <c r="D350" s="4" t="s">
        <v>344</v>
      </c>
      <c r="E350" s="4" t="s">
        <v>350</v>
      </c>
      <c r="F350" s="4" t="s">
        <v>167</v>
      </c>
      <c r="G350" s="4" t="s">
        <v>32</v>
      </c>
      <c r="H350" s="4" t="s">
        <v>1566</v>
      </c>
      <c r="I350" s="4" t="s">
        <v>298</v>
      </c>
      <c r="J350" s="4" t="s">
        <v>299</v>
      </c>
      <c r="K350" s="4" t="s">
        <v>36</v>
      </c>
      <c r="L350" s="4" t="s">
        <v>178</v>
      </c>
      <c r="M350" s="4">
        <v>11</v>
      </c>
      <c r="N350" s="4">
        <v>8500</v>
      </c>
      <c r="O350" s="4">
        <v>5</v>
      </c>
      <c r="P350" s="4">
        <v>88825</v>
      </c>
      <c r="Q350" s="4">
        <v>1</v>
      </c>
      <c r="R350" s="4" t="s">
        <v>92</v>
      </c>
      <c r="S350" s="4" t="s">
        <v>119</v>
      </c>
      <c r="T350" s="4" t="s">
        <v>66</v>
      </c>
      <c r="U350" s="6" t="s">
        <v>1567</v>
      </c>
      <c r="V350" s="4" t="s">
        <v>73</v>
      </c>
    </row>
    <row r="351" spans="1:22">
      <c r="A351" s="7" t="s">
        <v>1568</v>
      </c>
      <c r="B351" s="8" t="s">
        <v>57</v>
      </c>
      <c r="C351" s="8" t="s">
        <v>28</v>
      </c>
      <c r="D351" s="8" t="s">
        <v>1569</v>
      </c>
      <c r="E351" s="8" t="s">
        <v>1479</v>
      </c>
      <c r="F351" s="8" t="s">
        <v>167</v>
      </c>
      <c r="G351" s="8" t="s">
        <v>32</v>
      </c>
      <c r="H351" s="8" t="s">
        <v>1570</v>
      </c>
      <c r="I351" s="8" t="s">
        <v>216</v>
      </c>
      <c r="J351" s="8" t="s">
        <v>49</v>
      </c>
      <c r="K351" s="8" t="s">
        <v>36</v>
      </c>
      <c r="L351" s="8" t="s">
        <v>37</v>
      </c>
      <c r="M351" s="8">
        <v>2</v>
      </c>
      <c r="N351" s="8">
        <v>2200</v>
      </c>
      <c r="O351" s="8">
        <v>0</v>
      </c>
      <c r="P351" s="8">
        <v>4400</v>
      </c>
      <c r="Q351" s="8">
        <v>4</v>
      </c>
      <c r="R351" s="8" t="s">
        <v>92</v>
      </c>
      <c r="S351" s="8" t="s">
        <v>155</v>
      </c>
      <c r="T351" s="8" t="s">
        <v>66</v>
      </c>
      <c r="U351" s="9" t="s">
        <v>1571</v>
      </c>
      <c r="V351" s="8" t="s">
        <v>68</v>
      </c>
    </row>
    <row r="352" spans="1:22">
      <c r="A352" s="3" t="s">
        <v>1572</v>
      </c>
      <c r="B352" s="4" t="s">
        <v>87</v>
      </c>
      <c r="C352" s="4" t="s">
        <v>188</v>
      </c>
      <c r="D352" s="4" t="s">
        <v>1246</v>
      </c>
      <c r="E352" s="4" t="s">
        <v>724</v>
      </c>
      <c r="F352" s="4" t="s">
        <v>184</v>
      </c>
      <c r="G352" s="4" t="s">
        <v>80</v>
      </c>
      <c r="H352" s="4" t="s">
        <v>1573</v>
      </c>
      <c r="I352" s="4" t="s">
        <v>109</v>
      </c>
      <c r="J352" s="4" t="s">
        <v>110</v>
      </c>
      <c r="K352" s="4" t="s">
        <v>50</v>
      </c>
      <c r="L352" s="4" t="s">
        <v>193</v>
      </c>
      <c r="M352" s="4">
        <v>15</v>
      </c>
      <c r="N352" s="4">
        <v>700</v>
      </c>
      <c r="O352" s="4">
        <v>15</v>
      </c>
      <c r="P352" s="4">
        <v>8925</v>
      </c>
      <c r="Q352" s="4">
        <v>3</v>
      </c>
      <c r="R352" s="4" t="s">
        <v>52</v>
      </c>
      <c r="S352" s="4" t="s">
        <v>119</v>
      </c>
      <c r="T352" s="4" t="s">
        <v>93</v>
      </c>
      <c r="U352" s="6" t="s">
        <v>1574</v>
      </c>
      <c r="V352" s="4" t="s">
        <v>42</v>
      </c>
    </row>
    <row r="353" spans="1:22">
      <c r="A353" s="7" t="s">
        <v>1575</v>
      </c>
      <c r="B353" s="8" t="s">
        <v>131</v>
      </c>
      <c r="C353" s="8" t="s">
        <v>28</v>
      </c>
      <c r="D353" s="8" t="s">
        <v>1576</v>
      </c>
      <c r="E353" s="8" t="s">
        <v>839</v>
      </c>
      <c r="F353" s="8" t="s">
        <v>204</v>
      </c>
      <c r="G353" s="8" t="s">
        <v>80</v>
      </c>
      <c r="H353" s="8" t="s">
        <v>1577</v>
      </c>
      <c r="I353" s="8" t="s">
        <v>142</v>
      </c>
      <c r="J353" s="8" t="s">
        <v>110</v>
      </c>
      <c r="K353" s="8" t="s">
        <v>36</v>
      </c>
      <c r="L353" s="8" t="s">
        <v>37</v>
      </c>
      <c r="M353" s="8">
        <v>5</v>
      </c>
      <c r="N353" s="8">
        <v>2200</v>
      </c>
      <c r="O353" s="8">
        <v>15</v>
      </c>
      <c r="P353" s="8">
        <v>9350</v>
      </c>
      <c r="Q353" s="8">
        <v>1</v>
      </c>
      <c r="R353" s="8" t="s">
        <v>52</v>
      </c>
      <c r="S353" s="8" t="s">
        <v>119</v>
      </c>
      <c r="T353" s="8" t="s">
        <v>136</v>
      </c>
      <c r="U353" s="9" t="s">
        <v>1578</v>
      </c>
      <c r="V353" s="8" t="s">
        <v>68</v>
      </c>
    </row>
    <row r="354" spans="1:22">
      <c r="A354" s="3" t="s">
        <v>1579</v>
      </c>
      <c r="B354" s="4" t="s">
        <v>87</v>
      </c>
      <c r="C354" s="4" t="s">
        <v>76</v>
      </c>
      <c r="D354" s="4" t="s">
        <v>558</v>
      </c>
      <c r="E354" s="4" t="s">
        <v>1484</v>
      </c>
      <c r="F354" s="4" t="s">
        <v>184</v>
      </c>
      <c r="G354" s="4" t="s">
        <v>80</v>
      </c>
      <c r="H354" s="4" t="s">
        <v>1580</v>
      </c>
      <c r="I354" s="4" t="s">
        <v>142</v>
      </c>
      <c r="J354" s="4" t="s">
        <v>110</v>
      </c>
      <c r="K354" s="4" t="s">
        <v>50</v>
      </c>
      <c r="L354" s="4" t="s">
        <v>82</v>
      </c>
      <c r="M354" s="4">
        <v>15</v>
      </c>
      <c r="N354" s="4">
        <v>1200</v>
      </c>
      <c r="O354" s="4">
        <v>0</v>
      </c>
      <c r="P354" s="4">
        <v>18000</v>
      </c>
      <c r="Q354" s="4">
        <v>3</v>
      </c>
      <c r="R354" s="4" t="s">
        <v>52</v>
      </c>
      <c r="S354" s="4" t="s">
        <v>65</v>
      </c>
      <c r="T354" s="4" t="s">
        <v>93</v>
      </c>
      <c r="U354" s="6" t="s">
        <v>1581</v>
      </c>
      <c r="V354" s="4" t="s">
        <v>73</v>
      </c>
    </row>
    <row r="355" spans="1:22">
      <c r="A355" s="7" t="s">
        <v>1582</v>
      </c>
      <c r="B355" s="8" t="s">
        <v>255</v>
      </c>
      <c r="C355" s="8" t="s">
        <v>76</v>
      </c>
      <c r="D355" s="8" t="s">
        <v>165</v>
      </c>
      <c r="E355" s="8" t="s">
        <v>661</v>
      </c>
      <c r="F355" s="8" t="s">
        <v>258</v>
      </c>
      <c r="G355" s="8" t="s">
        <v>32</v>
      </c>
      <c r="H355" s="8" t="s">
        <v>1583</v>
      </c>
      <c r="I355" s="8" t="s">
        <v>109</v>
      </c>
      <c r="J355" s="8" t="s">
        <v>110</v>
      </c>
      <c r="K355" s="8" t="s">
        <v>50</v>
      </c>
      <c r="L355" s="8" t="s">
        <v>82</v>
      </c>
      <c r="M355" s="8">
        <v>19</v>
      </c>
      <c r="N355" s="8">
        <v>1200</v>
      </c>
      <c r="O355" s="8">
        <v>0</v>
      </c>
      <c r="P355" s="8">
        <v>22800</v>
      </c>
      <c r="Q355" s="8">
        <v>1</v>
      </c>
      <c r="R355" s="8" t="s">
        <v>38</v>
      </c>
      <c r="S355" s="8" t="s">
        <v>53</v>
      </c>
      <c r="T355" s="8" t="s">
        <v>260</v>
      </c>
      <c r="U355" s="9" t="s">
        <v>1584</v>
      </c>
      <c r="V355" s="8" t="s">
        <v>73</v>
      </c>
    </row>
    <row r="356" spans="1:22">
      <c r="A356" s="3" t="s">
        <v>1585</v>
      </c>
      <c r="B356" s="4" t="s">
        <v>172</v>
      </c>
      <c r="C356" s="4" t="s">
        <v>44</v>
      </c>
      <c r="D356" s="4" t="s">
        <v>29</v>
      </c>
      <c r="E356" s="4" t="s">
        <v>1586</v>
      </c>
      <c r="F356" s="4" t="s">
        <v>365</v>
      </c>
      <c r="G356" s="4" t="s">
        <v>32</v>
      </c>
      <c r="H356" s="4" t="s">
        <v>1587</v>
      </c>
      <c r="I356" s="4" t="s">
        <v>109</v>
      </c>
      <c r="J356" s="4" t="s">
        <v>110</v>
      </c>
      <c r="K356" s="4" t="s">
        <v>50</v>
      </c>
      <c r="L356" s="4" t="s">
        <v>51</v>
      </c>
      <c r="M356" s="4">
        <v>9</v>
      </c>
      <c r="N356" s="4">
        <v>12000</v>
      </c>
      <c r="O356" s="4">
        <v>15</v>
      </c>
      <c r="P356" s="4">
        <v>91800</v>
      </c>
      <c r="Q356" s="4">
        <v>3</v>
      </c>
      <c r="R356" s="4" t="s">
        <v>92</v>
      </c>
      <c r="S356" s="4" t="s">
        <v>53</v>
      </c>
      <c r="T356" s="4" t="s">
        <v>179</v>
      </c>
      <c r="U356" s="6" t="s">
        <v>1588</v>
      </c>
      <c r="V356" s="4" t="s">
        <v>73</v>
      </c>
    </row>
    <row r="357" spans="1:22">
      <c r="A357" s="7" t="s">
        <v>1589</v>
      </c>
      <c r="B357" s="8" t="s">
        <v>27</v>
      </c>
      <c r="C357" s="8" t="s">
        <v>263</v>
      </c>
      <c r="D357" s="8" t="s">
        <v>349</v>
      </c>
      <c r="E357" s="8" t="s">
        <v>797</v>
      </c>
      <c r="F357" s="8" t="s">
        <v>31</v>
      </c>
      <c r="G357" s="8" t="s">
        <v>32</v>
      </c>
      <c r="H357" s="8" t="s">
        <v>1590</v>
      </c>
      <c r="I357" s="8" t="s">
        <v>216</v>
      </c>
      <c r="J357" s="8" t="s">
        <v>49</v>
      </c>
      <c r="K357" s="8" t="s">
        <v>126</v>
      </c>
      <c r="L357" s="8" t="s">
        <v>267</v>
      </c>
      <c r="M357" s="8">
        <v>5</v>
      </c>
      <c r="N357" s="8">
        <v>45</v>
      </c>
      <c r="O357" s="8">
        <v>5</v>
      </c>
      <c r="P357" s="8">
        <v>213.75</v>
      </c>
      <c r="Q357" s="8">
        <v>1</v>
      </c>
      <c r="R357" s="8" t="s">
        <v>83</v>
      </c>
      <c r="S357" s="8" t="s">
        <v>119</v>
      </c>
      <c r="T357" s="8" t="s">
        <v>54</v>
      </c>
      <c r="U357" s="9" t="s">
        <v>1591</v>
      </c>
      <c r="V357" s="8" t="s">
        <v>42</v>
      </c>
    </row>
    <row r="358" spans="1:22">
      <c r="A358" s="3" t="s">
        <v>1592</v>
      </c>
      <c r="B358" s="4" t="s">
        <v>255</v>
      </c>
      <c r="C358" s="4" t="s">
        <v>188</v>
      </c>
      <c r="D358" s="4" t="s">
        <v>1593</v>
      </c>
      <c r="E358" s="4" t="s">
        <v>1377</v>
      </c>
      <c r="F358" s="4" t="s">
        <v>258</v>
      </c>
      <c r="G358" s="4" t="s">
        <v>32</v>
      </c>
      <c r="H358" s="4" t="s">
        <v>1594</v>
      </c>
      <c r="I358" s="4" t="s">
        <v>109</v>
      </c>
      <c r="J358" s="4" t="s">
        <v>110</v>
      </c>
      <c r="K358" s="4" t="s">
        <v>50</v>
      </c>
      <c r="L358" s="4" t="s">
        <v>193</v>
      </c>
      <c r="M358" s="4">
        <v>3</v>
      </c>
      <c r="N358" s="4">
        <v>700</v>
      </c>
      <c r="O358" s="4">
        <v>15</v>
      </c>
      <c r="P358" s="4">
        <v>1785</v>
      </c>
      <c r="Q358" s="4">
        <v>4</v>
      </c>
      <c r="R358" s="4" t="s">
        <v>38</v>
      </c>
      <c r="S358" s="4" t="s">
        <v>155</v>
      </c>
      <c r="T358" s="4" t="s">
        <v>260</v>
      </c>
      <c r="U358" s="6" t="s">
        <v>1595</v>
      </c>
      <c r="V358" s="4" t="s">
        <v>42</v>
      </c>
    </row>
    <row r="359" spans="1:22">
      <c r="A359" s="7" t="s">
        <v>1596</v>
      </c>
      <c r="B359" s="8" t="s">
        <v>75</v>
      </c>
      <c r="C359" s="8" t="s">
        <v>173</v>
      </c>
      <c r="D359" s="8" t="s">
        <v>458</v>
      </c>
      <c r="E359" s="8" t="s">
        <v>965</v>
      </c>
      <c r="F359" s="8" t="s">
        <v>221</v>
      </c>
      <c r="G359" s="8" t="s">
        <v>80</v>
      </c>
      <c r="H359" s="8" t="s">
        <v>1597</v>
      </c>
      <c r="I359" s="8" t="s">
        <v>216</v>
      </c>
      <c r="J359" s="8" t="s">
        <v>49</v>
      </c>
      <c r="K359" s="8" t="s">
        <v>36</v>
      </c>
      <c r="L359" s="8" t="s">
        <v>178</v>
      </c>
      <c r="M359" s="8">
        <v>12</v>
      </c>
      <c r="N359" s="8">
        <v>8500</v>
      </c>
      <c r="O359" s="8">
        <v>5</v>
      </c>
      <c r="P359" s="8">
        <v>96900</v>
      </c>
      <c r="Q359" s="8">
        <v>3</v>
      </c>
      <c r="R359" s="8" t="s">
        <v>83</v>
      </c>
      <c r="S359" s="8" t="s">
        <v>65</v>
      </c>
      <c r="T359" s="8" t="s">
        <v>84</v>
      </c>
      <c r="U359" s="9" t="s">
        <v>1598</v>
      </c>
      <c r="V359" s="8" t="s">
        <v>68</v>
      </c>
    </row>
    <row r="360" spans="1:22">
      <c r="A360" s="3" t="s">
        <v>1599</v>
      </c>
      <c r="B360" s="4" t="s">
        <v>255</v>
      </c>
      <c r="C360" s="4" t="s">
        <v>173</v>
      </c>
      <c r="D360" s="4" t="s">
        <v>166</v>
      </c>
      <c r="E360" s="4" t="s">
        <v>360</v>
      </c>
      <c r="F360" s="4" t="s">
        <v>258</v>
      </c>
      <c r="G360" s="4" t="s">
        <v>32</v>
      </c>
      <c r="H360" s="4" t="s">
        <v>1600</v>
      </c>
      <c r="I360" s="4" t="s">
        <v>118</v>
      </c>
      <c r="J360" s="4" t="s">
        <v>110</v>
      </c>
      <c r="K360" s="4" t="s">
        <v>36</v>
      </c>
      <c r="L360" s="4" t="s">
        <v>178</v>
      </c>
      <c r="M360" s="4">
        <v>4</v>
      </c>
      <c r="N360" s="4">
        <v>8500</v>
      </c>
      <c r="O360" s="4">
        <v>15</v>
      </c>
      <c r="P360" s="4">
        <v>28900</v>
      </c>
      <c r="Q360" s="4">
        <v>4</v>
      </c>
      <c r="R360" s="4" t="s">
        <v>52</v>
      </c>
      <c r="S360" s="4" t="s">
        <v>65</v>
      </c>
      <c r="T360" s="4" t="s">
        <v>260</v>
      </c>
      <c r="U360" s="6" t="s">
        <v>1601</v>
      </c>
      <c r="V360" s="4" t="s">
        <v>68</v>
      </c>
    </row>
    <row r="361" spans="1:22">
      <c r="A361" s="7" t="s">
        <v>1602</v>
      </c>
      <c r="B361" s="8" t="s">
        <v>131</v>
      </c>
      <c r="C361" s="8" t="s">
        <v>226</v>
      </c>
      <c r="D361" s="8" t="s">
        <v>106</v>
      </c>
      <c r="E361" s="8" t="s">
        <v>957</v>
      </c>
      <c r="F361" s="8" t="s">
        <v>204</v>
      </c>
      <c r="G361" s="8" t="s">
        <v>80</v>
      </c>
      <c r="H361" s="8" t="s">
        <v>1603</v>
      </c>
      <c r="I361" s="8" t="s">
        <v>216</v>
      </c>
      <c r="J361" s="8" t="s">
        <v>49</v>
      </c>
      <c r="K361" s="8" t="s">
        <v>126</v>
      </c>
      <c r="L361" s="8" t="s">
        <v>231</v>
      </c>
      <c r="M361" s="8">
        <v>16</v>
      </c>
      <c r="N361" s="8">
        <v>20</v>
      </c>
      <c r="O361" s="8">
        <v>10</v>
      </c>
      <c r="P361" s="8">
        <v>288</v>
      </c>
      <c r="Q361" s="8">
        <v>4</v>
      </c>
      <c r="R361" s="8" t="s">
        <v>38</v>
      </c>
      <c r="S361" s="8" t="s">
        <v>119</v>
      </c>
      <c r="T361" s="8" t="s">
        <v>136</v>
      </c>
      <c r="U361" s="9" t="s">
        <v>1604</v>
      </c>
      <c r="V361" s="8" t="s">
        <v>73</v>
      </c>
    </row>
    <row r="362" spans="1:22">
      <c r="A362" s="3" t="s">
        <v>1605</v>
      </c>
      <c r="B362" s="4" t="s">
        <v>131</v>
      </c>
      <c r="C362" s="4" t="s">
        <v>122</v>
      </c>
      <c r="D362" s="4" t="s">
        <v>605</v>
      </c>
      <c r="E362" s="4" t="s">
        <v>1606</v>
      </c>
      <c r="F362" s="4" t="s">
        <v>204</v>
      </c>
      <c r="G362" s="4" t="s">
        <v>80</v>
      </c>
      <c r="H362" s="4" t="s">
        <v>1607</v>
      </c>
      <c r="I362" s="4" t="s">
        <v>109</v>
      </c>
      <c r="J362" s="4" t="s">
        <v>110</v>
      </c>
      <c r="K362" s="4" t="s">
        <v>126</v>
      </c>
      <c r="L362" s="4" t="s">
        <v>127</v>
      </c>
      <c r="M362" s="4">
        <v>3</v>
      </c>
      <c r="N362" s="4">
        <v>60</v>
      </c>
      <c r="O362" s="4">
        <v>20</v>
      </c>
      <c r="P362" s="4">
        <v>144</v>
      </c>
      <c r="Q362" s="4">
        <v>4</v>
      </c>
      <c r="R362" s="4" t="s">
        <v>92</v>
      </c>
      <c r="S362" s="4" t="s">
        <v>155</v>
      </c>
      <c r="T362" s="4" t="s">
        <v>136</v>
      </c>
      <c r="U362" s="6" t="s">
        <v>1608</v>
      </c>
      <c r="V362" s="4" t="s">
        <v>68</v>
      </c>
    </row>
    <row r="363" spans="1:22">
      <c r="A363" s="7" t="s">
        <v>1609</v>
      </c>
      <c r="B363" s="8" t="s">
        <v>75</v>
      </c>
      <c r="C363" s="8" t="s">
        <v>28</v>
      </c>
      <c r="D363" s="8" t="s">
        <v>1110</v>
      </c>
      <c r="E363" s="8" t="s">
        <v>159</v>
      </c>
      <c r="F363" s="8" t="s">
        <v>221</v>
      </c>
      <c r="G363" s="8" t="s">
        <v>80</v>
      </c>
      <c r="H363" s="8" t="s">
        <v>1610</v>
      </c>
      <c r="I363" s="8" t="s">
        <v>109</v>
      </c>
      <c r="J363" s="8" t="s">
        <v>110</v>
      </c>
      <c r="K363" s="8" t="s">
        <v>36</v>
      </c>
      <c r="L363" s="8" t="s">
        <v>37</v>
      </c>
      <c r="M363" s="8">
        <v>19</v>
      </c>
      <c r="N363" s="8">
        <v>2200</v>
      </c>
      <c r="O363" s="8">
        <v>10</v>
      </c>
      <c r="P363" s="8">
        <v>37620</v>
      </c>
      <c r="Q363" s="8">
        <v>2</v>
      </c>
      <c r="R363" s="8" t="s">
        <v>38</v>
      </c>
      <c r="S363" s="8" t="s">
        <v>155</v>
      </c>
      <c r="T363" s="8" t="s">
        <v>84</v>
      </c>
      <c r="U363" s="9" t="s">
        <v>1611</v>
      </c>
      <c r="V363" s="8" t="s">
        <v>68</v>
      </c>
    </row>
    <row r="364" spans="1:22">
      <c r="A364" s="3" t="s">
        <v>1612</v>
      </c>
      <c r="B364" s="4" t="s">
        <v>75</v>
      </c>
      <c r="C364" s="4" t="s">
        <v>76</v>
      </c>
      <c r="D364" s="4" t="s">
        <v>1613</v>
      </c>
      <c r="E364" s="4" t="s">
        <v>592</v>
      </c>
      <c r="F364" s="4" t="s">
        <v>221</v>
      </c>
      <c r="G364" s="4" t="s">
        <v>80</v>
      </c>
      <c r="H364" s="4" t="s">
        <v>1614</v>
      </c>
      <c r="I364" s="4" t="s">
        <v>34</v>
      </c>
      <c r="J364" s="4" t="s">
        <v>35</v>
      </c>
      <c r="K364" s="4" t="s">
        <v>50</v>
      </c>
      <c r="L364" s="4" t="s">
        <v>82</v>
      </c>
      <c r="M364" s="4">
        <v>7</v>
      </c>
      <c r="N364" s="4">
        <v>1200</v>
      </c>
      <c r="O364" s="4">
        <v>20</v>
      </c>
      <c r="P364" s="4">
        <v>6720</v>
      </c>
      <c r="Q364" s="4">
        <v>3</v>
      </c>
      <c r="R364" s="4" t="s">
        <v>83</v>
      </c>
      <c r="S364" s="4" t="s">
        <v>119</v>
      </c>
      <c r="T364" s="4" t="s">
        <v>84</v>
      </c>
      <c r="U364" s="6" t="s">
        <v>1615</v>
      </c>
      <c r="V364" s="4" t="s">
        <v>73</v>
      </c>
    </row>
    <row r="365" spans="1:22">
      <c r="A365" s="7" t="s">
        <v>1616</v>
      </c>
      <c r="B365" s="8" t="s">
        <v>57</v>
      </c>
      <c r="C365" s="8" t="s">
        <v>226</v>
      </c>
      <c r="D365" s="8" t="s">
        <v>547</v>
      </c>
      <c r="E365" s="8" t="s">
        <v>69</v>
      </c>
      <c r="F365" s="8" t="s">
        <v>167</v>
      </c>
      <c r="G365" s="8" t="s">
        <v>32</v>
      </c>
      <c r="H365" s="8" t="s">
        <v>1617</v>
      </c>
      <c r="I365" s="8" t="s">
        <v>63</v>
      </c>
      <c r="J365" s="8" t="s">
        <v>35</v>
      </c>
      <c r="K365" s="8" t="s">
        <v>126</v>
      </c>
      <c r="L365" s="8" t="s">
        <v>231</v>
      </c>
      <c r="M365" s="8">
        <v>20</v>
      </c>
      <c r="N365" s="8">
        <v>20</v>
      </c>
      <c r="O365" s="8">
        <v>20</v>
      </c>
      <c r="P365" s="8">
        <v>320</v>
      </c>
      <c r="Q365" s="8">
        <v>5</v>
      </c>
      <c r="R365" s="8" t="s">
        <v>83</v>
      </c>
      <c r="S365" s="8" t="s">
        <v>119</v>
      </c>
      <c r="T365" s="8" t="s">
        <v>66</v>
      </c>
      <c r="U365" s="9" t="s">
        <v>1618</v>
      </c>
      <c r="V365" s="8" t="s">
        <v>68</v>
      </c>
    </row>
    <row r="366" spans="1:22">
      <c r="A366" s="3" t="s">
        <v>1619</v>
      </c>
      <c r="B366" s="4" t="s">
        <v>104</v>
      </c>
      <c r="C366" s="4" t="s">
        <v>76</v>
      </c>
      <c r="D366" s="4" t="s">
        <v>214</v>
      </c>
      <c r="E366" s="4" t="s">
        <v>1620</v>
      </c>
      <c r="F366" s="4" t="s">
        <v>107</v>
      </c>
      <c r="G366" s="4" t="s">
        <v>32</v>
      </c>
      <c r="H366" s="4" t="s">
        <v>1621</v>
      </c>
      <c r="I366" s="4" t="s">
        <v>34</v>
      </c>
      <c r="J366" s="4" t="s">
        <v>35</v>
      </c>
      <c r="K366" s="4" t="s">
        <v>50</v>
      </c>
      <c r="L366" s="4" t="s">
        <v>82</v>
      </c>
      <c r="M366" s="4">
        <v>19</v>
      </c>
      <c r="N366" s="4">
        <v>1200</v>
      </c>
      <c r="O366" s="4">
        <v>5</v>
      </c>
      <c r="P366" s="4">
        <v>21660</v>
      </c>
      <c r="Q366" s="4">
        <v>3</v>
      </c>
      <c r="R366" s="4" t="s">
        <v>83</v>
      </c>
      <c r="S366" s="4" t="s">
        <v>39</v>
      </c>
      <c r="T366" s="4" t="s">
        <v>148</v>
      </c>
      <c r="U366" s="6" t="s">
        <v>1622</v>
      </c>
      <c r="V366" s="4" t="s">
        <v>68</v>
      </c>
    </row>
    <row r="367" spans="1:22">
      <c r="A367" s="7" t="s">
        <v>1623</v>
      </c>
      <c r="B367" s="8" t="s">
        <v>57</v>
      </c>
      <c r="C367" s="8" t="s">
        <v>226</v>
      </c>
      <c r="D367" s="8" t="s">
        <v>1624</v>
      </c>
      <c r="E367" s="8" t="s">
        <v>306</v>
      </c>
      <c r="F367" s="8" t="s">
        <v>167</v>
      </c>
      <c r="G367" s="8" t="s">
        <v>32</v>
      </c>
      <c r="H367" s="8" t="s">
        <v>1625</v>
      </c>
      <c r="I367" s="8" t="s">
        <v>34</v>
      </c>
      <c r="J367" s="8" t="s">
        <v>35</v>
      </c>
      <c r="K367" s="8" t="s">
        <v>126</v>
      </c>
      <c r="L367" s="8" t="s">
        <v>231</v>
      </c>
      <c r="M367" s="8">
        <v>5</v>
      </c>
      <c r="N367" s="8">
        <v>20</v>
      </c>
      <c r="O367" s="8">
        <v>0</v>
      </c>
      <c r="P367" s="8">
        <v>100</v>
      </c>
      <c r="Q367" s="8">
        <v>2</v>
      </c>
      <c r="R367" s="8" t="s">
        <v>92</v>
      </c>
      <c r="S367" s="8" t="s">
        <v>53</v>
      </c>
      <c r="T367" s="8" t="s">
        <v>66</v>
      </c>
      <c r="U367" s="9" t="s">
        <v>1626</v>
      </c>
      <c r="V367" s="8" t="s">
        <v>68</v>
      </c>
    </row>
    <row r="368" spans="1:22">
      <c r="A368" s="3" t="s">
        <v>1627</v>
      </c>
      <c r="B368" s="4" t="s">
        <v>104</v>
      </c>
      <c r="C368" s="4" t="s">
        <v>263</v>
      </c>
      <c r="D368" s="4" t="s">
        <v>801</v>
      </c>
      <c r="E368" s="4" t="s">
        <v>547</v>
      </c>
      <c r="F368" s="4" t="s">
        <v>107</v>
      </c>
      <c r="G368" s="4" t="s">
        <v>32</v>
      </c>
      <c r="H368" s="4" t="s">
        <v>1628</v>
      </c>
      <c r="I368" s="4" t="s">
        <v>216</v>
      </c>
      <c r="J368" s="4" t="s">
        <v>49</v>
      </c>
      <c r="K368" s="4" t="s">
        <v>126</v>
      </c>
      <c r="L368" s="4" t="s">
        <v>267</v>
      </c>
      <c r="M368" s="4">
        <v>16</v>
      </c>
      <c r="N368" s="4">
        <v>45</v>
      </c>
      <c r="O368" s="4">
        <v>15</v>
      </c>
      <c r="P368" s="4">
        <v>612</v>
      </c>
      <c r="Q368" s="4">
        <v>5</v>
      </c>
      <c r="R368" s="4" t="s">
        <v>38</v>
      </c>
      <c r="S368" s="4" t="s">
        <v>65</v>
      </c>
      <c r="T368" s="4" t="s">
        <v>148</v>
      </c>
      <c r="U368" s="6" t="s">
        <v>1629</v>
      </c>
      <c r="V368" s="4" t="s">
        <v>73</v>
      </c>
    </row>
    <row r="369" spans="1:22">
      <c r="A369" s="7" t="s">
        <v>1630</v>
      </c>
      <c r="B369" s="8" t="s">
        <v>27</v>
      </c>
      <c r="C369" s="8" t="s">
        <v>28</v>
      </c>
      <c r="D369" s="8" t="s">
        <v>1267</v>
      </c>
      <c r="E369" s="8" t="s">
        <v>948</v>
      </c>
      <c r="F369" s="8" t="s">
        <v>31</v>
      </c>
      <c r="G369" s="8" t="s">
        <v>32</v>
      </c>
      <c r="H369" s="8" t="s">
        <v>1631</v>
      </c>
      <c r="I369" s="8" t="s">
        <v>216</v>
      </c>
      <c r="J369" s="8" t="s">
        <v>49</v>
      </c>
      <c r="K369" s="8" t="s">
        <v>36</v>
      </c>
      <c r="L369" s="8" t="s">
        <v>37</v>
      </c>
      <c r="M369" s="8">
        <v>1</v>
      </c>
      <c r="N369" s="8">
        <v>2200</v>
      </c>
      <c r="O369" s="8">
        <v>10</v>
      </c>
      <c r="P369" s="8">
        <v>1980</v>
      </c>
      <c r="Q369" s="8">
        <v>5</v>
      </c>
      <c r="R369" s="8" t="s">
        <v>83</v>
      </c>
      <c r="S369" s="8" t="s">
        <v>53</v>
      </c>
      <c r="T369" s="8" t="s">
        <v>54</v>
      </c>
      <c r="U369" s="9" t="s">
        <v>1632</v>
      </c>
      <c r="V369" s="8" t="s">
        <v>42</v>
      </c>
    </row>
    <row r="370" spans="1:22">
      <c r="A370" s="3" t="s">
        <v>1633</v>
      </c>
      <c r="B370" s="4" t="s">
        <v>57</v>
      </c>
      <c r="C370" s="4" t="s">
        <v>122</v>
      </c>
      <c r="D370" s="4" t="s">
        <v>895</v>
      </c>
      <c r="E370" s="4" t="s">
        <v>1634</v>
      </c>
      <c r="F370" s="4" t="s">
        <v>167</v>
      </c>
      <c r="G370" s="4" t="s">
        <v>32</v>
      </c>
      <c r="H370" s="4" t="s">
        <v>1635</v>
      </c>
      <c r="I370" s="4" t="s">
        <v>34</v>
      </c>
      <c r="J370" s="4" t="s">
        <v>35</v>
      </c>
      <c r="K370" s="4" t="s">
        <v>126</v>
      </c>
      <c r="L370" s="4" t="s">
        <v>127</v>
      </c>
      <c r="M370" s="4">
        <v>19</v>
      </c>
      <c r="N370" s="4">
        <v>60</v>
      </c>
      <c r="O370" s="4">
        <v>15</v>
      </c>
      <c r="P370" s="4">
        <v>969</v>
      </c>
      <c r="Q370" s="4">
        <v>4</v>
      </c>
      <c r="R370" s="4" t="s">
        <v>52</v>
      </c>
      <c r="S370" s="4" t="s">
        <v>119</v>
      </c>
      <c r="T370" s="4" t="s">
        <v>66</v>
      </c>
      <c r="U370" s="6" t="s">
        <v>1636</v>
      </c>
      <c r="V370" s="4" t="s">
        <v>73</v>
      </c>
    </row>
    <row r="371" spans="1:22">
      <c r="A371" s="7" t="s">
        <v>1637</v>
      </c>
      <c r="B371" s="8" t="s">
        <v>331</v>
      </c>
      <c r="C371" s="8" t="s">
        <v>58</v>
      </c>
      <c r="D371" s="8"/>
      <c r="E371" s="8" t="s">
        <v>1638</v>
      </c>
      <c r="F371" s="8" t="s">
        <v>398</v>
      </c>
      <c r="G371" s="8" t="s">
        <v>80</v>
      </c>
      <c r="H371" s="8" t="s">
        <v>1639</v>
      </c>
      <c r="I371" s="8" t="s">
        <v>48</v>
      </c>
      <c r="J371" s="8" t="s">
        <v>49</v>
      </c>
      <c r="K371" s="8" t="s">
        <v>50</v>
      </c>
      <c r="L371" s="8" t="s">
        <v>64</v>
      </c>
      <c r="M371" s="8">
        <v>15</v>
      </c>
      <c r="N371" s="8">
        <v>55000</v>
      </c>
      <c r="O371" s="8">
        <v>0</v>
      </c>
      <c r="P371" s="8">
        <v>825000</v>
      </c>
      <c r="Q371" s="8">
        <v>5</v>
      </c>
      <c r="R371" s="8" t="s">
        <v>83</v>
      </c>
      <c r="S371" s="8" t="s">
        <v>119</v>
      </c>
      <c r="T371" s="8" t="s">
        <v>336</v>
      </c>
      <c r="U371" s="9" t="s">
        <v>1640</v>
      </c>
      <c r="V371" s="8" t="s">
        <v>73</v>
      </c>
    </row>
    <row r="372" spans="1:22">
      <c r="A372" s="3" t="s">
        <v>1641</v>
      </c>
      <c r="B372" s="4" t="s">
        <v>75</v>
      </c>
      <c r="C372" s="4" t="s">
        <v>263</v>
      </c>
      <c r="D372" s="4" t="s">
        <v>945</v>
      </c>
      <c r="E372" s="4" t="s">
        <v>1642</v>
      </c>
      <c r="F372" s="4" t="s">
        <v>221</v>
      </c>
      <c r="G372" s="4" t="s">
        <v>80</v>
      </c>
      <c r="H372" s="4" t="s">
        <v>1643</v>
      </c>
      <c r="I372" s="4" t="s">
        <v>63</v>
      </c>
      <c r="J372" s="4" t="s">
        <v>35</v>
      </c>
      <c r="K372" s="4" t="s">
        <v>126</v>
      </c>
      <c r="L372" s="4" t="s">
        <v>267</v>
      </c>
      <c r="M372" s="4">
        <v>11</v>
      </c>
      <c r="N372" s="4">
        <v>45</v>
      </c>
      <c r="O372" s="4">
        <v>5</v>
      </c>
      <c r="P372" s="4">
        <v>470.25</v>
      </c>
      <c r="Q372" s="4">
        <v>5</v>
      </c>
      <c r="R372" s="4" t="s">
        <v>52</v>
      </c>
      <c r="S372" s="4" t="s">
        <v>155</v>
      </c>
      <c r="T372" s="4" t="s">
        <v>84</v>
      </c>
      <c r="U372" s="6" t="s">
        <v>1644</v>
      </c>
      <c r="V372" s="4" t="s">
        <v>42</v>
      </c>
    </row>
    <row r="373" spans="1:22">
      <c r="A373" s="7" t="s">
        <v>1645</v>
      </c>
      <c r="B373" s="8" t="s">
        <v>255</v>
      </c>
      <c r="C373" s="8" t="s">
        <v>226</v>
      </c>
      <c r="D373" s="8" t="s">
        <v>1646</v>
      </c>
      <c r="E373" s="8" t="s">
        <v>1647</v>
      </c>
      <c r="F373" s="8" t="s">
        <v>258</v>
      </c>
      <c r="G373" s="8" t="s">
        <v>32</v>
      </c>
      <c r="H373" s="8" t="s">
        <v>1648</v>
      </c>
      <c r="I373" s="8" t="s">
        <v>216</v>
      </c>
      <c r="J373" s="8" t="s">
        <v>49</v>
      </c>
      <c r="K373" s="8" t="s">
        <v>126</v>
      </c>
      <c r="L373" s="8" t="s">
        <v>231</v>
      </c>
      <c r="M373" s="8">
        <v>9</v>
      </c>
      <c r="N373" s="8">
        <v>20</v>
      </c>
      <c r="O373" s="8">
        <v>10</v>
      </c>
      <c r="P373" s="8">
        <v>162</v>
      </c>
      <c r="Q373" s="8">
        <v>1</v>
      </c>
      <c r="R373" s="8" t="s">
        <v>83</v>
      </c>
      <c r="S373" s="8" t="s">
        <v>53</v>
      </c>
      <c r="T373" s="8" t="s">
        <v>260</v>
      </c>
      <c r="U373" s="9" t="s">
        <v>1649</v>
      </c>
      <c r="V373" s="8" t="s">
        <v>73</v>
      </c>
    </row>
    <row r="374" spans="1:22">
      <c r="A374" s="3" t="s">
        <v>1650</v>
      </c>
      <c r="B374" s="4" t="s">
        <v>172</v>
      </c>
      <c r="C374" s="4" t="s">
        <v>263</v>
      </c>
      <c r="D374" s="4" t="s">
        <v>649</v>
      </c>
      <c r="E374" s="4" t="s">
        <v>984</v>
      </c>
      <c r="F374" s="4" t="s">
        <v>365</v>
      </c>
      <c r="G374" s="4" t="s">
        <v>32</v>
      </c>
      <c r="H374" s="4" t="s">
        <v>1651</v>
      </c>
      <c r="I374" s="4" t="s">
        <v>63</v>
      </c>
      <c r="J374" s="4" t="s">
        <v>35</v>
      </c>
      <c r="K374" s="4" t="s">
        <v>126</v>
      </c>
      <c r="L374" s="4" t="s">
        <v>267</v>
      </c>
      <c r="M374" s="4">
        <v>5</v>
      </c>
      <c r="N374" s="4">
        <v>45</v>
      </c>
      <c r="O374" s="4">
        <v>5</v>
      </c>
      <c r="P374" s="4">
        <v>213.75</v>
      </c>
      <c r="Q374" s="4">
        <v>3</v>
      </c>
      <c r="R374" s="4" t="s">
        <v>83</v>
      </c>
      <c r="S374" s="4" t="s">
        <v>119</v>
      </c>
      <c r="T374" s="4" t="s">
        <v>179</v>
      </c>
      <c r="U374" s="6" t="s">
        <v>1652</v>
      </c>
      <c r="V374" s="4" t="s">
        <v>68</v>
      </c>
    </row>
    <row r="375" spans="1:22">
      <c r="A375" s="7" t="s">
        <v>1653</v>
      </c>
      <c r="B375" s="8" t="s">
        <v>87</v>
      </c>
      <c r="C375" s="8" t="s">
        <v>188</v>
      </c>
      <c r="D375" s="8" t="s">
        <v>1654</v>
      </c>
      <c r="E375" s="8" t="s">
        <v>1106</v>
      </c>
      <c r="F375" s="8" t="s">
        <v>184</v>
      </c>
      <c r="G375" s="8" t="s">
        <v>80</v>
      </c>
      <c r="H375" s="8" t="s">
        <v>1655</v>
      </c>
      <c r="I375" s="8" t="s">
        <v>34</v>
      </c>
      <c r="J375" s="8" t="s">
        <v>35</v>
      </c>
      <c r="K375" s="8" t="s">
        <v>50</v>
      </c>
      <c r="L375" s="8" t="s">
        <v>193</v>
      </c>
      <c r="M375" s="8">
        <v>5</v>
      </c>
      <c r="N375" s="8">
        <v>700</v>
      </c>
      <c r="O375" s="8">
        <v>10</v>
      </c>
      <c r="P375" s="8">
        <v>3150</v>
      </c>
      <c r="Q375" s="8">
        <v>2</v>
      </c>
      <c r="R375" s="8" t="s">
        <v>92</v>
      </c>
      <c r="S375" s="8" t="s">
        <v>53</v>
      </c>
      <c r="T375" s="8" t="s">
        <v>93</v>
      </c>
      <c r="U375" s="9" t="s">
        <v>1656</v>
      </c>
      <c r="V375" s="8" t="s">
        <v>42</v>
      </c>
    </row>
    <row r="376" spans="1:22">
      <c r="A376" s="3" t="s">
        <v>1657</v>
      </c>
      <c r="B376" s="4" t="s">
        <v>225</v>
      </c>
      <c r="C376" s="4" t="s">
        <v>188</v>
      </c>
      <c r="D376" s="4" t="s">
        <v>961</v>
      </c>
      <c r="E376" s="4" t="s">
        <v>1658</v>
      </c>
      <c r="F376" s="4" t="s">
        <v>229</v>
      </c>
      <c r="G376" s="4" t="s">
        <v>80</v>
      </c>
      <c r="H376" s="4" t="s">
        <v>1659</v>
      </c>
      <c r="I376" s="4" t="s">
        <v>298</v>
      </c>
      <c r="J376" s="4" t="s">
        <v>299</v>
      </c>
      <c r="K376" s="4" t="s">
        <v>50</v>
      </c>
      <c r="L376" s="4" t="s">
        <v>193</v>
      </c>
      <c r="M376" s="4">
        <v>1</v>
      </c>
      <c r="N376" s="4">
        <v>700</v>
      </c>
      <c r="O376" s="4">
        <v>0</v>
      </c>
      <c r="P376" s="4">
        <v>700</v>
      </c>
      <c r="Q376" s="4">
        <v>1</v>
      </c>
      <c r="R376" s="4" t="s">
        <v>92</v>
      </c>
      <c r="S376" s="4" t="s">
        <v>155</v>
      </c>
      <c r="T376" s="4" t="s">
        <v>232</v>
      </c>
      <c r="U376" s="6" t="s">
        <v>1660</v>
      </c>
      <c r="V376" s="4" t="s">
        <v>42</v>
      </c>
    </row>
    <row r="377" spans="1:22">
      <c r="A377" s="7" t="s">
        <v>1661</v>
      </c>
      <c r="B377" s="8" t="s">
        <v>27</v>
      </c>
      <c r="C377" s="8" t="s">
        <v>188</v>
      </c>
      <c r="D377" s="8" t="s">
        <v>1372</v>
      </c>
      <c r="E377" s="8" t="s">
        <v>927</v>
      </c>
      <c r="F377" s="8" t="s">
        <v>31</v>
      </c>
      <c r="G377" s="8" t="s">
        <v>32</v>
      </c>
      <c r="H377" s="8" t="s">
        <v>1662</v>
      </c>
      <c r="I377" s="8" t="s">
        <v>109</v>
      </c>
      <c r="J377" s="8" t="s">
        <v>110</v>
      </c>
      <c r="K377" s="8" t="s">
        <v>50</v>
      </c>
      <c r="L377" s="8" t="s">
        <v>193</v>
      </c>
      <c r="M377" s="8">
        <v>13</v>
      </c>
      <c r="N377" s="8">
        <v>700</v>
      </c>
      <c r="O377" s="8">
        <v>20</v>
      </c>
      <c r="P377" s="8">
        <v>7280</v>
      </c>
      <c r="Q377" s="8">
        <v>2</v>
      </c>
      <c r="R377" s="8" t="s">
        <v>83</v>
      </c>
      <c r="S377" s="8" t="s">
        <v>39</v>
      </c>
      <c r="T377" s="8" t="s">
        <v>54</v>
      </c>
      <c r="U377" s="9" t="s">
        <v>1663</v>
      </c>
      <c r="V377" s="8" t="s">
        <v>42</v>
      </c>
    </row>
    <row r="378" spans="1:22">
      <c r="A378" s="3" t="s">
        <v>1664</v>
      </c>
      <c r="B378" s="4" t="s">
        <v>75</v>
      </c>
      <c r="C378" s="4" t="s">
        <v>44</v>
      </c>
      <c r="D378" s="4" t="s">
        <v>1157</v>
      </c>
      <c r="E378" s="4" t="s">
        <v>307</v>
      </c>
      <c r="F378" s="4" t="s">
        <v>221</v>
      </c>
      <c r="G378" s="4" t="s">
        <v>80</v>
      </c>
      <c r="H378" s="4" t="s">
        <v>1665</v>
      </c>
      <c r="I378" s="4" t="s">
        <v>118</v>
      </c>
      <c r="J378" s="4" t="s">
        <v>110</v>
      </c>
      <c r="K378" s="4" t="s">
        <v>50</v>
      </c>
      <c r="L378" s="4" t="s">
        <v>51</v>
      </c>
      <c r="M378" s="4">
        <v>20</v>
      </c>
      <c r="N378" s="4">
        <v>12000</v>
      </c>
      <c r="O378" s="4">
        <v>0</v>
      </c>
      <c r="P378" s="4">
        <v>240000</v>
      </c>
      <c r="Q378" s="4">
        <v>2</v>
      </c>
      <c r="R378" s="4" t="s">
        <v>83</v>
      </c>
      <c r="S378" s="4" t="s">
        <v>119</v>
      </c>
      <c r="T378" s="4" t="s">
        <v>84</v>
      </c>
      <c r="U378" s="6" t="s">
        <v>1666</v>
      </c>
      <c r="V378" s="4" t="s">
        <v>42</v>
      </c>
    </row>
    <row r="379" spans="1:22">
      <c r="A379" s="7" t="s">
        <v>1667</v>
      </c>
      <c r="B379" s="8" t="s">
        <v>87</v>
      </c>
      <c r="C379" s="8" t="s">
        <v>76</v>
      </c>
      <c r="D379" s="8" t="s">
        <v>1202</v>
      </c>
      <c r="E379" s="8" t="s">
        <v>716</v>
      </c>
      <c r="F379" s="8" t="s">
        <v>184</v>
      </c>
      <c r="G379" s="8" t="s">
        <v>80</v>
      </c>
      <c r="H379" s="8" t="s">
        <v>1668</v>
      </c>
      <c r="I379" s="8" t="s">
        <v>298</v>
      </c>
      <c r="J379" s="8" t="s">
        <v>299</v>
      </c>
      <c r="K379" s="8" t="s">
        <v>50</v>
      </c>
      <c r="L379" s="8" t="s">
        <v>82</v>
      </c>
      <c r="M379" s="8">
        <v>9</v>
      </c>
      <c r="N379" s="8">
        <v>1200</v>
      </c>
      <c r="O379" s="8">
        <v>15</v>
      </c>
      <c r="P379" s="8">
        <v>9180</v>
      </c>
      <c r="Q379" s="8">
        <v>1</v>
      </c>
      <c r="R379" s="8" t="s">
        <v>92</v>
      </c>
      <c r="S379" s="8" t="s">
        <v>39</v>
      </c>
      <c r="T379" s="8" t="s">
        <v>93</v>
      </c>
      <c r="U379" s="9" t="s">
        <v>1669</v>
      </c>
      <c r="V379" s="8" t="s">
        <v>68</v>
      </c>
    </row>
    <row r="380" spans="1:22">
      <c r="A380" s="3" t="s">
        <v>1670</v>
      </c>
      <c r="B380" s="4" t="s">
        <v>87</v>
      </c>
      <c r="C380" s="4" t="s">
        <v>226</v>
      </c>
      <c r="D380" s="4" t="s">
        <v>1225</v>
      </c>
      <c r="E380" s="4" t="s">
        <v>1671</v>
      </c>
      <c r="F380" s="4" t="s">
        <v>184</v>
      </c>
      <c r="G380" s="4" t="s">
        <v>80</v>
      </c>
      <c r="H380" s="4" t="s">
        <v>1672</v>
      </c>
      <c r="I380" s="4" t="s">
        <v>216</v>
      </c>
      <c r="J380" s="4" t="s">
        <v>49</v>
      </c>
      <c r="K380" s="4" t="s">
        <v>126</v>
      </c>
      <c r="L380" s="4" t="s">
        <v>231</v>
      </c>
      <c r="M380" s="4">
        <v>3</v>
      </c>
      <c r="N380" s="4">
        <v>20</v>
      </c>
      <c r="O380" s="4">
        <v>15</v>
      </c>
      <c r="P380" s="4">
        <v>51</v>
      </c>
      <c r="Q380" s="4">
        <v>3</v>
      </c>
      <c r="R380" s="4" t="s">
        <v>38</v>
      </c>
      <c r="S380" s="4" t="s">
        <v>119</v>
      </c>
      <c r="T380" s="4" t="s">
        <v>93</v>
      </c>
      <c r="U380" s="6" t="s">
        <v>1673</v>
      </c>
      <c r="V380" s="4" t="s">
        <v>68</v>
      </c>
    </row>
    <row r="381" spans="1:22">
      <c r="A381" s="7" t="s">
        <v>1674</v>
      </c>
      <c r="B381" s="8" t="s">
        <v>255</v>
      </c>
      <c r="C381" s="8" t="s">
        <v>58</v>
      </c>
      <c r="D381" s="8" t="s">
        <v>792</v>
      </c>
      <c r="E381" s="8" t="s">
        <v>459</v>
      </c>
      <c r="F381" s="8" t="s">
        <v>258</v>
      </c>
      <c r="G381" s="8" t="s">
        <v>32</v>
      </c>
      <c r="H381" s="8" t="s">
        <v>1675</v>
      </c>
      <c r="I381" s="8" t="s">
        <v>48</v>
      </c>
      <c r="J381" s="8" t="s">
        <v>49</v>
      </c>
      <c r="K381" s="8" t="s">
        <v>50</v>
      </c>
      <c r="L381" s="8" t="s">
        <v>64</v>
      </c>
      <c r="M381" s="8">
        <v>8</v>
      </c>
      <c r="N381" s="8">
        <v>55000</v>
      </c>
      <c r="O381" s="8">
        <v>20</v>
      </c>
      <c r="P381" s="8">
        <v>352000</v>
      </c>
      <c r="Q381" s="8">
        <v>5</v>
      </c>
      <c r="R381" s="8" t="s">
        <v>83</v>
      </c>
      <c r="S381" s="8" t="s">
        <v>155</v>
      </c>
      <c r="T381" s="8" t="s">
        <v>260</v>
      </c>
      <c r="U381" s="9" t="s">
        <v>1676</v>
      </c>
      <c r="V381" s="8" t="s">
        <v>68</v>
      </c>
    </row>
    <row r="382" spans="1:22">
      <c r="A382" s="3" t="s">
        <v>1677</v>
      </c>
      <c r="B382" s="4" t="s">
        <v>255</v>
      </c>
      <c r="C382" s="4" t="s">
        <v>122</v>
      </c>
      <c r="D382" s="4" t="s">
        <v>1315</v>
      </c>
      <c r="E382" s="4" t="s">
        <v>78</v>
      </c>
      <c r="F382" s="4" t="s">
        <v>258</v>
      </c>
      <c r="G382" s="4" t="s">
        <v>32</v>
      </c>
      <c r="H382" s="4" t="s">
        <v>1678</v>
      </c>
      <c r="I382" s="4" t="s">
        <v>48</v>
      </c>
      <c r="J382" s="4" t="s">
        <v>49</v>
      </c>
      <c r="K382" s="4" t="s">
        <v>126</v>
      </c>
      <c r="L382" s="4" t="s">
        <v>127</v>
      </c>
      <c r="M382" s="4">
        <v>17</v>
      </c>
      <c r="N382" s="4">
        <v>60</v>
      </c>
      <c r="O382" s="4">
        <v>20</v>
      </c>
      <c r="P382" s="4">
        <v>816</v>
      </c>
      <c r="Q382" s="4">
        <v>1</v>
      </c>
      <c r="R382" s="4" t="s">
        <v>92</v>
      </c>
      <c r="S382" s="4" t="s">
        <v>39</v>
      </c>
      <c r="T382" s="4" t="s">
        <v>260</v>
      </c>
      <c r="U382" s="6" t="s">
        <v>1679</v>
      </c>
      <c r="V382" s="4" t="s">
        <v>68</v>
      </c>
    </row>
    <row r="383" spans="1:22">
      <c r="A383" s="7" t="s">
        <v>1680</v>
      </c>
      <c r="B383" s="8" t="s">
        <v>131</v>
      </c>
      <c r="C383" s="8" t="s">
        <v>226</v>
      </c>
      <c r="D383" s="8" t="s">
        <v>1681</v>
      </c>
      <c r="E383" s="8" t="s">
        <v>240</v>
      </c>
      <c r="F383" s="8" t="s">
        <v>204</v>
      </c>
      <c r="G383" s="8" t="s">
        <v>80</v>
      </c>
      <c r="H383" s="8" t="s">
        <v>1682</v>
      </c>
      <c r="I383" s="8" t="s">
        <v>63</v>
      </c>
      <c r="J383" s="8" t="s">
        <v>35</v>
      </c>
      <c r="K383" s="8" t="s">
        <v>126</v>
      </c>
      <c r="L383" s="8" t="s">
        <v>231</v>
      </c>
      <c r="M383" s="8">
        <v>4</v>
      </c>
      <c r="N383" s="8">
        <v>20</v>
      </c>
      <c r="O383" s="8">
        <v>15</v>
      </c>
      <c r="P383" s="8">
        <v>68</v>
      </c>
      <c r="Q383" s="8">
        <v>3</v>
      </c>
      <c r="R383" s="8" t="s">
        <v>52</v>
      </c>
      <c r="S383" s="8" t="s">
        <v>65</v>
      </c>
      <c r="T383" s="8" t="s">
        <v>136</v>
      </c>
      <c r="U383" s="9" t="s">
        <v>1683</v>
      </c>
      <c r="V383" s="8" t="s">
        <v>68</v>
      </c>
    </row>
    <row r="384" spans="1:22">
      <c r="A384" s="3" t="s">
        <v>1684</v>
      </c>
      <c r="B384" s="4" t="s">
        <v>131</v>
      </c>
      <c r="C384" s="4" t="s">
        <v>28</v>
      </c>
      <c r="D384" s="4" t="s">
        <v>1364</v>
      </c>
      <c r="E384" s="4" t="s">
        <v>779</v>
      </c>
      <c r="F384" s="4" t="s">
        <v>1685</v>
      </c>
      <c r="G384" s="4" t="s">
        <v>80</v>
      </c>
      <c r="H384" s="4" t="s">
        <v>1686</v>
      </c>
      <c r="I384" s="4" t="s">
        <v>298</v>
      </c>
      <c r="J384" s="4" t="s">
        <v>299</v>
      </c>
      <c r="K384" s="4" t="s">
        <v>36</v>
      </c>
      <c r="L384" s="4" t="s">
        <v>37</v>
      </c>
      <c r="M384" s="4">
        <v>2</v>
      </c>
      <c r="N384" s="4">
        <v>2200</v>
      </c>
      <c r="O384" s="4">
        <v>10</v>
      </c>
      <c r="P384" s="4">
        <v>3960</v>
      </c>
      <c r="Q384" s="4">
        <v>2</v>
      </c>
      <c r="R384" s="4" t="s">
        <v>92</v>
      </c>
      <c r="S384" s="4" t="s">
        <v>53</v>
      </c>
      <c r="T384" s="4" t="s">
        <v>136</v>
      </c>
      <c r="U384" s="6" t="s">
        <v>1687</v>
      </c>
      <c r="V384" s="4" t="s">
        <v>68</v>
      </c>
    </row>
    <row r="385" spans="1:22">
      <c r="A385" s="7" t="s">
        <v>1688</v>
      </c>
      <c r="B385" s="8" t="s">
        <v>225</v>
      </c>
      <c r="C385" s="8" t="s">
        <v>122</v>
      </c>
      <c r="D385" s="8" t="s">
        <v>370</v>
      </c>
      <c r="E385" s="8" t="s">
        <v>543</v>
      </c>
      <c r="F385" s="8" t="s">
        <v>229</v>
      </c>
      <c r="G385" s="8" t="s">
        <v>80</v>
      </c>
      <c r="H385" s="8" t="s">
        <v>1689</v>
      </c>
      <c r="I385" s="8" t="s">
        <v>63</v>
      </c>
      <c r="J385" s="8" t="s">
        <v>35</v>
      </c>
      <c r="K385" s="8" t="s">
        <v>126</v>
      </c>
      <c r="L385" s="8" t="s">
        <v>127</v>
      </c>
      <c r="M385" s="8">
        <v>5</v>
      </c>
      <c r="N385" s="8">
        <v>60</v>
      </c>
      <c r="O385" s="8">
        <v>5</v>
      </c>
      <c r="P385" s="8">
        <v>285</v>
      </c>
      <c r="Q385" s="8">
        <v>1</v>
      </c>
      <c r="R385" s="8" t="s">
        <v>92</v>
      </c>
      <c r="S385" s="8" t="s">
        <v>39</v>
      </c>
      <c r="T385" s="8" t="s">
        <v>232</v>
      </c>
      <c r="U385" s="9" t="s">
        <v>1690</v>
      </c>
      <c r="V385" s="8" t="s">
        <v>73</v>
      </c>
    </row>
    <row r="386" spans="1:22">
      <c r="A386" s="3" t="s">
        <v>1691</v>
      </c>
      <c r="B386" s="4" t="s">
        <v>131</v>
      </c>
      <c r="C386" s="4" t="s">
        <v>28</v>
      </c>
      <c r="D386" s="4" t="s">
        <v>1692</v>
      </c>
      <c r="E386" s="4" t="s">
        <v>1693</v>
      </c>
      <c r="F386" s="4" t="s">
        <v>204</v>
      </c>
      <c r="G386" s="4" t="s">
        <v>80</v>
      </c>
      <c r="H386" s="4" t="s">
        <v>1694</v>
      </c>
      <c r="I386" s="4" t="s">
        <v>48</v>
      </c>
      <c r="J386" s="4" t="s">
        <v>49</v>
      </c>
      <c r="K386" s="4" t="s">
        <v>36</v>
      </c>
      <c r="L386" s="4" t="s">
        <v>37</v>
      </c>
      <c r="M386" s="4">
        <v>17</v>
      </c>
      <c r="N386" s="4">
        <v>2200</v>
      </c>
      <c r="O386" s="4">
        <v>0</v>
      </c>
      <c r="P386" s="4">
        <v>37400</v>
      </c>
      <c r="Q386" s="4">
        <v>2</v>
      </c>
      <c r="R386" s="4" t="s">
        <v>92</v>
      </c>
      <c r="S386" s="4" t="s">
        <v>155</v>
      </c>
      <c r="T386" s="4" t="s">
        <v>136</v>
      </c>
      <c r="U386" s="6" t="s">
        <v>1695</v>
      </c>
      <c r="V386" s="4" t="s">
        <v>73</v>
      </c>
    </row>
    <row r="387" spans="1:22">
      <c r="A387" s="7" t="s">
        <v>1696</v>
      </c>
      <c r="B387" s="8" t="s">
        <v>172</v>
      </c>
      <c r="C387" s="8" t="s">
        <v>122</v>
      </c>
      <c r="D387" s="8" t="s">
        <v>190</v>
      </c>
      <c r="E387" s="8" t="s">
        <v>614</v>
      </c>
      <c r="F387" s="8" t="s">
        <v>365</v>
      </c>
      <c r="G387" s="8" t="s">
        <v>32</v>
      </c>
      <c r="H387" s="8" t="s">
        <v>1697</v>
      </c>
      <c r="I387" s="8" t="s">
        <v>142</v>
      </c>
      <c r="J387" s="8" t="s">
        <v>110</v>
      </c>
      <c r="K387" s="8" t="s">
        <v>126</v>
      </c>
      <c r="L387" s="8" t="s">
        <v>127</v>
      </c>
      <c r="M387" s="8">
        <v>7</v>
      </c>
      <c r="N387" s="8">
        <v>60</v>
      </c>
      <c r="O387" s="8">
        <v>0</v>
      </c>
      <c r="P387" s="8">
        <v>420</v>
      </c>
      <c r="Q387" s="8">
        <v>2</v>
      </c>
      <c r="R387" s="8" t="s">
        <v>92</v>
      </c>
      <c r="S387" s="8" t="s">
        <v>65</v>
      </c>
      <c r="T387" s="8" t="s">
        <v>179</v>
      </c>
      <c r="U387" s="9" t="s">
        <v>1698</v>
      </c>
      <c r="V387" s="8" t="s">
        <v>68</v>
      </c>
    </row>
    <row r="388" spans="1:22">
      <c r="A388" s="3" t="s">
        <v>1699</v>
      </c>
      <c r="B388" s="4" t="s">
        <v>225</v>
      </c>
      <c r="C388" s="4" t="s">
        <v>58</v>
      </c>
      <c r="D388" s="4" t="s">
        <v>706</v>
      </c>
      <c r="E388" s="4" t="s">
        <v>1700</v>
      </c>
      <c r="F388" s="4" t="s">
        <v>229</v>
      </c>
      <c r="G388" s="4" t="s">
        <v>80</v>
      </c>
      <c r="H388" s="4" t="s">
        <v>1701</v>
      </c>
      <c r="I388" s="4" t="s">
        <v>34</v>
      </c>
      <c r="J388" s="4" t="s">
        <v>35</v>
      </c>
      <c r="K388" s="4" t="s">
        <v>50</v>
      </c>
      <c r="L388" s="4" t="s">
        <v>64</v>
      </c>
      <c r="M388" s="4">
        <v>6</v>
      </c>
      <c r="N388" s="4">
        <v>55000</v>
      </c>
      <c r="O388" s="4">
        <v>5</v>
      </c>
      <c r="P388" s="4">
        <v>313500</v>
      </c>
      <c r="Q388" s="4">
        <v>4</v>
      </c>
      <c r="R388" s="4" t="s">
        <v>83</v>
      </c>
      <c r="S388" s="4" t="s">
        <v>65</v>
      </c>
      <c r="T388" s="4" t="s">
        <v>232</v>
      </c>
      <c r="U388" s="6" t="s">
        <v>1702</v>
      </c>
      <c r="V388" s="4" t="s">
        <v>42</v>
      </c>
    </row>
    <row r="389" spans="1:22">
      <c r="A389" s="7" t="s">
        <v>1703</v>
      </c>
      <c r="B389" s="8" t="s">
        <v>75</v>
      </c>
      <c r="C389" s="8" t="s">
        <v>226</v>
      </c>
      <c r="D389" s="8" t="s">
        <v>1310</v>
      </c>
      <c r="E389" s="8" t="s">
        <v>1704</v>
      </c>
      <c r="F389" s="8" t="s">
        <v>221</v>
      </c>
      <c r="G389" s="8" t="s">
        <v>80</v>
      </c>
      <c r="H389" s="8" t="s">
        <v>1705</v>
      </c>
      <c r="I389" s="8" t="s">
        <v>34</v>
      </c>
      <c r="J389" s="8" t="s">
        <v>35</v>
      </c>
      <c r="K389" s="8" t="s">
        <v>126</v>
      </c>
      <c r="L389" s="8" t="s">
        <v>231</v>
      </c>
      <c r="M389" s="8">
        <v>16</v>
      </c>
      <c r="N389" s="8">
        <v>20</v>
      </c>
      <c r="O389" s="8">
        <v>5</v>
      </c>
      <c r="P389" s="8">
        <v>304</v>
      </c>
      <c r="Q389" s="8">
        <v>1</v>
      </c>
      <c r="R389" s="8" t="s">
        <v>83</v>
      </c>
      <c r="S389" s="8" t="s">
        <v>53</v>
      </c>
      <c r="T389" s="8" t="s">
        <v>84</v>
      </c>
      <c r="U389" s="9" t="s">
        <v>1706</v>
      </c>
      <c r="V389" s="8" t="s">
        <v>42</v>
      </c>
    </row>
    <row r="390" spans="1:22">
      <c r="A390" s="3" t="s">
        <v>1707</v>
      </c>
      <c r="B390" s="4" t="s">
        <v>27</v>
      </c>
      <c r="C390" s="4" t="s">
        <v>28</v>
      </c>
      <c r="D390" s="4" t="s">
        <v>1708</v>
      </c>
      <c r="E390" s="4" t="s">
        <v>1709</v>
      </c>
      <c r="F390" s="4" t="s">
        <v>31</v>
      </c>
      <c r="G390" s="4" t="s">
        <v>32</v>
      </c>
      <c r="H390" s="4" t="s">
        <v>1710</v>
      </c>
      <c r="I390" s="4" t="s">
        <v>298</v>
      </c>
      <c r="J390" s="4" t="s">
        <v>299</v>
      </c>
      <c r="K390" s="4" t="s">
        <v>36</v>
      </c>
      <c r="L390" s="4" t="s">
        <v>37</v>
      </c>
      <c r="M390" s="4">
        <v>11</v>
      </c>
      <c r="N390" s="4">
        <v>2200</v>
      </c>
      <c r="O390" s="4">
        <v>15</v>
      </c>
      <c r="P390" s="4">
        <v>20570</v>
      </c>
      <c r="Q390" s="4">
        <v>1</v>
      </c>
      <c r="R390" s="4" t="s">
        <v>52</v>
      </c>
      <c r="S390" s="4" t="s">
        <v>119</v>
      </c>
      <c r="T390" s="4" t="s">
        <v>54</v>
      </c>
      <c r="U390" s="6" t="s">
        <v>1711</v>
      </c>
      <c r="V390" s="4" t="s">
        <v>73</v>
      </c>
    </row>
    <row r="391" spans="1:22">
      <c r="A391" s="7" t="s">
        <v>1712</v>
      </c>
      <c r="B391" s="8" t="s">
        <v>104</v>
      </c>
      <c r="C391" s="8" t="s">
        <v>226</v>
      </c>
      <c r="D391" s="8" t="s">
        <v>1073</v>
      </c>
      <c r="E391" s="8" t="s">
        <v>1413</v>
      </c>
      <c r="F391" s="8" t="s">
        <v>107</v>
      </c>
      <c r="G391" s="8" t="s">
        <v>32</v>
      </c>
      <c r="H391" s="8" t="s">
        <v>1713</v>
      </c>
      <c r="I391" s="8" t="s">
        <v>118</v>
      </c>
      <c r="J391" s="8" t="s">
        <v>110</v>
      </c>
      <c r="K391" s="8" t="s">
        <v>126</v>
      </c>
      <c r="L391" s="8" t="s">
        <v>231</v>
      </c>
      <c r="M391" s="8">
        <v>19</v>
      </c>
      <c r="N391" s="8">
        <v>20</v>
      </c>
      <c r="O391" s="8">
        <v>5</v>
      </c>
      <c r="P391" s="8">
        <v>361</v>
      </c>
      <c r="Q391" s="8">
        <v>4</v>
      </c>
      <c r="R391" s="8" t="s">
        <v>92</v>
      </c>
      <c r="S391" s="8" t="s">
        <v>39</v>
      </c>
      <c r="T391" s="8" t="s">
        <v>148</v>
      </c>
      <c r="U391" s="9" t="s">
        <v>1714</v>
      </c>
      <c r="V391" s="8" t="s">
        <v>68</v>
      </c>
    </row>
    <row r="392" spans="1:22">
      <c r="A392" s="3" t="s">
        <v>1715</v>
      </c>
      <c r="B392" s="4" t="s">
        <v>104</v>
      </c>
      <c r="C392" s="4" t="s">
        <v>76</v>
      </c>
      <c r="D392" s="4" t="s">
        <v>1716</v>
      </c>
      <c r="E392" s="4" t="s">
        <v>1717</v>
      </c>
      <c r="F392" s="4" t="s">
        <v>107</v>
      </c>
      <c r="G392" s="4" t="s">
        <v>32</v>
      </c>
      <c r="H392" s="4" t="s">
        <v>1718</v>
      </c>
      <c r="I392" s="4" t="s">
        <v>118</v>
      </c>
      <c r="J392" s="4" t="s">
        <v>110</v>
      </c>
      <c r="K392" s="4" t="s">
        <v>50</v>
      </c>
      <c r="L392" s="4" t="s">
        <v>82</v>
      </c>
      <c r="M392" s="4">
        <v>20</v>
      </c>
      <c r="N392" s="4">
        <v>1200</v>
      </c>
      <c r="O392" s="4">
        <v>15</v>
      </c>
      <c r="P392" s="4">
        <v>20400</v>
      </c>
      <c r="Q392" s="4">
        <v>4</v>
      </c>
      <c r="R392" s="4" t="s">
        <v>83</v>
      </c>
      <c r="S392" s="4" t="s">
        <v>39</v>
      </c>
      <c r="T392" s="4" t="s">
        <v>148</v>
      </c>
      <c r="U392" s="6" t="s">
        <v>1719</v>
      </c>
      <c r="V392" s="4" t="s">
        <v>68</v>
      </c>
    </row>
    <row r="393" spans="1:22">
      <c r="A393" s="7" t="s">
        <v>1720</v>
      </c>
      <c r="B393" s="8" t="s">
        <v>57</v>
      </c>
      <c r="C393" s="8" t="s">
        <v>226</v>
      </c>
      <c r="D393" s="8" t="s">
        <v>1721</v>
      </c>
      <c r="E393" s="8" t="s">
        <v>1722</v>
      </c>
      <c r="F393" s="8" t="s">
        <v>167</v>
      </c>
      <c r="G393" s="8" t="s">
        <v>32</v>
      </c>
      <c r="H393" s="8" t="s">
        <v>1723</v>
      </c>
      <c r="I393" s="8" t="s">
        <v>34</v>
      </c>
      <c r="J393" s="8" t="s">
        <v>35</v>
      </c>
      <c r="K393" s="8" t="s">
        <v>126</v>
      </c>
      <c r="L393" s="8" t="s">
        <v>231</v>
      </c>
      <c r="M393" s="8">
        <v>13</v>
      </c>
      <c r="N393" s="8">
        <v>20</v>
      </c>
      <c r="O393" s="8">
        <v>15</v>
      </c>
      <c r="P393" s="8">
        <v>221</v>
      </c>
      <c r="Q393" s="8">
        <v>4</v>
      </c>
      <c r="R393" s="8" t="s">
        <v>38</v>
      </c>
      <c r="S393" s="8" t="s">
        <v>39</v>
      </c>
      <c r="T393" s="8" t="s">
        <v>66</v>
      </c>
      <c r="U393" s="9" t="s">
        <v>1724</v>
      </c>
      <c r="V393" s="8" t="s">
        <v>68</v>
      </c>
    </row>
    <row r="394" spans="1:22">
      <c r="A394" s="3" t="s">
        <v>1725</v>
      </c>
      <c r="B394" s="4" t="s">
        <v>255</v>
      </c>
      <c r="C394" s="4" t="s">
        <v>76</v>
      </c>
      <c r="D394" s="4" t="s">
        <v>209</v>
      </c>
      <c r="E394" s="4" t="s">
        <v>210</v>
      </c>
      <c r="F394" s="4" t="s">
        <v>258</v>
      </c>
      <c r="G394" s="4" t="s">
        <v>32</v>
      </c>
      <c r="H394" s="4" t="s">
        <v>1726</v>
      </c>
      <c r="I394" s="4" t="s">
        <v>48</v>
      </c>
      <c r="J394" s="4" t="s">
        <v>49</v>
      </c>
      <c r="K394" s="4" t="s">
        <v>50</v>
      </c>
      <c r="L394" s="4" t="s">
        <v>82</v>
      </c>
      <c r="M394" s="4">
        <v>12</v>
      </c>
      <c r="N394" s="4">
        <v>1200</v>
      </c>
      <c r="O394" s="4">
        <v>10</v>
      </c>
      <c r="P394" s="4">
        <v>12960</v>
      </c>
      <c r="Q394" s="4">
        <v>3</v>
      </c>
      <c r="R394" s="4" t="s">
        <v>52</v>
      </c>
      <c r="S394" s="4" t="s">
        <v>39</v>
      </c>
      <c r="T394" s="4" t="s">
        <v>260</v>
      </c>
      <c r="U394" s="6" t="s">
        <v>1727</v>
      </c>
      <c r="V394" s="4" t="s">
        <v>68</v>
      </c>
    </row>
    <row r="395" spans="1:22">
      <c r="A395" s="7" t="s">
        <v>1728</v>
      </c>
      <c r="B395" s="8" t="s">
        <v>104</v>
      </c>
      <c r="C395" s="8" t="s">
        <v>173</v>
      </c>
      <c r="D395" s="8" t="s">
        <v>1709</v>
      </c>
      <c r="E395" s="8" t="s">
        <v>787</v>
      </c>
      <c r="F395" s="8" t="s">
        <v>107</v>
      </c>
      <c r="G395" s="8" t="s">
        <v>32</v>
      </c>
      <c r="H395" s="8" t="s">
        <v>1729</v>
      </c>
      <c r="I395" s="8" t="s">
        <v>298</v>
      </c>
      <c r="J395" s="8" t="s">
        <v>299</v>
      </c>
      <c r="K395" s="8" t="s">
        <v>36</v>
      </c>
      <c r="L395" s="8" t="s">
        <v>178</v>
      </c>
      <c r="M395" s="8">
        <v>6</v>
      </c>
      <c r="N395" s="8">
        <v>8500</v>
      </c>
      <c r="O395" s="8">
        <v>5</v>
      </c>
      <c r="P395" s="8">
        <v>48450</v>
      </c>
      <c r="Q395" s="8">
        <v>5</v>
      </c>
      <c r="R395" s="8" t="s">
        <v>38</v>
      </c>
      <c r="S395" s="8" t="s">
        <v>119</v>
      </c>
      <c r="T395" s="8" t="s">
        <v>148</v>
      </c>
      <c r="U395" s="9" t="s">
        <v>1730</v>
      </c>
      <c r="V395" s="8" t="s">
        <v>73</v>
      </c>
    </row>
    <row r="396" spans="1:22">
      <c r="A396" s="3" t="s">
        <v>1731</v>
      </c>
      <c r="B396" s="4" t="s">
        <v>27</v>
      </c>
      <c r="C396" s="4" t="s">
        <v>173</v>
      </c>
      <c r="D396" s="4" t="s">
        <v>1306</v>
      </c>
      <c r="E396" s="4" t="s">
        <v>1732</v>
      </c>
      <c r="F396" s="4" t="s">
        <v>31</v>
      </c>
      <c r="G396" s="4" t="s">
        <v>32</v>
      </c>
      <c r="H396" s="4" t="s">
        <v>1733</v>
      </c>
      <c r="I396" s="4" t="s">
        <v>142</v>
      </c>
      <c r="J396" s="4" t="s">
        <v>110</v>
      </c>
      <c r="K396" s="4" t="s">
        <v>36</v>
      </c>
      <c r="L396" s="4" t="s">
        <v>178</v>
      </c>
      <c r="M396" s="4">
        <v>15</v>
      </c>
      <c r="N396" s="4">
        <v>8500</v>
      </c>
      <c r="O396" s="4">
        <v>10</v>
      </c>
      <c r="P396" s="4">
        <v>114750</v>
      </c>
      <c r="Q396" s="4">
        <v>1</v>
      </c>
      <c r="R396" s="4" t="s">
        <v>38</v>
      </c>
      <c r="S396" s="4" t="s">
        <v>119</v>
      </c>
      <c r="T396" s="4" t="s">
        <v>54</v>
      </c>
      <c r="U396" s="6" t="s">
        <v>1734</v>
      </c>
      <c r="V396" s="4" t="s">
        <v>42</v>
      </c>
    </row>
    <row r="397" spans="1:22">
      <c r="A397" s="7" t="s">
        <v>1735</v>
      </c>
      <c r="B397" s="8" t="s">
        <v>131</v>
      </c>
      <c r="C397" s="8" t="s">
        <v>44</v>
      </c>
      <c r="D397" s="8" t="s">
        <v>1736</v>
      </c>
      <c r="E397" s="8" t="s">
        <v>1737</v>
      </c>
      <c r="F397" s="8" t="s">
        <v>204</v>
      </c>
      <c r="G397" s="8" t="s">
        <v>80</v>
      </c>
      <c r="H397" s="8" t="s">
        <v>1738</v>
      </c>
      <c r="I397" s="8" t="s">
        <v>34</v>
      </c>
      <c r="J397" s="8" t="s">
        <v>35</v>
      </c>
      <c r="K397" s="8" t="s">
        <v>50</v>
      </c>
      <c r="L397" s="8" t="s">
        <v>51</v>
      </c>
      <c r="M397" s="8">
        <v>19</v>
      </c>
      <c r="N397" s="8">
        <v>12000</v>
      </c>
      <c r="O397" s="8">
        <v>20</v>
      </c>
      <c r="P397" s="8">
        <v>182400</v>
      </c>
      <c r="Q397" s="8">
        <v>5</v>
      </c>
      <c r="R397" s="8" t="s">
        <v>38</v>
      </c>
      <c r="S397" s="8" t="s">
        <v>119</v>
      </c>
      <c r="T397" s="8" t="s">
        <v>136</v>
      </c>
      <c r="U397" s="9" t="s">
        <v>1739</v>
      </c>
      <c r="V397" s="8" t="s">
        <v>42</v>
      </c>
    </row>
    <row r="398" spans="1:22">
      <c r="A398" s="3" t="s">
        <v>1740</v>
      </c>
      <c r="B398" s="4" t="s">
        <v>87</v>
      </c>
      <c r="C398" s="4" t="s">
        <v>188</v>
      </c>
      <c r="D398" s="4" t="s">
        <v>146</v>
      </c>
      <c r="E398" s="4" t="s">
        <v>1741</v>
      </c>
      <c r="F398" s="4" t="s">
        <v>184</v>
      </c>
      <c r="G398" s="4" t="s">
        <v>80</v>
      </c>
      <c r="H398" s="4" t="s">
        <v>1742</v>
      </c>
      <c r="I398" s="4" t="s">
        <v>48</v>
      </c>
      <c r="J398" s="4" t="s">
        <v>49</v>
      </c>
      <c r="K398" s="4" t="s">
        <v>50</v>
      </c>
      <c r="L398" s="4" t="s">
        <v>193</v>
      </c>
      <c r="M398" s="4">
        <v>5</v>
      </c>
      <c r="N398" s="4">
        <v>700</v>
      </c>
      <c r="O398" s="4">
        <v>0</v>
      </c>
      <c r="P398" s="4">
        <v>3500</v>
      </c>
      <c r="Q398" s="4">
        <v>2</v>
      </c>
      <c r="R398" s="4" t="s">
        <v>83</v>
      </c>
      <c r="S398" s="4" t="s">
        <v>65</v>
      </c>
      <c r="T398" s="4" t="s">
        <v>93</v>
      </c>
      <c r="U398" s="6" t="s">
        <v>1743</v>
      </c>
      <c r="V398" s="4" t="s">
        <v>73</v>
      </c>
    </row>
    <row r="399" spans="1:22">
      <c r="A399" s="7" t="s">
        <v>1744</v>
      </c>
      <c r="B399" s="8" t="s">
        <v>87</v>
      </c>
      <c r="C399" s="8" t="s">
        <v>44</v>
      </c>
      <c r="D399" s="8" t="s">
        <v>1658</v>
      </c>
      <c r="E399" s="8" t="s">
        <v>769</v>
      </c>
      <c r="F399" s="8" t="s">
        <v>184</v>
      </c>
      <c r="G399" s="8" t="s">
        <v>80</v>
      </c>
      <c r="H399" s="8" t="s">
        <v>1745</v>
      </c>
      <c r="I399" s="8" t="s">
        <v>298</v>
      </c>
      <c r="J399" s="8" t="s">
        <v>299</v>
      </c>
      <c r="K399" s="8" t="s">
        <v>50</v>
      </c>
      <c r="L399" s="8" t="s">
        <v>51</v>
      </c>
      <c r="M399" s="8">
        <v>19</v>
      </c>
      <c r="N399" s="8">
        <v>12000</v>
      </c>
      <c r="O399" s="8">
        <v>0</v>
      </c>
      <c r="P399" s="8">
        <v>228000</v>
      </c>
      <c r="Q399" s="8">
        <v>4</v>
      </c>
      <c r="R399" s="8" t="s">
        <v>92</v>
      </c>
      <c r="S399" s="8" t="s">
        <v>65</v>
      </c>
      <c r="T399" s="8" t="s">
        <v>93</v>
      </c>
      <c r="U399" s="9" t="s">
        <v>1746</v>
      </c>
      <c r="V399" s="8" t="s">
        <v>68</v>
      </c>
    </row>
    <row r="400" spans="1:22">
      <c r="A400" s="3" t="s">
        <v>1747</v>
      </c>
      <c r="B400" s="4" t="s">
        <v>331</v>
      </c>
      <c r="C400" s="4" t="s">
        <v>188</v>
      </c>
      <c r="D400" s="4"/>
      <c r="E400" s="4" t="s">
        <v>1229</v>
      </c>
      <c r="F400" s="4" t="s">
        <v>398</v>
      </c>
      <c r="G400" s="4" t="s">
        <v>80</v>
      </c>
      <c r="H400" s="4" t="s">
        <v>1748</v>
      </c>
      <c r="I400" s="4" t="s">
        <v>63</v>
      </c>
      <c r="J400" s="4" t="s">
        <v>35</v>
      </c>
      <c r="K400" s="4" t="s">
        <v>50</v>
      </c>
      <c r="L400" s="4" t="s">
        <v>193</v>
      </c>
      <c r="M400" s="4">
        <v>12</v>
      </c>
      <c r="N400" s="4">
        <v>700</v>
      </c>
      <c r="O400" s="4">
        <v>15</v>
      </c>
      <c r="P400" s="4">
        <v>7140</v>
      </c>
      <c r="Q400" s="4">
        <v>3</v>
      </c>
      <c r="R400" s="4" t="s">
        <v>83</v>
      </c>
      <c r="S400" s="4" t="s">
        <v>39</v>
      </c>
      <c r="T400" s="4" t="s">
        <v>336</v>
      </c>
      <c r="U400" s="6" t="s">
        <v>1749</v>
      </c>
      <c r="V400" s="4" t="s">
        <v>42</v>
      </c>
    </row>
    <row r="401" spans="1:22">
      <c r="A401" s="7" t="s">
        <v>1750</v>
      </c>
      <c r="B401" s="8" t="s">
        <v>27</v>
      </c>
      <c r="C401" s="8" t="s">
        <v>76</v>
      </c>
      <c r="D401" s="8" t="s">
        <v>1751</v>
      </c>
      <c r="E401" s="8" t="s">
        <v>711</v>
      </c>
      <c r="F401" s="8" t="s">
        <v>31</v>
      </c>
      <c r="G401" s="8" t="s">
        <v>32</v>
      </c>
      <c r="H401" s="8" t="s">
        <v>1752</v>
      </c>
      <c r="I401" s="8" t="s">
        <v>48</v>
      </c>
      <c r="J401" s="8" t="s">
        <v>49</v>
      </c>
      <c r="K401" s="8" t="s">
        <v>50</v>
      </c>
      <c r="L401" s="8" t="s">
        <v>82</v>
      </c>
      <c r="M401" s="8">
        <v>16</v>
      </c>
      <c r="N401" s="8">
        <v>1200</v>
      </c>
      <c r="O401" s="8">
        <v>20</v>
      </c>
      <c r="P401" s="8">
        <v>15360</v>
      </c>
      <c r="Q401" s="8">
        <v>1</v>
      </c>
      <c r="R401" s="8" t="s">
        <v>38</v>
      </c>
      <c r="S401" s="8" t="s">
        <v>53</v>
      </c>
      <c r="T401" s="8" t="s">
        <v>54</v>
      </c>
      <c r="U401" s="9" t="s">
        <v>1753</v>
      </c>
      <c r="V401" s="8" t="s">
        <v>68</v>
      </c>
    </row>
    <row r="402" spans="1:22">
      <c r="A402" s="3" t="s">
        <v>1754</v>
      </c>
      <c r="B402" s="4" t="s">
        <v>75</v>
      </c>
      <c r="C402" s="4" t="s">
        <v>173</v>
      </c>
      <c r="D402" s="4" t="s">
        <v>1056</v>
      </c>
      <c r="E402" s="4" t="s">
        <v>88</v>
      </c>
      <c r="F402" s="4" t="s">
        <v>221</v>
      </c>
      <c r="G402" s="4" t="s">
        <v>80</v>
      </c>
      <c r="H402" s="4" t="s">
        <v>1755</v>
      </c>
      <c r="I402" s="4" t="s">
        <v>34</v>
      </c>
      <c r="J402" s="4" t="s">
        <v>35</v>
      </c>
      <c r="K402" s="4" t="s">
        <v>36</v>
      </c>
      <c r="L402" s="4" t="s">
        <v>178</v>
      </c>
      <c r="M402" s="4">
        <v>10</v>
      </c>
      <c r="N402" s="4">
        <v>8500</v>
      </c>
      <c r="O402" s="4">
        <v>5</v>
      </c>
      <c r="P402" s="4">
        <v>80750</v>
      </c>
      <c r="Q402" s="4">
        <v>5</v>
      </c>
      <c r="R402" s="4" t="s">
        <v>52</v>
      </c>
      <c r="S402" s="4" t="s">
        <v>39</v>
      </c>
      <c r="T402" s="4" t="s">
        <v>84</v>
      </c>
      <c r="U402" s="6" t="s">
        <v>1756</v>
      </c>
      <c r="V402" s="4" t="s">
        <v>42</v>
      </c>
    </row>
    <row r="403" spans="1:22">
      <c r="A403" s="7" t="s">
        <v>1757</v>
      </c>
      <c r="B403" s="8" t="s">
        <v>27</v>
      </c>
      <c r="C403" s="8" t="s">
        <v>226</v>
      </c>
      <c r="D403" s="8" t="s">
        <v>1377</v>
      </c>
      <c r="E403" s="8" t="s">
        <v>390</v>
      </c>
      <c r="F403" s="8" t="s">
        <v>31</v>
      </c>
      <c r="G403" s="8" t="s">
        <v>32</v>
      </c>
      <c r="H403" s="8" t="s">
        <v>1758</v>
      </c>
      <c r="I403" s="8" t="s">
        <v>142</v>
      </c>
      <c r="J403" s="8" t="s">
        <v>110</v>
      </c>
      <c r="K403" s="8" t="s">
        <v>126</v>
      </c>
      <c r="L403" s="8" t="s">
        <v>231</v>
      </c>
      <c r="M403" s="8">
        <v>18</v>
      </c>
      <c r="N403" s="8">
        <v>20</v>
      </c>
      <c r="O403" s="8">
        <v>20</v>
      </c>
      <c r="P403" s="8">
        <v>288</v>
      </c>
      <c r="Q403" s="8">
        <v>1</v>
      </c>
      <c r="R403" s="8" t="s">
        <v>92</v>
      </c>
      <c r="S403" s="8" t="s">
        <v>39</v>
      </c>
      <c r="T403" s="8" t="s">
        <v>54</v>
      </c>
      <c r="U403" s="9" t="s">
        <v>1759</v>
      </c>
      <c r="V403" s="8" t="s">
        <v>68</v>
      </c>
    </row>
    <row r="404" spans="1:22">
      <c r="A404" s="3" t="s">
        <v>1760</v>
      </c>
      <c r="B404" s="4" t="s">
        <v>75</v>
      </c>
      <c r="C404" s="4" t="s">
        <v>173</v>
      </c>
      <c r="D404" s="4" t="s">
        <v>245</v>
      </c>
      <c r="E404" s="4" t="s">
        <v>408</v>
      </c>
      <c r="F404" s="4" t="s">
        <v>221</v>
      </c>
      <c r="G404" s="4" t="s">
        <v>80</v>
      </c>
      <c r="H404" s="4" t="s">
        <v>1761</v>
      </c>
      <c r="I404" s="4" t="s">
        <v>109</v>
      </c>
      <c r="J404" s="4" t="s">
        <v>110</v>
      </c>
      <c r="K404" s="4" t="s">
        <v>36</v>
      </c>
      <c r="L404" s="4" t="s">
        <v>178</v>
      </c>
      <c r="M404" s="4">
        <v>9</v>
      </c>
      <c r="N404" s="4">
        <v>8500</v>
      </c>
      <c r="O404" s="4">
        <v>0</v>
      </c>
      <c r="P404" s="4">
        <v>76500</v>
      </c>
      <c r="Q404" s="4">
        <v>2</v>
      </c>
      <c r="R404" s="4" t="s">
        <v>83</v>
      </c>
      <c r="S404" s="4" t="s">
        <v>39</v>
      </c>
      <c r="T404" s="4" t="s">
        <v>84</v>
      </c>
      <c r="U404" s="6" t="s">
        <v>1762</v>
      </c>
      <c r="V404" s="4" t="s">
        <v>68</v>
      </c>
    </row>
    <row r="405" spans="1:22">
      <c r="A405" s="7" t="s">
        <v>1763</v>
      </c>
      <c r="B405" s="8" t="s">
        <v>27</v>
      </c>
      <c r="C405" s="8" t="s">
        <v>173</v>
      </c>
      <c r="D405" s="8" t="s">
        <v>1225</v>
      </c>
      <c r="E405" s="8" t="s">
        <v>1764</v>
      </c>
      <c r="F405" s="8" t="s">
        <v>31</v>
      </c>
      <c r="G405" s="8" t="s">
        <v>32</v>
      </c>
      <c r="H405" s="8" t="s">
        <v>1765</v>
      </c>
      <c r="I405" s="8" t="s">
        <v>109</v>
      </c>
      <c r="J405" s="8" t="s">
        <v>110</v>
      </c>
      <c r="K405" s="8" t="s">
        <v>36</v>
      </c>
      <c r="L405" s="8" t="s">
        <v>178</v>
      </c>
      <c r="M405" s="8">
        <v>8</v>
      </c>
      <c r="N405" s="8">
        <v>8500</v>
      </c>
      <c r="O405" s="8">
        <v>10</v>
      </c>
      <c r="P405" s="8">
        <v>61200</v>
      </c>
      <c r="Q405" s="8">
        <v>4</v>
      </c>
      <c r="R405" s="8" t="s">
        <v>38</v>
      </c>
      <c r="S405" s="8" t="s">
        <v>119</v>
      </c>
      <c r="T405" s="8" t="s">
        <v>54</v>
      </c>
      <c r="U405" s="9" t="s">
        <v>1766</v>
      </c>
      <c r="V405" s="8" t="s">
        <v>73</v>
      </c>
    </row>
    <row r="406" spans="1:22">
      <c r="A406" s="3" t="s">
        <v>1767</v>
      </c>
      <c r="B406" s="4" t="s">
        <v>57</v>
      </c>
      <c r="C406" s="4" t="s">
        <v>226</v>
      </c>
      <c r="D406" s="4" t="s">
        <v>487</v>
      </c>
      <c r="E406" s="4" t="s">
        <v>1768</v>
      </c>
      <c r="F406" s="4" t="s">
        <v>167</v>
      </c>
      <c r="G406" s="4" t="s">
        <v>32</v>
      </c>
      <c r="H406" s="4" t="s">
        <v>1769</v>
      </c>
      <c r="I406" s="4" t="s">
        <v>118</v>
      </c>
      <c r="J406" s="4" t="s">
        <v>110</v>
      </c>
      <c r="K406" s="4" t="s">
        <v>126</v>
      </c>
      <c r="L406" s="4" t="s">
        <v>231</v>
      </c>
      <c r="M406" s="4">
        <v>3</v>
      </c>
      <c r="N406" s="4">
        <v>20</v>
      </c>
      <c r="O406" s="4">
        <v>10</v>
      </c>
      <c r="P406" s="4">
        <v>54</v>
      </c>
      <c r="Q406" s="4">
        <v>3</v>
      </c>
      <c r="R406" s="4" t="s">
        <v>83</v>
      </c>
      <c r="S406" s="4" t="s">
        <v>155</v>
      </c>
      <c r="T406" s="4" t="s">
        <v>66</v>
      </c>
      <c r="U406" s="6" t="s">
        <v>1770</v>
      </c>
      <c r="V406" s="4" t="s">
        <v>68</v>
      </c>
    </row>
    <row r="407" spans="1:22">
      <c r="A407" s="7" t="s">
        <v>1771</v>
      </c>
      <c r="B407" s="8" t="s">
        <v>172</v>
      </c>
      <c r="C407" s="8" t="s">
        <v>173</v>
      </c>
      <c r="D407" s="8" t="s">
        <v>236</v>
      </c>
      <c r="E407" s="8" t="s">
        <v>645</v>
      </c>
      <c r="F407" s="8" t="s">
        <v>365</v>
      </c>
      <c r="G407" s="8" t="s">
        <v>32</v>
      </c>
      <c r="H407" s="8" t="s">
        <v>1772</v>
      </c>
      <c r="I407" s="8" t="s">
        <v>298</v>
      </c>
      <c r="J407" s="8" t="s">
        <v>299</v>
      </c>
      <c r="K407" s="8" t="s">
        <v>36</v>
      </c>
      <c r="L407" s="8" t="s">
        <v>178</v>
      </c>
      <c r="M407" s="8">
        <v>18</v>
      </c>
      <c r="N407" s="8">
        <v>8500</v>
      </c>
      <c r="O407" s="8">
        <v>10</v>
      </c>
      <c r="P407" s="8">
        <v>137700</v>
      </c>
      <c r="Q407" s="8">
        <v>4</v>
      </c>
      <c r="R407" s="8" t="s">
        <v>38</v>
      </c>
      <c r="S407" s="8" t="s">
        <v>53</v>
      </c>
      <c r="T407" s="8" t="s">
        <v>179</v>
      </c>
      <c r="U407" s="9" t="s">
        <v>1773</v>
      </c>
      <c r="V407" s="8" t="s">
        <v>73</v>
      </c>
    </row>
    <row r="408" spans="1:22">
      <c r="A408" s="3" t="s">
        <v>1774</v>
      </c>
      <c r="B408" s="4" t="s">
        <v>57</v>
      </c>
      <c r="C408" s="4" t="s">
        <v>263</v>
      </c>
      <c r="D408" s="4" t="s">
        <v>312</v>
      </c>
      <c r="E408" s="4" t="s">
        <v>285</v>
      </c>
      <c r="F408" s="4" t="s">
        <v>167</v>
      </c>
      <c r="G408" s="4" t="s">
        <v>32</v>
      </c>
      <c r="H408" s="4" t="s">
        <v>1775</v>
      </c>
      <c r="I408" s="4" t="s">
        <v>118</v>
      </c>
      <c r="J408" s="4" t="s">
        <v>110</v>
      </c>
      <c r="K408" s="4" t="s">
        <v>126</v>
      </c>
      <c r="L408" s="4" t="s">
        <v>267</v>
      </c>
      <c r="M408" s="4">
        <v>5</v>
      </c>
      <c r="N408" s="4">
        <v>45</v>
      </c>
      <c r="O408" s="4">
        <v>10</v>
      </c>
      <c r="P408" s="4">
        <v>202.5</v>
      </c>
      <c r="Q408" s="4">
        <v>3</v>
      </c>
      <c r="R408" s="4" t="s">
        <v>38</v>
      </c>
      <c r="S408" s="4" t="s">
        <v>119</v>
      </c>
      <c r="T408" s="4" t="s">
        <v>66</v>
      </c>
      <c r="U408" s="6" t="s">
        <v>1776</v>
      </c>
      <c r="V408" s="4" t="s">
        <v>68</v>
      </c>
    </row>
    <row r="409" spans="1:22">
      <c r="A409" s="7" t="s">
        <v>1777</v>
      </c>
      <c r="B409" s="8" t="s">
        <v>75</v>
      </c>
      <c r="C409" s="8" t="s">
        <v>263</v>
      </c>
      <c r="D409" s="8" t="s">
        <v>687</v>
      </c>
      <c r="E409" s="8" t="s">
        <v>688</v>
      </c>
      <c r="F409" s="8" t="s">
        <v>221</v>
      </c>
      <c r="G409" s="8" t="s">
        <v>80</v>
      </c>
      <c r="H409" s="8" t="s">
        <v>1778</v>
      </c>
      <c r="I409" s="8" t="s">
        <v>109</v>
      </c>
      <c r="J409" s="8" t="s">
        <v>110</v>
      </c>
      <c r="K409" s="8" t="s">
        <v>126</v>
      </c>
      <c r="L409" s="8" t="s">
        <v>267</v>
      </c>
      <c r="M409" s="8">
        <v>2</v>
      </c>
      <c r="N409" s="8">
        <v>45</v>
      </c>
      <c r="O409" s="8">
        <v>20</v>
      </c>
      <c r="P409" s="8">
        <v>72</v>
      </c>
      <c r="Q409" s="8">
        <v>5</v>
      </c>
      <c r="R409" s="8" t="s">
        <v>92</v>
      </c>
      <c r="S409" s="8" t="s">
        <v>65</v>
      </c>
      <c r="T409" s="8" t="s">
        <v>84</v>
      </c>
      <c r="U409" s="9" t="s">
        <v>1779</v>
      </c>
      <c r="V409" s="8" t="s">
        <v>73</v>
      </c>
    </row>
    <row r="410" spans="1:22">
      <c r="A410" s="3" t="s">
        <v>1780</v>
      </c>
      <c r="B410" s="4" t="s">
        <v>104</v>
      </c>
      <c r="C410" s="4" t="s">
        <v>263</v>
      </c>
      <c r="D410" s="4" t="s">
        <v>1383</v>
      </c>
      <c r="E410" s="4" t="s">
        <v>904</v>
      </c>
      <c r="F410" s="4" t="s">
        <v>107</v>
      </c>
      <c r="G410" s="4" t="s">
        <v>32</v>
      </c>
      <c r="H410" s="4" t="s">
        <v>1781</v>
      </c>
      <c r="I410" s="4" t="s">
        <v>34</v>
      </c>
      <c r="J410" s="4" t="s">
        <v>35</v>
      </c>
      <c r="K410" s="4" t="s">
        <v>126</v>
      </c>
      <c r="L410" s="4" t="s">
        <v>267</v>
      </c>
      <c r="M410" s="4">
        <v>18</v>
      </c>
      <c r="N410" s="4">
        <v>45</v>
      </c>
      <c r="O410" s="4">
        <v>10</v>
      </c>
      <c r="P410" s="4">
        <v>729</v>
      </c>
      <c r="Q410" s="4">
        <v>2</v>
      </c>
      <c r="R410" s="4" t="s">
        <v>52</v>
      </c>
      <c r="S410" s="4" t="s">
        <v>119</v>
      </c>
      <c r="T410" s="4" t="s">
        <v>148</v>
      </c>
      <c r="U410" s="6" t="s">
        <v>1782</v>
      </c>
      <c r="V410" s="4" t="s">
        <v>68</v>
      </c>
    </row>
    <row r="411" spans="1:22">
      <c r="A411" s="7" t="s">
        <v>1783</v>
      </c>
      <c r="B411" s="8" t="s">
        <v>131</v>
      </c>
      <c r="C411" s="8" t="s">
        <v>76</v>
      </c>
      <c r="D411" s="8" t="s">
        <v>467</v>
      </c>
      <c r="E411" s="8" t="s">
        <v>220</v>
      </c>
      <c r="F411" s="8" t="s">
        <v>204</v>
      </c>
      <c r="G411" s="8" t="s">
        <v>80</v>
      </c>
      <c r="H411" s="8" t="s">
        <v>1784</v>
      </c>
      <c r="I411" s="8" t="s">
        <v>298</v>
      </c>
      <c r="J411" s="8" t="s">
        <v>299</v>
      </c>
      <c r="K411" s="8" t="s">
        <v>50</v>
      </c>
      <c r="L411" s="8" t="s">
        <v>82</v>
      </c>
      <c r="M411" s="8">
        <v>13</v>
      </c>
      <c r="N411" s="8">
        <v>1200</v>
      </c>
      <c r="O411" s="8">
        <v>5</v>
      </c>
      <c r="P411" s="8">
        <v>14820</v>
      </c>
      <c r="Q411" s="8">
        <v>4</v>
      </c>
      <c r="R411" s="8" t="s">
        <v>83</v>
      </c>
      <c r="S411" s="8" t="s">
        <v>119</v>
      </c>
      <c r="T411" s="8" t="s">
        <v>136</v>
      </c>
      <c r="U411" s="9" t="s">
        <v>1785</v>
      </c>
      <c r="V411" s="8" t="s">
        <v>42</v>
      </c>
    </row>
    <row r="412" spans="1:22">
      <c r="A412" s="3" t="s">
        <v>1786</v>
      </c>
      <c r="B412" s="4" t="s">
        <v>27</v>
      </c>
      <c r="C412" s="4" t="s">
        <v>226</v>
      </c>
      <c r="D412" s="4" t="s">
        <v>1348</v>
      </c>
      <c r="E412" s="4" t="s">
        <v>1787</v>
      </c>
      <c r="F412" s="4" t="s">
        <v>31</v>
      </c>
      <c r="G412" s="4" t="s">
        <v>32</v>
      </c>
      <c r="H412" s="4" t="s">
        <v>1788</v>
      </c>
      <c r="I412" s="4" t="s">
        <v>34</v>
      </c>
      <c r="J412" s="4" t="s">
        <v>35</v>
      </c>
      <c r="K412" s="4" t="s">
        <v>126</v>
      </c>
      <c r="L412" s="4" t="s">
        <v>231</v>
      </c>
      <c r="M412" s="4">
        <v>14</v>
      </c>
      <c r="N412" s="4">
        <v>20</v>
      </c>
      <c r="O412" s="4">
        <v>20</v>
      </c>
      <c r="P412" s="4">
        <v>224</v>
      </c>
      <c r="Q412" s="4">
        <v>5</v>
      </c>
      <c r="R412" s="4" t="s">
        <v>92</v>
      </c>
      <c r="S412" s="4" t="s">
        <v>53</v>
      </c>
      <c r="T412" s="4" t="s">
        <v>54</v>
      </c>
      <c r="U412" s="6" t="s">
        <v>1789</v>
      </c>
      <c r="V412" s="4" t="s">
        <v>68</v>
      </c>
    </row>
    <row r="413" spans="1:22">
      <c r="A413" s="7" t="s">
        <v>1790</v>
      </c>
      <c r="B413" s="8" t="s">
        <v>104</v>
      </c>
      <c r="C413" s="8" t="s">
        <v>96</v>
      </c>
      <c r="D413" s="8" t="s">
        <v>1791</v>
      </c>
      <c r="E413" s="8" t="s">
        <v>1693</v>
      </c>
      <c r="F413" s="8" t="s">
        <v>107</v>
      </c>
      <c r="G413" s="8" t="s">
        <v>32</v>
      </c>
      <c r="H413" s="8" t="s">
        <v>1792</v>
      </c>
      <c r="I413" s="8" t="s">
        <v>34</v>
      </c>
      <c r="J413" s="8" t="s">
        <v>35</v>
      </c>
      <c r="K413" s="8" t="s">
        <v>36</v>
      </c>
      <c r="L413" s="8" t="s">
        <v>101</v>
      </c>
      <c r="M413" s="8">
        <v>16</v>
      </c>
      <c r="N413" s="8">
        <v>3500</v>
      </c>
      <c r="O413" s="8">
        <v>15</v>
      </c>
      <c r="P413" s="8">
        <v>47600</v>
      </c>
      <c r="Q413" s="8">
        <v>3</v>
      </c>
      <c r="R413" s="8" t="s">
        <v>92</v>
      </c>
      <c r="S413" s="8" t="s">
        <v>65</v>
      </c>
      <c r="T413" s="8" t="s">
        <v>148</v>
      </c>
      <c r="U413" s="9" t="s">
        <v>1793</v>
      </c>
      <c r="V413" s="8" t="s">
        <v>73</v>
      </c>
    </row>
    <row r="414" spans="1:22">
      <c r="A414" s="3" t="s">
        <v>1794</v>
      </c>
      <c r="B414" s="4" t="s">
        <v>255</v>
      </c>
      <c r="C414" s="4" t="s">
        <v>226</v>
      </c>
      <c r="D414" s="4" t="s">
        <v>991</v>
      </c>
      <c r="E414" s="4" t="s">
        <v>1114</v>
      </c>
      <c r="F414" s="4" t="s">
        <v>258</v>
      </c>
      <c r="G414" s="4" t="s">
        <v>32</v>
      </c>
      <c r="H414" s="4" t="s">
        <v>1795</v>
      </c>
      <c r="I414" s="4" t="s">
        <v>63</v>
      </c>
      <c r="J414" s="4" t="s">
        <v>35</v>
      </c>
      <c r="K414" s="4" t="s">
        <v>126</v>
      </c>
      <c r="L414" s="4" t="s">
        <v>231</v>
      </c>
      <c r="M414" s="4">
        <v>20</v>
      </c>
      <c r="N414" s="4">
        <v>20</v>
      </c>
      <c r="O414" s="4">
        <v>15</v>
      </c>
      <c r="P414" s="4">
        <v>340</v>
      </c>
      <c r="Q414" s="4">
        <v>1</v>
      </c>
      <c r="R414" s="4" t="s">
        <v>52</v>
      </c>
      <c r="S414" s="4" t="s">
        <v>65</v>
      </c>
      <c r="T414" s="4" t="s">
        <v>260</v>
      </c>
      <c r="U414" s="6" t="s">
        <v>1796</v>
      </c>
      <c r="V414" s="4" t="s">
        <v>73</v>
      </c>
    </row>
    <row r="415" spans="1:22">
      <c r="A415" s="7" t="s">
        <v>1797</v>
      </c>
      <c r="B415" s="8" t="s">
        <v>172</v>
      </c>
      <c r="C415" s="8" t="s">
        <v>58</v>
      </c>
      <c r="D415" s="8" t="s">
        <v>656</v>
      </c>
      <c r="E415" s="8" t="s">
        <v>670</v>
      </c>
      <c r="F415" s="8" t="s">
        <v>365</v>
      </c>
      <c r="G415" s="8" t="s">
        <v>32</v>
      </c>
      <c r="H415" s="8" t="s">
        <v>1798</v>
      </c>
      <c r="I415" s="8" t="s">
        <v>142</v>
      </c>
      <c r="J415" s="8" t="s">
        <v>110</v>
      </c>
      <c r="K415" s="8" t="s">
        <v>50</v>
      </c>
      <c r="L415" s="8" t="s">
        <v>64</v>
      </c>
      <c r="M415" s="8">
        <v>1</v>
      </c>
      <c r="N415" s="8">
        <v>55000</v>
      </c>
      <c r="O415" s="8">
        <v>15</v>
      </c>
      <c r="P415" s="8">
        <v>46750</v>
      </c>
      <c r="Q415" s="8">
        <v>2</v>
      </c>
      <c r="R415" s="8" t="s">
        <v>92</v>
      </c>
      <c r="S415" s="8" t="s">
        <v>119</v>
      </c>
      <c r="T415" s="8" t="s">
        <v>179</v>
      </c>
      <c r="U415" s="9" t="s">
        <v>1799</v>
      </c>
      <c r="V415" s="8" t="s">
        <v>73</v>
      </c>
    </row>
    <row r="416" spans="1:22">
      <c r="A416" s="3" t="s">
        <v>1800</v>
      </c>
      <c r="B416" s="4" t="s">
        <v>104</v>
      </c>
      <c r="C416" s="4" t="s">
        <v>122</v>
      </c>
      <c r="D416" s="4" t="s">
        <v>146</v>
      </c>
      <c r="E416" s="4" t="s">
        <v>624</v>
      </c>
      <c r="F416" s="4" t="s">
        <v>107</v>
      </c>
      <c r="G416" s="4" t="s">
        <v>32</v>
      </c>
      <c r="H416" s="4" t="s">
        <v>1801</v>
      </c>
      <c r="I416" s="4" t="s">
        <v>142</v>
      </c>
      <c r="J416" s="4" t="s">
        <v>110</v>
      </c>
      <c r="K416" s="4" t="s">
        <v>126</v>
      </c>
      <c r="L416" s="4" t="s">
        <v>127</v>
      </c>
      <c r="M416" s="4">
        <v>15</v>
      </c>
      <c r="N416" s="4">
        <v>60</v>
      </c>
      <c r="O416" s="4">
        <v>5</v>
      </c>
      <c r="P416" s="4">
        <v>855</v>
      </c>
      <c r="Q416" s="4">
        <v>4</v>
      </c>
      <c r="R416" s="4" t="s">
        <v>52</v>
      </c>
      <c r="S416" s="4" t="s">
        <v>65</v>
      </c>
      <c r="T416" s="4" t="s">
        <v>148</v>
      </c>
      <c r="U416" s="6" t="s">
        <v>1802</v>
      </c>
      <c r="V416" s="4" t="s">
        <v>42</v>
      </c>
    </row>
    <row r="417" spans="1:22">
      <c r="A417" s="7" t="s">
        <v>1803</v>
      </c>
      <c r="B417" s="8" t="s">
        <v>87</v>
      </c>
      <c r="C417" s="8" t="s">
        <v>188</v>
      </c>
      <c r="D417" s="8" t="s">
        <v>1804</v>
      </c>
      <c r="E417" s="8" t="s">
        <v>70</v>
      </c>
      <c r="F417" s="8" t="s">
        <v>184</v>
      </c>
      <c r="G417" s="8" t="s">
        <v>80</v>
      </c>
      <c r="H417" s="8" t="s">
        <v>1805</v>
      </c>
      <c r="I417" s="8" t="s">
        <v>109</v>
      </c>
      <c r="J417" s="8" t="s">
        <v>110</v>
      </c>
      <c r="K417" s="8" t="s">
        <v>50</v>
      </c>
      <c r="L417" s="8" t="s">
        <v>193</v>
      </c>
      <c r="M417" s="8">
        <v>15</v>
      </c>
      <c r="N417" s="8">
        <v>700</v>
      </c>
      <c r="O417" s="8">
        <v>0</v>
      </c>
      <c r="P417" s="8">
        <v>10500</v>
      </c>
      <c r="Q417" s="8">
        <v>5</v>
      </c>
      <c r="R417" s="8" t="s">
        <v>52</v>
      </c>
      <c r="S417" s="8" t="s">
        <v>119</v>
      </c>
      <c r="T417" s="8" t="s">
        <v>93</v>
      </c>
      <c r="U417" s="9" t="s">
        <v>1806</v>
      </c>
      <c r="V417" s="8" t="s">
        <v>42</v>
      </c>
    </row>
    <row r="418" spans="1:22">
      <c r="A418" s="3" t="s">
        <v>1807</v>
      </c>
      <c r="B418" s="4" t="s">
        <v>225</v>
      </c>
      <c r="C418" s="4" t="s">
        <v>44</v>
      </c>
      <c r="D418" s="4" t="s">
        <v>1203</v>
      </c>
      <c r="E418" s="4" t="s">
        <v>444</v>
      </c>
      <c r="F418" s="4" t="s">
        <v>229</v>
      </c>
      <c r="G418" s="4" t="s">
        <v>80</v>
      </c>
      <c r="H418" s="4" t="s">
        <v>1808</v>
      </c>
      <c r="I418" s="4" t="s">
        <v>298</v>
      </c>
      <c r="J418" s="4" t="s">
        <v>299</v>
      </c>
      <c r="K418" s="4" t="s">
        <v>50</v>
      </c>
      <c r="L418" s="4" t="s">
        <v>51</v>
      </c>
      <c r="M418" s="4">
        <v>13</v>
      </c>
      <c r="N418" s="4">
        <v>12000</v>
      </c>
      <c r="O418" s="4">
        <v>10</v>
      </c>
      <c r="P418" s="4">
        <v>140400</v>
      </c>
      <c r="Q418" s="4">
        <v>1</v>
      </c>
      <c r="R418" s="4" t="s">
        <v>38</v>
      </c>
      <c r="S418" s="4" t="s">
        <v>155</v>
      </c>
      <c r="T418" s="4" t="s">
        <v>232</v>
      </c>
      <c r="U418" s="6" t="s">
        <v>1809</v>
      </c>
      <c r="V418" s="4" t="s">
        <v>73</v>
      </c>
    </row>
    <row r="419" spans="1:22">
      <c r="A419" s="7" t="s">
        <v>1810</v>
      </c>
      <c r="B419" s="8" t="s">
        <v>87</v>
      </c>
      <c r="C419" s="8" t="s">
        <v>44</v>
      </c>
      <c r="D419" s="8" t="s">
        <v>1811</v>
      </c>
      <c r="E419" s="8" t="s">
        <v>1085</v>
      </c>
      <c r="F419" s="8" t="s">
        <v>184</v>
      </c>
      <c r="G419" s="8" t="s">
        <v>80</v>
      </c>
      <c r="H419" s="8" t="s">
        <v>1812</v>
      </c>
      <c r="I419" s="8" t="s">
        <v>34</v>
      </c>
      <c r="J419" s="8" t="s">
        <v>35</v>
      </c>
      <c r="K419" s="8" t="s">
        <v>50</v>
      </c>
      <c r="L419" s="8" t="s">
        <v>51</v>
      </c>
      <c r="M419" s="8">
        <v>12</v>
      </c>
      <c r="N419" s="8">
        <v>12000</v>
      </c>
      <c r="O419" s="8">
        <v>20</v>
      </c>
      <c r="P419" s="8">
        <v>115200</v>
      </c>
      <c r="Q419" s="8">
        <v>2</v>
      </c>
      <c r="R419" s="8" t="s">
        <v>38</v>
      </c>
      <c r="S419" s="8" t="s">
        <v>39</v>
      </c>
      <c r="T419" s="8" t="s">
        <v>93</v>
      </c>
      <c r="U419" s="9" t="s">
        <v>1813</v>
      </c>
      <c r="V419" s="8" t="s">
        <v>42</v>
      </c>
    </row>
    <row r="420" spans="1:22">
      <c r="A420" s="3" t="s">
        <v>1814</v>
      </c>
      <c r="B420" s="4" t="s">
        <v>87</v>
      </c>
      <c r="C420" s="4" t="s">
        <v>263</v>
      </c>
      <c r="D420" s="4" t="s">
        <v>123</v>
      </c>
      <c r="E420" s="4" t="s">
        <v>1302</v>
      </c>
      <c r="F420" s="4" t="s">
        <v>184</v>
      </c>
      <c r="G420" s="4" t="s">
        <v>80</v>
      </c>
      <c r="H420" s="4" t="s">
        <v>1815</v>
      </c>
      <c r="I420" s="4" t="s">
        <v>109</v>
      </c>
      <c r="J420" s="4" t="s">
        <v>110</v>
      </c>
      <c r="K420" s="4" t="s">
        <v>126</v>
      </c>
      <c r="L420" s="4" t="s">
        <v>267</v>
      </c>
      <c r="M420" s="4">
        <v>10</v>
      </c>
      <c r="N420" s="4">
        <v>45</v>
      </c>
      <c r="O420" s="4">
        <v>0</v>
      </c>
      <c r="P420" s="4">
        <v>450</v>
      </c>
      <c r="Q420" s="4">
        <v>5</v>
      </c>
      <c r="R420" s="4" t="s">
        <v>83</v>
      </c>
      <c r="S420" s="4" t="s">
        <v>119</v>
      </c>
      <c r="T420" s="4" t="s">
        <v>93</v>
      </c>
      <c r="U420" s="6" t="s">
        <v>1816</v>
      </c>
      <c r="V420" s="4" t="s">
        <v>73</v>
      </c>
    </row>
    <row r="421" spans="1:22">
      <c r="A421" s="7" t="s">
        <v>1817</v>
      </c>
      <c r="B421" s="8" t="s">
        <v>131</v>
      </c>
      <c r="C421" s="8" t="s">
        <v>76</v>
      </c>
      <c r="D421" s="8" t="s">
        <v>45</v>
      </c>
      <c r="E421" s="8" t="s">
        <v>600</v>
      </c>
      <c r="F421" s="8" t="s">
        <v>204</v>
      </c>
      <c r="G421" s="8" t="s">
        <v>80</v>
      </c>
      <c r="H421" s="8" t="s">
        <v>1818</v>
      </c>
      <c r="I421" s="8" t="s">
        <v>109</v>
      </c>
      <c r="J421" s="8" t="s">
        <v>110</v>
      </c>
      <c r="K421" s="8" t="s">
        <v>50</v>
      </c>
      <c r="L421" s="8" t="s">
        <v>82</v>
      </c>
      <c r="M421" s="8">
        <v>20</v>
      </c>
      <c r="N421" s="8">
        <v>1200</v>
      </c>
      <c r="O421" s="8">
        <v>20</v>
      </c>
      <c r="P421" s="8">
        <v>19200</v>
      </c>
      <c r="Q421" s="8">
        <v>5</v>
      </c>
      <c r="R421" s="8" t="s">
        <v>52</v>
      </c>
      <c r="S421" s="8" t="s">
        <v>65</v>
      </c>
      <c r="T421" s="8" t="s">
        <v>136</v>
      </c>
      <c r="U421" s="9" t="s">
        <v>1819</v>
      </c>
      <c r="V421" s="8" t="s">
        <v>73</v>
      </c>
    </row>
    <row r="422" spans="1:22">
      <c r="A422" s="3" t="s">
        <v>1820</v>
      </c>
      <c r="B422" s="4" t="s">
        <v>75</v>
      </c>
      <c r="C422" s="4" t="s">
        <v>76</v>
      </c>
      <c r="D422" s="4" t="s">
        <v>132</v>
      </c>
      <c r="E422" s="4" t="s">
        <v>1821</v>
      </c>
      <c r="F422" s="4" t="s">
        <v>221</v>
      </c>
      <c r="G422" s="4" t="s">
        <v>80</v>
      </c>
      <c r="H422" s="4" t="s">
        <v>1822</v>
      </c>
      <c r="I422" s="4" t="s">
        <v>118</v>
      </c>
      <c r="J422" s="4" t="s">
        <v>110</v>
      </c>
      <c r="K422" s="4" t="s">
        <v>50</v>
      </c>
      <c r="L422" s="4" t="s">
        <v>82</v>
      </c>
      <c r="M422" s="4">
        <v>8</v>
      </c>
      <c r="N422" s="4">
        <v>1200</v>
      </c>
      <c r="O422" s="4">
        <v>10</v>
      </c>
      <c r="P422" s="4">
        <v>8640</v>
      </c>
      <c r="Q422" s="4">
        <v>4</v>
      </c>
      <c r="R422" s="4" t="s">
        <v>52</v>
      </c>
      <c r="S422" s="4" t="s">
        <v>65</v>
      </c>
      <c r="T422" s="4" t="s">
        <v>84</v>
      </c>
      <c r="U422" s="6" t="s">
        <v>1823</v>
      </c>
      <c r="V422" s="4" t="s">
        <v>42</v>
      </c>
    </row>
    <row r="423" spans="1:22">
      <c r="A423" s="7" t="s">
        <v>1824</v>
      </c>
      <c r="B423" s="8" t="s">
        <v>131</v>
      </c>
      <c r="C423" s="8" t="s">
        <v>76</v>
      </c>
      <c r="D423" s="8" t="s">
        <v>1089</v>
      </c>
      <c r="E423" s="8" t="s">
        <v>1090</v>
      </c>
      <c r="F423" s="8" t="s">
        <v>204</v>
      </c>
      <c r="G423" s="8" t="s">
        <v>80</v>
      </c>
      <c r="H423" s="8" t="s">
        <v>1825</v>
      </c>
      <c r="I423" s="8" t="s">
        <v>216</v>
      </c>
      <c r="J423" s="8" t="s">
        <v>49</v>
      </c>
      <c r="K423" s="8" t="s">
        <v>50</v>
      </c>
      <c r="L423" s="8" t="s">
        <v>82</v>
      </c>
      <c r="M423" s="8">
        <v>8</v>
      </c>
      <c r="N423" s="8">
        <v>1200</v>
      </c>
      <c r="O423" s="8">
        <v>10</v>
      </c>
      <c r="P423" s="8">
        <v>8640</v>
      </c>
      <c r="Q423" s="8">
        <v>5</v>
      </c>
      <c r="R423" s="8" t="s">
        <v>83</v>
      </c>
      <c r="S423" s="8" t="s">
        <v>53</v>
      </c>
      <c r="T423" s="8" t="s">
        <v>136</v>
      </c>
      <c r="U423" s="9" t="s">
        <v>1826</v>
      </c>
      <c r="V423" s="8" t="s">
        <v>73</v>
      </c>
    </row>
    <row r="424" spans="1:22">
      <c r="A424" s="3" t="s">
        <v>1827</v>
      </c>
      <c r="B424" s="4" t="s">
        <v>331</v>
      </c>
      <c r="C424" s="4" t="s">
        <v>28</v>
      </c>
      <c r="D424" s="4" t="s">
        <v>1828</v>
      </c>
      <c r="E424" s="4" t="s">
        <v>1448</v>
      </c>
      <c r="F424" s="4" t="s">
        <v>398</v>
      </c>
      <c r="G424" s="4" t="s">
        <v>80</v>
      </c>
      <c r="H424" s="4" t="s">
        <v>1829</v>
      </c>
      <c r="I424" s="4" t="s">
        <v>216</v>
      </c>
      <c r="J424" s="4" t="s">
        <v>49</v>
      </c>
      <c r="K424" s="4" t="s">
        <v>36</v>
      </c>
      <c r="L424" s="4" t="s">
        <v>37</v>
      </c>
      <c r="M424" s="4">
        <v>9</v>
      </c>
      <c r="N424" s="4">
        <v>2200</v>
      </c>
      <c r="O424" s="4">
        <v>20</v>
      </c>
      <c r="P424" s="4">
        <v>15840</v>
      </c>
      <c r="Q424" s="4">
        <v>1</v>
      </c>
      <c r="R424" s="4" t="s">
        <v>52</v>
      </c>
      <c r="S424" s="4" t="s">
        <v>119</v>
      </c>
      <c r="T424" s="4" t="s">
        <v>336</v>
      </c>
      <c r="U424" s="6" t="s">
        <v>1830</v>
      </c>
      <c r="V424" s="4" t="s">
        <v>42</v>
      </c>
    </row>
    <row r="425" spans="1:22">
      <c r="A425" s="7" t="s">
        <v>1831</v>
      </c>
      <c r="B425" s="8" t="s">
        <v>131</v>
      </c>
      <c r="C425" s="8" t="s">
        <v>226</v>
      </c>
      <c r="D425" s="8" t="s">
        <v>1272</v>
      </c>
      <c r="E425" s="8" t="s">
        <v>764</v>
      </c>
      <c r="F425" s="8" t="s">
        <v>204</v>
      </c>
      <c r="G425" s="8" t="s">
        <v>80</v>
      </c>
      <c r="H425" s="8" t="s">
        <v>1832</v>
      </c>
      <c r="I425" s="8" t="s">
        <v>298</v>
      </c>
      <c r="J425" s="8" t="s">
        <v>299</v>
      </c>
      <c r="K425" s="8" t="s">
        <v>126</v>
      </c>
      <c r="L425" s="8" t="s">
        <v>231</v>
      </c>
      <c r="M425" s="8">
        <v>8</v>
      </c>
      <c r="N425" s="8">
        <v>20</v>
      </c>
      <c r="O425" s="8">
        <v>20</v>
      </c>
      <c r="P425" s="8">
        <v>128</v>
      </c>
      <c r="Q425" s="8">
        <v>4</v>
      </c>
      <c r="R425" s="8" t="s">
        <v>38</v>
      </c>
      <c r="S425" s="8" t="s">
        <v>39</v>
      </c>
      <c r="T425" s="8" t="s">
        <v>136</v>
      </c>
      <c r="U425" s="9" t="s">
        <v>1833</v>
      </c>
      <c r="V425" s="8" t="s">
        <v>73</v>
      </c>
    </row>
    <row r="426" spans="1:22">
      <c r="A426" s="3" t="s">
        <v>1834</v>
      </c>
      <c r="B426" s="4" t="s">
        <v>225</v>
      </c>
      <c r="C426" s="4" t="s">
        <v>58</v>
      </c>
      <c r="D426" s="4" t="s">
        <v>1180</v>
      </c>
      <c r="E426" s="4" t="s">
        <v>1835</v>
      </c>
      <c r="F426" s="4" t="s">
        <v>229</v>
      </c>
      <c r="G426" s="4" t="s">
        <v>80</v>
      </c>
      <c r="H426" s="4" t="s">
        <v>1010</v>
      </c>
      <c r="I426" s="4" t="s">
        <v>118</v>
      </c>
      <c r="J426" s="4" t="s">
        <v>110</v>
      </c>
      <c r="K426" s="4" t="s">
        <v>50</v>
      </c>
      <c r="L426" s="4" t="s">
        <v>64</v>
      </c>
      <c r="M426" s="4">
        <v>5</v>
      </c>
      <c r="N426" s="4">
        <v>55000</v>
      </c>
      <c r="O426" s="4">
        <v>0</v>
      </c>
      <c r="P426" s="4">
        <v>275000</v>
      </c>
      <c r="Q426" s="4">
        <v>1</v>
      </c>
      <c r="R426" s="4" t="s">
        <v>83</v>
      </c>
      <c r="S426" s="4" t="s">
        <v>119</v>
      </c>
      <c r="T426" s="4" t="s">
        <v>232</v>
      </c>
      <c r="U426" s="6" t="s">
        <v>1836</v>
      </c>
      <c r="V426" s="4" t="s">
        <v>42</v>
      </c>
    </row>
    <row r="427" spans="1:22">
      <c r="A427" s="7" t="s">
        <v>1837</v>
      </c>
      <c r="B427" s="8" t="s">
        <v>104</v>
      </c>
      <c r="C427" s="8" t="s">
        <v>76</v>
      </c>
      <c r="D427" s="8" t="s">
        <v>1838</v>
      </c>
      <c r="E427" s="8" t="s">
        <v>640</v>
      </c>
      <c r="F427" s="8" t="s">
        <v>107</v>
      </c>
      <c r="G427" s="8" t="s">
        <v>32</v>
      </c>
      <c r="H427" s="8" t="s">
        <v>1839</v>
      </c>
      <c r="I427" s="8" t="s">
        <v>109</v>
      </c>
      <c r="J427" s="8" t="s">
        <v>110</v>
      </c>
      <c r="K427" s="8" t="s">
        <v>50</v>
      </c>
      <c r="L427" s="8" t="s">
        <v>82</v>
      </c>
      <c r="M427" s="8">
        <v>13</v>
      </c>
      <c r="N427" s="8">
        <v>1200</v>
      </c>
      <c r="O427" s="8">
        <v>5</v>
      </c>
      <c r="P427" s="8">
        <v>14820</v>
      </c>
      <c r="Q427" s="8">
        <v>2</v>
      </c>
      <c r="R427" s="8" t="s">
        <v>83</v>
      </c>
      <c r="S427" s="8" t="s">
        <v>39</v>
      </c>
      <c r="T427" s="8" t="s">
        <v>148</v>
      </c>
      <c r="U427" s="9" t="s">
        <v>1840</v>
      </c>
      <c r="V427" s="8" t="s">
        <v>73</v>
      </c>
    </row>
    <row r="428" spans="1:22">
      <c r="A428" s="3" t="s">
        <v>1841</v>
      </c>
      <c r="B428" s="4" t="s">
        <v>87</v>
      </c>
      <c r="C428" s="4" t="s">
        <v>173</v>
      </c>
      <c r="D428" s="4" t="s">
        <v>1488</v>
      </c>
      <c r="E428" s="4" t="s">
        <v>1842</v>
      </c>
      <c r="F428" s="4" t="s">
        <v>184</v>
      </c>
      <c r="G428" s="4" t="s">
        <v>80</v>
      </c>
      <c r="H428" s="4" t="s">
        <v>1843</v>
      </c>
      <c r="I428" s="4" t="s">
        <v>216</v>
      </c>
      <c r="J428" s="4" t="s">
        <v>49</v>
      </c>
      <c r="K428" s="4" t="s">
        <v>36</v>
      </c>
      <c r="L428" s="4" t="s">
        <v>178</v>
      </c>
      <c r="M428" s="4">
        <v>13</v>
      </c>
      <c r="N428" s="4">
        <v>8500</v>
      </c>
      <c r="O428" s="4">
        <v>20</v>
      </c>
      <c r="P428" s="4">
        <v>88400</v>
      </c>
      <c r="Q428" s="4">
        <v>5</v>
      </c>
      <c r="R428" s="4" t="s">
        <v>38</v>
      </c>
      <c r="S428" s="4" t="s">
        <v>53</v>
      </c>
      <c r="T428" s="4" t="s">
        <v>93</v>
      </c>
      <c r="U428" s="6" t="s">
        <v>1844</v>
      </c>
      <c r="V428" s="4" t="s">
        <v>68</v>
      </c>
    </row>
    <row r="429" spans="1:22">
      <c r="A429" s="7" t="s">
        <v>1845</v>
      </c>
      <c r="B429" s="8" t="s">
        <v>75</v>
      </c>
      <c r="C429" s="8" t="s">
        <v>122</v>
      </c>
      <c r="D429" s="8" t="s">
        <v>769</v>
      </c>
      <c r="E429" s="8" t="s">
        <v>1846</v>
      </c>
      <c r="F429" s="8" t="s">
        <v>221</v>
      </c>
      <c r="G429" s="8" t="s">
        <v>80</v>
      </c>
      <c r="H429" s="8" t="s">
        <v>1847</v>
      </c>
      <c r="I429" s="8" t="s">
        <v>118</v>
      </c>
      <c r="J429" s="8" t="s">
        <v>110</v>
      </c>
      <c r="K429" s="8" t="s">
        <v>126</v>
      </c>
      <c r="L429" s="8" t="s">
        <v>127</v>
      </c>
      <c r="M429" s="8">
        <v>14</v>
      </c>
      <c r="N429" s="8">
        <v>60</v>
      </c>
      <c r="O429" s="8">
        <v>10</v>
      </c>
      <c r="P429" s="8">
        <v>756</v>
      </c>
      <c r="Q429" s="8">
        <v>1</v>
      </c>
      <c r="R429" s="8" t="s">
        <v>38</v>
      </c>
      <c r="S429" s="8" t="s">
        <v>65</v>
      </c>
      <c r="T429" s="8" t="s">
        <v>84</v>
      </c>
      <c r="U429" s="9" t="s">
        <v>1848</v>
      </c>
      <c r="V429" s="8" t="s">
        <v>73</v>
      </c>
    </row>
    <row r="430" spans="1:22">
      <c r="A430" s="3" t="s">
        <v>1849</v>
      </c>
      <c r="B430" s="4" t="s">
        <v>255</v>
      </c>
      <c r="C430" s="4" t="s">
        <v>28</v>
      </c>
      <c r="D430" s="4" t="s">
        <v>340</v>
      </c>
      <c r="E430" s="4" t="s">
        <v>610</v>
      </c>
      <c r="F430" s="4" t="s">
        <v>258</v>
      </c>
      <c r="G430" s="4" t="s">
        <v>32</v>
      </c>
      <c r="H430" s="4" t="s">
        <v>1850</v>
      </c>
      <c r="I430" s="4" t="s">
        <v>63</v>
      </c>
      <c r="J430" s="4" t="s">
        <v>35</v>
      </c>
      <c r="K430" s="4" t="s">
        <v>36</v>
      </c>
      <c r="L430" s="4" t="s">
        <v>37</v>
      </c>
      <c r="M430" s="4">
        <v>15</v>
      </c>
      <c r="N430" s="4">
        <v>2200</v>
      </c>
      <c r="O430" s="4">
        <v>0</v>
      </c>
      <c r="P430" s="4">
        <v>33000</v>
      </c>
      <c r="Q430" s="4">
        <v>1</v>
      </c>
      <c r="R430" s="4" t="s">
        <v>38</v>
      </c>
      <c r="S430" s="4" t="s">
        <v>65</v>
      </c>
      <c r="T430" s="4" t="s">
        <v>260</v>
      </c>
      <c r="U430" s="6" t="s">
        <v>1851</v>
      </c>
      <c r="V430" s="4" t="s">
        <v>42</v>
      </c>
    </row>
    <row r="431" spans="1:22">
      <c r="A431" s="7" t="s">
        <v>1852</v>
      </c>
      <c r="B431" s="8" t="s">
        <v>87</v>
      </c>
      <c r="C431" s="8" t="s">
        <v>122</v>
      </c>
      <c r="D431" s="8" t="s">
        <v>1853</v>
      </c>
      <c r="E431" s="8" t="s">
        <v>1854</v>
      </c>
      <c r="F431" s="8" t="s">
        <v>184</v>
      </c>
      <c r="G431" s="8" t="s">
        <v>80</v>
      </c>
      <c r="H431" s="8" t="s">
        <v>1855</v>
      </c>
      <c r="I431" s="8" t="s">
        <v>216</v>
      </c>
      <c r="J431" s="8" t="s">
        <v>49</v>
      </c>
      <c r="K431" s="8" t="s">
        <v>126</v>
      </c>
      <c r="L431" s="8" t="s">
        <v>127</v>
      </c>
      <c r="M431" s="8">
        <v>19</v>
      </c>
      <c r="N431" s="8">
        <v>60</v>
      </c>
      <c r="O431" s="8">
        <v>20</v>
      </c>
      <c r="P431" s="8">
        <v>912</v>
      </c>
      <c r="Q431" s="8">
        <v>3</v>
      </c>
      <c r="R431" s="8" t="s">
        <v>38</v>
      </c>
      <c r="S431" s="8" t="s">
        <v>155</v>
      </c>
      <c r="T431" s="8" t="s">
        <v>93</v>
      </c>
      <c r="U431" s="9" t="s">
        <v>1856</v>
      </c>
      <c r="V431" s="8" t="s">
        <v>68</v>
      </c>
    </row>
    <row r="432" spans="1:22">
      <c r="A432" s="3" t="s">
        <v>1857</v>
      </c>
      <c r="B432" s="4" t="s">
        <v>57</v>
      </c>
      <c r="C432" s="4" t="s">
        <v>263</v>
      </c>
      <c r="D432" s="4" t="s">
        <v>1764</v>
      </c>
      <c r="E432" s="4" t="s">
        <v>345</v>
      </c>
      <c r="F432" s="4" t="s">
        <v>167</v>
      </c>
      <c r="G432" s="4" t="s">
        <v>32</v>
      </c>
      <c r="H432" s="4" t="s">
        <v>1858</v>
      </c>
      <c r="I432" s="4" t="s">
        <v>216</v>
      </c>
      <c r="J432" s="4" t="s">
        <v>49</v>
      </c>
      <c r="K432" s="4" t="s">
        <v>126</v>
      </c>
      <c r="L432" s="4" t="s">
        <v>267</v>
      </c>
      <c r="M432" s="4">
        <v>13</v>
      </c>
      <c r="N432" s="4">
        <v>45</v>
      </c>
      <c r="O432" s="4">
        <v>15</v>
      </c>
      <c r="P432" s="4">
        <v>497.25</v>
      </c>
      <c r="Q432" s="4">
        <v>2</v>
      </c>
      <c r="R432" s="4" t="s">
        <v>38</v>
      </c>
      <c r="S432" s="4" t="s">
        <v>53</v>
      </c>
      <c r="T432" s="4" t="s">
        <v>66</v>
      </c>
      <c r="U432" s="6" t="s">
        <v>1859</v>
      </c>
      <c r="V432" s="4" t="s">
        <v>42</v>
      </c>
    </row>
    <row r="433" spans="1:22">
      <c r="A433" s="7" t="s">
        <v>1860</v>
      </c>
      <c r="B433" s="8" t="s">
        <v>255</v>
      </c>
      <c r="C433" s="8" t="s">
        <v>44</v>
      </c>
      <c r="D433" s="8" t="s">
        <v>1002</v>
      </c>
      <c r="E433" s="8" t="s">
        <v>1132</v>
      </c>
      <c r="F433" s="8" t="s">
        <v>258</v>
      </c>
      <c r="G433" s="8" t="s">
        <v>32</v>
      </c>
      <c r="H433" s="8" t="s">
        <v>1861</v>
      </c>
      <c r="I433" s="8" t="s">
        <v>109</v>
      </c>
      <c r="J433" s="8" t="s">
        <v>110</v>
      </c>
      <c r="K433" s="8" t="s">
        <v>50</v>
      </c>
      <c r="L433" s="8" t="s">
        <v>51</v>
      </c>
      <c r="M433" s="8">
        <v>7</v>
      </c>
      <c r="N433" s="8">
        <v>12000</v>
      </c>
      <c r="O433" s="8">
        <v>5</v>
      </c>
      <c r="P433" s="8">
        <v>79800</v>
      </c>
      <c r="Q433" s="8">
        <v>4</v>
      </c>
      <c r="R433" s="8" t="s">
        <v>83</v>
      </c>
      <c r="S433" s="8" t="s">
        <v>155</v>
      </c>
      <c r="T433" s="8" t="s">
        <v>260</v>
      </c>
      <c r="U433" s="9" t="s">
        <v>1862</v>
      </c>
      <c r="V433" s="8" t="s">
        <v>73</v>
      </c>
    </row>
    <row r="434" spans="1:22">
      <c r="A434" s="3" t="s">
        <v>1863</v>
      </c>
      <c r="B434" s="4" t="s">
        <v>331</v>
      </c>
      <c r="C434" s="4" t="s">
        <v>226</v>
      </c>
      <c r="D434" s="4" t="s">
        <v>605</v>
      </c>
      <c r="E434" s="4"/>
      <c r="F434" s="4" t="s">
        <v>398</v>
      </c>
      <c r="G434" s="4" t="s">
        <v>80</v>
      </c>
      <c r="H434" s="4" t="s">
        <v>1864</v>
      </c>
      <c r="I434" s="4" t="s">
        <v>298</v>
      </c>
      <c r="J434" s="4" t="s">
        <v>299</v>
      </c>
      <c r="K434" s="4" t="s">
        <v>126</v>
      </c>
      <c r="L434" s="4" t="s">
        <v>231</v>
      </c>
      <c r="M434" s="4">
        <v>8</v>
      </c>
      <c r="N434" s="4">
        <v>20</v>
      </c>
      <c r="O434" s="4">
        <v>0</v>
      </c>
      <c r="P434" s="4">
        <v>160</v>
      </c>
      <c r="Q434" s="4">
        <v>4</v>
      </c>
      <c r="R434" s="4" t="s">
        <v>83</v>
      </c>
      <c r="S434" s="4" t="s">
        <v>65</v>
      </c>
      <c r="T434" s="4" t="s">
        <v>336</v>
      </c>
      <c r="U434" s="6" t="s">
        <v>1865</v>
      </c>
      <c r="V434" s="4" t="s">
        <v>68</v>
      </c>
    </row>
    <row r="435" spans="1:22">
      <c r="A435" s="7" t="s">
        <v>1866</v>
      </c>
      <c r="B435" s="8" t="s">
        <v>27</v>
      </c>
      <c r="C435" s="8" t="s">
        <v>96</v>
      </c>
      <c r="D435" s="8" t="s">
        <v>1867</v>
      </c>
      <c r="E435" s="8" t="s">
        <v>904</v>
      </c>
      <c r="F435" s="8" t="s">
        <v>31</v>
      </c>
      <c r="G435" s="8" t="s">
        <v>32</v>
      </c>
      <c r="H435" s="8" t="s">
        <v>1868</v>
      </c>
      <c r="I435" s="8" t="s">
        <v>298</v>
      </c>
      <c r="J435" s="8" t="s">
        <v>299</v>
      </c>
      <c r="K435" s="8" t="s">
        <v>36</v>
      </c>
      <c r="L435" s="8" t="s">
        <v>101</v>
      </c>
      <c r="M435" s="8">
        <v>16</v>
      </c>
      <c r="N435" s="8">
        <v>3500</v>
      </c>
      <c r="O435" s="8">
        <v>5</v>
      </c>
      <c r="P435" s="8">
        <v>53200</v>
      </c>
      <c r="Q435" s="8">
        <v>1</v>
      </c>
      <c r="R435" s="8" t="s">
        <v>83</v>
      </c>
      <c r="S435" s="8" t="s">
        <v>65</v>
      </c>
      <c r="T435" s="8" t="s">
        <v>54</v>
      </c>
      <c r="U435" s="9" t="s">
        <v>1869</v>
      </c>
      <c r="V435" s="8" t="s">
        <v>73</v>
      </c>
    </row>
    <row r="436" spans="1:22">
      <c r="A436" s="3" t="s">
        <v>1870</v>
      </c>
      <c r="B436" s="4" t="s">
        <v>331</v>
      </c>
      <c r="C436" s="4" t="s">
        <v>173</v>
      </c>
      <c r="D436" s="4" t="s">
        <v>1871</v>
      </c>
      <c r="E436" s="4" t="s">
        <v>1161</v>
      </c>
      <c r="F436" s="4" t="s">
        <v>398</v>
      </c>
      <c r="G436" s="4" t="s">
        <v>80</v>
      </c>
      <c r="H436" s="4" t="s">
        <v>1872</v>
      </c>
      <c r="I436" s="4" t="s">
        <v>109</v>
      </c>
      <c r="J436" s="4" t="s">
        <v>110</v>
      </c>
      <c r="K436" s="4" t="s">
        <v>36</v>
      </c>
      <c r="L436" s="4" t="s">
        <v>178</v>
      </c>
      <c r="M436" s="4">
        <v>12</v>
      </c>
      <c r="N436" s="4">
        <v>8500</v>
      </c>
      <c r="O436" s="4">
        <v>10</v>
      </c>
      <c r="P436" s="4">
        <v>91800</v>
      </c>
      <c r="Q436" s="4">
        <v>3</v>
      </c>
      <c r="R436" s="4" t="s">
        <v>83</v>
      </c>
      <c r="S436" s="4" t="s">
        <v>39</v>
      </c>
      <c r="T436" s="4" t="s">
        <v>336</v>
      </c>
      <c r="U436" s="6" t="s">
        <v>1873</v>
      </c>
      <c r="V436" s="4" t="s">
        <v>42</v>
      </c>
    </row>
    <row r="437" spans="1:22">
      <c r="A437" s="7" t="s">
        <v>1874</v>
      </c>
      <c r="B437" s="8" t="s">
        <v>27</v>
      </c>
      <c r="C437" s="8" t="s">
        <v>122</v>
      </c>
      <c r="D437" s="8" t="s">
        <v>543</v>
      </c>
      <c r="E437" s="8" t="s">
        <v>1118</v>
      </c>
      <c r="F437" s="8" t="s">
        <v>31</v>
      </c>
      <c r="G437" s="8" t="s">
        <v>32</v>
      </c>
      <c r="H437" s="8" t="s">
        <v>1875</v>
      </c>
      <c r="I437" s="8" t="s">
        <v>142</v>
      </c>
      <c r="J437" s="8" t="s">
        <v>110</v>
      </c>
      <c r="K437" s="8" t="s">
        <v>126</v>
      </c>
      <c r="L437" s="8" t="s">
        <v>127</v>
      </c>
      <c r="M437" s="8">
        <v>1</v>
      </c>
      <c r="N437" s="8">
        <v>60</v>
      </c>
      <c r="O437" s="8">
        <v>20</v>
      </c>
      <c r="P437" s="8">
        <v>48</v>
      </c>
      <c r="Q437" s="8">
        <v>2</v>
      </c>
      <c r="R437" s="8" t="s">
        <v>83</v>
      </c>
      <c r="S437" s="8" t="s">
        <v>155</v>
      </c>
      <c r="T437" s="8" t="s">
        <v>54</v>
      </c>
      <c r="U437" s="9" t="s">
        <v>1876</v>
      </c>
      <c r="V437" s="8" t="s">
        <v>42</v>
      </c>
    </row>
    <row r="438" spans="1:22">
      <c r="A438" s="3" t="s">
        <v>1877</v>
      </c>
      <c r="B438" s="4" t="s">
        <v>131</v>
      </c>
      <c r="C438" s="4" t="s">
        <v>122</v>
      </c>
      <c r="D438" s="4" t="s">
        <v>511</v>
      </c>
      <c r="E438" s="4" t="s">
        <v>539</v>
      </c>
      <c r="F438" s="4" t="s">
        <v>204</v>
      </c>
      <c r="G438" s="4" t="s">
        <v>80</v>
      </c>
      <c r="H438" s="4" t="s">
        <v>1878</v>
      </c>
      <c r="I438" s="4" t="s">
        <v>34</v>
      </c>
      <c r="J438" s="4" t="s">
        <v>35</v>
      </c>
      <c r="K438" s="4" t="s">
        <v>126</v>
      </c>
      <c r="L438" s="4" t="s">
        <v>127</v>
      </c>
      <c r="M438" s="4">
        <v>3</v>
      </c>
      <c r="N438" s="4">
        <v>60</v>
      </c>
      <c r="O438" s="4">
        <v>15</v>
      </c>
      <c r="P438" s="4">
        <v>153</v>
      </c>
      <c r="Q438" s="4">
        <v>4</v>
      </c>
      <c r="R438" s="4" t="s">
        <v>83</v>
      </c>
      <c r="S438" s="4" t="s">
        <v>39</v>
      </c>
      <c r="T438" s="4" t="s">
        <v>136</v>
      </c>
      <c r="U438" s="6" t="s">
        <v>1879</v>
      </c>
      <c r="V438" s="4" t="s">
        <v>42</v>
      </c>
    </row>
    <row r="439" spans="1:22">
      <c r="A439" s="7" t="s">
        <v>1880</v>
      </c>
      <c r="B439" s="8" t="s">
        <v>104</v>
      </c>
      <c r="C439" s="8" t="s">
        <v>188</v>
      </c>
      <c r="D439" s="8" t="s">
        <v>572</v>
      </c>
      <c r="E439" s="8" t="s">
        <v>123</v>
      </c>
      <c r="F439" s="8" t="s">
        <v>107</v>
      </c>
      <c r="G439" s="8" t="s">
        <v>32</v>
      </c>
      <c r="H439" s="8" t="s">
        <v>1881</v>
      </c>
      <c r="I439" s="8" t="s">
        <v>298</v>
      </c>
      <c r="J439" s="8" t="s">
        <v>299</v>
      </c>
      <c r="K439" s="8" t="s">
        <v>50</v>
      </c>
      <c r="L439" s="8" t="s">
        <v>193</v>
      </c>
      <c r="M439" s="8">
        <v>10</v>
      </c>
      <c r="N439" s="8">
        <v>700</v>
      </c>
      <c r="O439" s="8">
        <v>15</v>
      </c>
      <c r="P439" s="8">
        <v>5950</v>
      </c>
      <c r="Q439" s="8">
        <v>3</v>
      </c>
      <c r="R439" s="8" t="s">
        <v>52</v>
      </c>
      <c r="S439" s="8" t="s">
        <v>39</v>
      </c>
      <c r="T439" s="8" t="s">
        <v>148</v>
      </c>
      <c r="U439" s="9" t="s">
        <v>1882</v>
      </c>
      <c r="V439" s="8" t="s">
        <v>68</v>
      </c>
    </row>
    <row r="440" spans="1:22">
      <c r="A440" s="3" t="s">
        <v>1883</v>
      </c>
      <c r="B440" s="4" t="s">
        <v>87</v>
      </c>
      <c r="C440" s="4" t="s">
        <v>226</v>
      </c>
      <c r="D440" s="4" t="s">
        <v>1884</v>
      </c>
      <c r="E440" s="4" t="s">
        <v>1885</v>
      </c>
      <c r="F440" s="4" t="s">
        <v>184</v>
      </c>
      <c r="G440" s="4" t="s">
        <v>80</v>
      </c>
      <c r="H440" s="4" t="s">
        <v>1886</v>
      </c>
      <c r="I440" s="4" t="s">
        <v>142</v>
      </c>
      <c r="J440" s="4" t="s">
        <v>110</v>
      </c>
      <c r="K440" s="4" t="s">
        <v>126</v>
      </c>
      <c r="L440" s="4" t="s">
        <v>231</v>
      </c>
      <c r="M440" s="4">
        <v>2</v>
      </c>
      <c r="N440" s="4">
        <v>20</v>
      </c>
      <c r="O440" s="4">
        <v>10</v>
      </c>
      <c r="P440" s="4">
        <v>36</v>
      </c>
      <c r="Q440" s="4">
        <v>2</v>
      </c>
      <c r="R440" s="4" t="s">
        <v>92</v>
      </c>
      <c r="S440" s="4" t="s">
        <v>65</v>
      </c>
      <c r="T440" s="4" t="s">
        <v>93</v>
      </c>
      <c r="U440" s="6" t="s">
        <v>1887</v>
      </c>
      <c r="V440" s="4" t="s">
        <v>42</v>
      </c>
    </row>
    <row r="441" spans="1:22">
      <c r="A441" s="7" t="s">
        <v>1888</v>
      </c>
      <c r="B441" s="8" t="s">
        <v>87</v>
      </c>
      <c r="C441" s="8" t="s">
        <v>226</v>
      </c>
      <c r="D441" s="8" t="s">
        <v>1889</v>
      </c>
      <c r="E441" s="8" t="s">
        <v>1203</v>
      </c>
      <c r="F441" s="8" t="s">
        <v>184</v>
      </c>
      <c r="G441" s="8" t="s">
        <v>80</v>
      </c>
      <c r="H441" s="8" t="s">
        <v>1890</v>
      </c>
      <c r="I441" s="8" t="s">
        <v>48</v>
      </c>
      <c r="J441" s="8" t="s">
        <v>49</v>
      </c>
      <c r="K441" s="8" t="s">
        <v>126</v>
      </c>
      <c r="L441" s="8" t="s">
        <v>231</v>
      </c>
      <c r="M441" s="8">
        <v>14</v>
      </c>
      <c r="N441" s="8">
        <v>20</v>
      </c>
      <c r="O441" s="8">
        <v>20</v>
      </c>
      <c r="P441" s="8">
        <v>224</v>
      </c>
      <c r="Q441" s="8">
        <v>5</v>
      </c>
      <c r="R441" s="8" t="s">
        <v>38</v>
      </c>
      <c r="S441" s="8" t="s">
        <v>155</v>
      </c>
      <c r="T441" s="8" t="s">
        <v>93</v>
      </c>
      <c r="U441" s="9" t="s">
        <v>1891</v>
      </c>
      <c r="V441" s="8" t="s">
        <v>68</v>
      </c>
    </row>
    <row r="442" spans="1:22">
      <c r="A442" s="3" t="s">
        <v>1892</v>
      </c>
      <c r="B442" s="4" t="s">
        <v>331</v>
      </c>
      <c r="C442" s="4" t="s">
        <v>96</v>
      </c>
      <c r="D442" s="4" t="s">
        <v>1717</v>
      </c>
      <c r="E442" s="4" t="s">
        <v>197</v>
      </c>
      <c r="F442" s="4" t="s">
        <v>398</v>
      </c>
      <c r="G442" s="4" t="s">
        <v>80</v>
      </c>
      <c r="H442" s="4" t="s">
        <v>1893</v>
      </c>
      <c r="I442" s="4" t="s">
        <v>142</v>
      </c>
      <c r="J442" s="4" t="s">
        <v>110</v>
      </c>
      <c r="K442" s="4" t="s">
        <v>36</v>
      </c>
      <c r="L442" s="4" t="s">
        <v>101</v>
      </c>
      <c r="M442" s="4">
        <v>4</v>
      </c>
      <c r="N442" s="4">
        <v>3500</v>
      </c>
      <c r="O442" s="4">
        <v>0</v>
      </c>
      <c r="P442" s="4">
        <v>14000</v>
      </c>
      <c r="Q442" s="4">
        <v>2</v>
      </c>
      <c r="R442" s="4" t="s">
        <v>92</v>
      </c>
      <c r="S442" s="4" t="s">
        <v>39</v>
      </c>
      <c r="T442" s="4" t="s">
        <v>336</v>
      </c>
      <c r="U442" s="6" t="s">
        <v>1894</v>
      </c>
      <c r="V442" s="4" t="s">
        <v>73</v>
      </c>
    </row>
    <row r="443" spans="1:22">
      <c r="A443" s="7" t="s">
        <v>1895</v>
      </c>
      <c r="B443" s="8" t="s">
        <v>87</v>
      </c>
      <c r="C443" s="8" t="s">
        <v>96</v>
      </c>
      <c r="D443" s="8" t="s">
        <v>322</v>
      </c>
      <c r="E443" s="8" t="s">
        <v>1123</v>
      </c>
      <c r="F443" s="8" t="s">
        <v>184</v>
      </c>
      <c r="G443" s="8" t="s">
        <v>80</v>
      </c>
      <c r="H443" s="8" t="s">
        <v>1896</v>
      </c>
      <c r="I443" s="8" t="s">
        <v>216</v>
      </c>
      <c r="J443" s="8" t="s">
        <v>49</v>
      </c>
      <c r="K443" s="8" t="s">
        <v>36</v>
      </c>
      <c r="L443" s="8" t="s">
        <v>101</v>
      </c>
      <c r="M443" s="8">
        <v>9</v>
      </c>
      <c r="N443" s="8">
        <v>3500</v>
      </c>
      <c r="O443" s="8">
        <v>5</v>
      </c>
      <c r="P443" s="8">
        <v>29925</v>
      </c>
      <c r="Q443" s="8">
        <v>3</v>
      </c>
      <c r="R443" s="8" t="s">
        <v>83</v>
      </c>
      <c r="S443" s="8" t="s">
        <v>65</v>
      </c>
      <c r="T443" s="8" t="s">
        <v>93</v>
      </c>
      <c r="U443" s="9" t="s">
        <v>1897</v>
      </c>
      <c r="V443" s="8" t="s">
        <v>42</v>
      </c>
    </row>
    <row r="444" spans="1:22">
      <c r="A444" s="3" t="s">
        <v>1898</v>
      </c>
      <c r="B444" s="4" t="s">
        <v>131</v>
      </c>
      <c r="C444" s="4" t="s">
        <v>122</v>
      </c>
      <c r="D444" s="4" t="s">
        <v>687</v>
      </c>
      <c r="E444" s="4" t="s">
        <v>1469</v>
      </c>
      <c r="F444" s="4" t="s">
        <v>204</v>
      </c>
      <c r="G444" s="4" t="s">
        <v>80</v>
      </c>
      <c r="H444" s="4" t="s">
        <v>1899</v>
      </c>
      <c r="I444" s="4" t="s">
        <v>109</v>
      </c>
      <c r="J444" s="4" t="s">
        <v>110</v>
      </c>
      <c r="K444" s="4" t="s">
        <v>126</v>
      </c>
      <c r="L444" s="4" t="s">
        <v>127</v>
      </c>
      <c r="M444" s="4">
        <v>9</v>
      </c>
      <c r="N444" s="4">
        <v>60</v>
      </c>
      <c r="O444" s="4">
        <v>0</v>
      </c>
      <c r="P444" s="4">
        <v>540</v>
      </c>
      <c r="Q444" s="4">
        <v>3</v>
      </c>
      <c r="R444" s="4" t="s">
        <v>92</v>
      </c>
      <c r="S444" s="4" t="s">
        <v>39</v>
      </c>
      <c r="T444" s="4" t="s">
        <v>136</v>
      </c>
      <c r="U444" s="6" t="s">
        <v>1900</v>
      </c>
      <c r="V444" s="4" t="s">
        <v>68</v>
      </c>
    </row>
    <row r="445" spans="1:22">
      <c r="A445" s="7" t="s">
        <v>1901</v>
      </c>
      <c r="B445" s="8" t="s">
        <v>172</v>
      </c>
      <c r="C445" s="8" t="s">
        <v>76</v>
      </c>
      <c r="D445" s="8" t="s">
        <v>1902</v>
      </c>
      <c r="E445" s="8" t="s">
        <v>1267</v>
      </c>
      <c r="F445" s="8" t="s">
        <v>365</v>
      </c>
      <c r="G445" s="8" t="s">
        <v>32</v>
      </c>
      <c r="H445" s="8" t="s">
        <v>1903</v>
      </c>
      <c r="I445" s="8" t="s">
        <v>142</v>
      </c>
      <c r="J445" s="8" t="s">
        <v>110</v>
      </c>
      <c r="K445" s="8" t="s">
        <v>50</v>
      </c>
      <c r="L445" s="8" t="s">
        <v>82</v>
      </c>
      <c r="M445" s="8">
        <v>4</v>
      </c>
      <c r="N445" s="8">
        <v>1200</v>
      </c>
      <c r="O445" s="8">
        <v>0</v>
      </c>
      <c r="P445" s="8">
        <v>4800</v>
      </c>
      <c r="Q445" s="8">
        <v>1</v>
      </c>
      <c r="R445" s="8" t="s">
        <v>52</v>
      </c>
      <c r="S445" s="8" t="s">
        <v>65</v>
      </c>
      <c r="T445" s="8" t="s">
        <v>179</v>
      </c>
      <c r="U445" s="9" t="s">
        <v>1904</v>
      </c>
      <c r="V445" s="8" t="s">
        <v>42</v>
      </c>
    </row>
    <row r="446" spans="1:22">
      <c r="A446" s="3" t="s">
        <v>1905</v>
      </c>
      <c r="B446" s="4" t="s">
        <v>57</v>
      </c>
      <c r="C446" s="4" t="s">
        <v>58</v>
      </c>
      <c r="D446" s="4" t="s">
        <v>1624</v>
      </c>
      <c r="E446" s="4" t="s">
        <v>306</v>
      </c>
      <c r="F446" s="4" t="s">
        <v>167</v>
      </c>
      <c r="G446" s="4" t="s">
        <v>32</v>
      </c>
      <c r="H446" s="4" t="s">
        <v>1906</v>
      </c>
      <c r="I446" s="4" t="s">
        <v>34</v>
      </c>
      <c r="J446" s="4" t="s">
        <v>35</v>
      </c>
      <c r="K446" s="4" t="s">
        <v>50</v>
      </c>
      <c r="L446" s="4" t="s">
        <v>64</v>
      </c>
      <c r="M446" s="4">
        <v>10</v>
      </c>
      <c r="N446" s="4">
        <v>55000</v>
      </c>
      <c r="O446" s="4">
        <v>5</v>
      </c>
      <c r="P446" s="4">
        <v>522500</v>
      </c>
      <c r="Q446" s="4">
        <v>5</v>
      </c>
      <c r="R446" s="4" t="s">
        <v>92</v>
      </c>
      <c r="S446" s="4" t="s">
        <v>119</v>
      </c>
      <c r="T446" s="4" t="s">
        <v>66</v>
      </c>
      <c r="U446" s="6" t="s">
        <v>1907</v>
      </c>
      <c r="V446" s="4" t="s">
        <v>42</v>
      </c>
    </row>
    <row r="447" spans="1:22">
      <c r="A447" s="7" t="s">
        <v>1908</v>
      </c>
      <c r="B447" s="8" t="s">
        <v>225</v>
      </c>
      <c r="C447" s="8" t="s">
        <v>263</v>
      </c>
      <c r="D447" s="8" t="s">
        <v>1909</v>
      </c>
      <c r="E447" s="8" t="s">
        <v>885</v>
      </c>
      <c r="F447" s="8" t="s">
        <v>229</v>
      </c>
      <c r="G447" s="8" t="s">
        <v>80</v>
      </c>
      <c r="H447" s="8" t="s">
        <v>1910</v>
      </c>
      <c r="I447" s="8" t="s">
        <v>34</v>
      </c>
      <c r="J447" s="8" t="s">
        <v>35</v>
      </c>
      <c r="K447" s="8" t="s">
        <v>126</v>
      </c>
      <c r="L447" s="8" t="s">
        <v>267</v>
      </c>
      <c r="M447" s="8">
        <v>20</v>
      </c>
      <c r="N447" s="8">
        <v>45</v>
      </c>
      <c r="O447" s="8">
        <v>15</v>
      </c>
      <c r="P447" s="8">
        <v>765</v>
      </c>
      <c r="Q447" s="8">
        <v>2</v>
      </c>
      <c r="R447" s="8" t="s">
        <v>83</v>
      </c>
      <c r="S447" s="8" t="s">
        <v>39</v>
      </c>
      <c r="T447" s="8" t="s">
        <v>232</v>
      </c>
      <c r="U447" s="9" t="s">
        <v>1911</v>
      </c>
      <c r="V447" s="8" t="s">
        <v>73</v>
      </c>
    </row>
    <row r="448" spans="1:22">
      <c r="A448" s="3" t="s">
        <v>1912</v>
      </c>
      <c r="B448" s="4" t="s">
        <v>27</v>
      </c>
      <c r="C448" s="4" t="s">
        <v>226</v>
      </c>
      <c r="D448" s="4" t="s">
        <v>318</v>
      </c>
      <c r="E448" s="4" t="s">
        <v>174</v>
      </c>
      <c r="F448" s="4" t="s">
        <v>31</v>
      </c>
      <c r="G448" s="4" t="s">
        <v>32</v>
      </c>
      <c r="H448" s="4" t="s">
        <v>1913</v>
      </c>
      <c r="I448" s="4" t="s">
        <v>109</v>
      </c>
      <c r="J448" s="4" t="s">
        <v>110</v>
      </c>
      <c r="K448" s="4" t="s">
        <v>126</v>
      </c>
      <c r="L448" s="4" t="s">
        <v>231</v>
      </c>
      <c r="M448" s="4">
        <v>9</v>
      </c>
      <c r="N448" s="4">
        <v>20</v>
      </c>
      <c r="O448" s="4">
        <v>20</v>
      </c>
      <c r="P448" s="4">
        <v>144</v>
      </c>
      <c r="Q448" s="4">
        <v>3</v>
      </c>
      <c r="R448" s="4" t="s">
        <v>83</v>
      </c>
      <c r="S448" s="4" t="s">
        <v>65</v>
      </c>
      <c r="T448" s="4" t="s">
        <v>54</v>
      </c>
      <c r="U448" s="6" t="s">
        <v>1914</v>
      </c>
      <c r="V448" s="4" t="s">
        <v>42</v>
      </c>
    </row>
    <row r="449" spans="1:22">
      <c r="A449" s="7" t="s">
        <v>1915</v>
      </c>
      <c r="B449" s="8" t="s">
        <v>27</v>
      </c>
      <c r="C449" s="8" t="s">
        <v>58</v>
      </c>
      <c r="D449" s="8" t="s">
        <v>1916</v>
      </c>
      <c r="E449" s="8" t="s">
        <v>914</v>
      </c>
      <c r="F449" s="8" t="s">
        <v>31</v>
      </c>
      <c r="G449" s="8" t="s">
        <v>32</v>
      </c>
      <c r="H449" s="8" t="s">
        <v>1917</v>
      </c>
      <c r="I449" s="8" t="s">
        <v>118</v>
      </c>
      <c r="J449" s="8" t="s">
        <v>110</v>
      </c>
      <c r="K449" s="8" t="s">
        <v>50</v>
      </c>
      <c r="L449" s="8" t="s">
        <v>64</v>
      </c>
      <c r="M449" s="8">
        <v>8</v>
      </c>
      <c r="N449" s="8">
        <v>55000</v>
      </c>
      <c r="O449" s="8">
        <v>0</v>
      </c>
      <c r="P449" s="8">
        <v>440000</v>
      </c>
      <c r="Q449" s="8">
        <v>4</v>
      </c>
      <c r="R449" s="8" t="s">
        <v>38</v>
      </c>
      <c r="S449" s="8" t="s">
        <v>119</v>
      </c>
      <c r="T449" s="8" t="s">
        <v>54</v>
      </c>
      <c r="U449" s="9" t="s">
        <v>1918</v>
      </c>
      <c r="V449" s="8" t="s">
        <v>42</v>
      </c>
    </row>
    <row r="450" spans="1:22">
      <c r="A450" s="3" t="s">
        <v>1919</v>
      </c>
      <c r="B450" s="4" t="s">
        <v>331</v>
      </c>
      <c r="C450" s="4" t="s">
        <v>76</v>
      </c>
      <c r="D450" s="4" t="s">
        <v>1920</v>
      </c>
      <c r="E450" s="4" t="s">
        <v>1434</v>
      </c>
      <c r="F450" s="4" t="s">
        <v>398</v>
      </c>
      <c r="G450" s="4" t="s">
        <v>80</v>
      </c>
      <c r="H450" s="4" t="s">
        <v>1921</v>
      </c>
      <c r="I450" s="4" t="s">
        <v>142</v>
      </c>
      <c r="J450" s="4" t="s">
        <v>110</v>
      </c>
      <c r="K450" s="4" t="s">
        <v>50</v>
      </c>
      <c r="L450" s="4" t="s">
        <v>82</v>
      </c>
      <c r="M450" s="4">
        <v>4</v>
      </c>
      <c r="N450" s="4">
        <v>1200</v>
      </c>
      <c r="O450" s="4">
        <v>10</v>
      </c>
      <c r="P450" s="4">
        <v>4320</v>
      </c>
      <c r="Q450" s="4">
        <v>4</v>
      </c>
      <c r="R450" s="4" t="s">
        <v>92</v>
      </c>
      <c r="S450" s="4" t="s">
        <v>39</v>
      </c>
      <c r="T450" s="5" t="s">
        <v>1922</v>
      </c>
      <c r="U450" s="6" t="s">
        <v>1923</v>
      </c>
      <c r="V450" s="4" t="s">
        <v>73</v>
      </c>
    </row>
    <row r="451" spans="1:22">
      <c r="A451" s="7" t="s">
        <v>1924</v>
      </c>
      <c r="B451" s="8" t="s">
        <v>331</v>
      </c>
      <c r="C451" s="8" t="s">
        <v>173</v>
      </c>
      <c r="D451" s="8" t="s">
        <v>522</v>
      </c>
      <c r="E451" s="8" t="s">
        <v>430</v>
      </c>
      <c r="F451" s="8" t="s">
        <v>398</v>
      </c>
      <c r="G451" s="8" t="s">
        <v>80</v>
      </c>
      <c r="H451" s="8" t="s">
        <v>1925</v>
      </c>
      <c r="I451" s="8" t="s">
        <v>298</v>
      </c>
      <c r="J451" s="8" t="s">
        <v>299</v>
      </c>
      <c r="K451" s="8" t="s">
        <v>36</v>
      </c>
      <c r="L451" s="8" t="s">
        <v>178</v>
      </c>
      <c r="M451" s="8">
        <v>14</v>
      </c>
      <c r="N451" s="8">
        <v>8500</v>
      </c>
      <c r="O451" s="8">
        <v>10</v>
      </c>
      <c r="P451" s="8">
        <v>107100</v>
      </c>
      <c r="Q451" s="8">
        <v>4</v>
      </c>
      <c r="R451" s="8" t="s">
        <v>38</v>
      </c>
      <c r="S451" s="8" t="s">
        <v>39</v>
      </c>
      <c r="T451" s="8" t="s">
        <v>336</v>
      </c>
      <c r="U451" s="9" t="s">
        <v>1926</v>
      </c>
      <c r="V451" s="8" t="s">
        <v>42</v>
      </c>
    </row>
    <row r="452" spans="1:22">
      <c r="A452" s="3" t="s">
        <v>1927</v>
      </c>
      <c r="B452" s="4" t="s">
        <v>75</v>
      </c>
      <c r="C452" s="4" t="s">
        <v>263</v>
      </c>
      <c r="D452" s="4" t="s">
        <v>687</v>
      </c>
      <c r="E452" s="4" t="s">
        <v>1928</v>
      </c>
      <c r="F452" s="4" t="s">
        <v>221</v>
      </c>
      <c r="G452" s="4" t="s">
        <v>80</v>
      </c>
      <c r="H452" s="4" t="s">
        <v>1929</v>
      </c>
      <c r="I452" s="4" t="s">
        <v>34</v>
      </c>
      <c r="J452" s="4" t="s">
        <v>35</v>
      </c>
      <c r="K452" s="4" t="s">
        <v>126</v>
      </c>
      <c r="L452" s="4" t="s">
        <v>267</v>
      </c>
      <c r="M452" s="4">
        <v>1</v>
      </c>
      <c r="N452" s="4">
        <v>45</v>
      </c>
      <c r="O452" s="4">
        <v>0</v>
      </c>
      <c r="P452" s="4">
        <v>45</v>
      </c>
      <c r="Q452" s="4">
        <v>3</v>
      </c>
      <c r="R452" s="4" t="s">
        <v>92</v>
      </c>
      <c r="S452" s="4" t="s">
        <v>155</v>
      </c>
      <c r="T452" s="4" t="s">
        <v>84</v>
      </c>
      <c r="U452" s="6" t="s">
        <v>1930</v>
      </c>
      <c r="V452" s="4" t="s">
        <v>73</v>
      </c>
    </row>
    <row r="453" spans="1:22">
      <c r="A453" s="7" t="s">
        <v>1931</v>
      </c>
      <c r="B453" s="8" t="s">
        <v>75</v>
      </c>
      <c r="C453" s="8" t="s">
        <v>58</v>
      </c>
      <c r="D453" s="8" t="s">
        <v>905</v>
      </c>
      <c r="E453" s="8" t="s">
        <v>1073</v>
      </c>
      <c r="F453" s="8" t="s">
        <v>221</v>
      </c>
      <c r="G453" s="8" t="s">
        <v>80</v>
      </c>
      <c r="H453" s="8" t="s">
        <v>1932</v>
      </c>
      <c r="I453" s="8" t="s">
        <v>48</v>
      </c>
      <c r="J453" s="8" t="s">
        <v>49</v>
      </c>
      <c r="K453" s="8" t="s">
        <v>50</v>
      </c>
      <c r="L453" s="8" t="s">
        <v>64</v>
      </c>
      <c r="M453" s="8">
        <v>16</v>
      </c>
      <c r="N453" s="8">
        <v>55000</v>
      </c>
      <c r="O453" s="8">
        <v>15</v>
      </c>
      <c r="P453" s="8">
        <v>748000</v>
      </c>
      <c r="Q453" s="8">
        <v>1</v>
      </c>
      <c r="R453" s="8" t="s">
        <v>83</v>
      </c>
      <c r="S453" s="8" t="s">
        <v>155</v>
      </c>
      <c r="T453" s="8" t="s">
        <v>84</v>
      </c>
      <c r="U453" s="9" t="s">
        <v>1933</v>
      </c>
      <c r="V453" s="8" t="s">
        <v>73</v>
      </c>
    </row>
    <row r="454" spans="1:22">
      <c r="A454" s="3" t="s">
        <v>1934</v>
      </c>
      <c r="B454" s="4" t="s">
        <v>57</v>
      </c>
      <c r="C454" s="4" t="s">
        <v>188</v>
      </c>
      <c r="D454" s="4" t="s">
        <v>1935</v>
      </c>
      <c r="E454" s="4" t="s">
        <v>1936</v>
      </c>
      <c r="F454" s="4" t="s">
        <v>167</v>
      </c>
      <c r="G454" s="4" t="s">
        <v>32</v>
      </c>
      <c r="H454" s="4" t="s">
        <v>1937</v>
      </c>
      <c r="I454" s="4" t="s">
        <v>142</v>
      </c>
      <c r="J454" s="4" t="s">
        <v>110</v>
      </c>
      <c r="K454" s="4" t="s">
        <v>50</v>
      </c>
      <c r="L454" s="4" t="s">
        <v>193</v>
      </c>
      <c r="M454" s="4">
        <v>8</v>
      </c>
      <c r="N454" s="4">
        <v>700</v>
      </c>
      <c r="O454" s="4">
        <v>0</v>
      </c>
      <c r="P454" s="4">
        <v>5600</v>
      </c>
      <c r="Q454" s="4">
        <v>3</v>
      </c>
      <c r="R454" s="4" t="s">
        <v>38</v>
      </c>
      <c r="S454" s="4" t="s">
        <v>53</v>
      </c>
      <c r="T454" s="4" t="s">
        <v>66</v>
      </c>
      <c r="U454" s="6" t="s">
        <v>1938</v>
      </c>
      <c r="V454" s="4" t="s">
        <v>42</v>
      </c>
    </row>
    <row r="455" spans="1:22">
      <c r="A455" s="7" t="s">
        <v>1939</v>
      </c>
      <c r="B455" s="8" t="s">
        <v>255</v>
      </c>
      <c r="C455" s="8" t="s">
        <v>76</v>
      </c>
      <c r="D455" s="8" t="s">
        <v>70</v>
      </c>
      <c r="E455" s="8" t="s">
        <v>1940</v>
      </c>
      <c r="F455" s="8" t="s">
        <v>258</v>
      </c>
      <c r="G455" s="8" t="s">
        <v>32</v>
      </c>
      <c r="H455" s="8" t="s">
        <v>1941</v>
      </c>
      <c r="I455" s="8" t="s">
        <v>142</v>
      </c>
      <c r="J455" s="8" t="s">
        <v>110</v>
      </c>
      <c r="K455" s="8" t="s">
        <v>50</v>
      </c>
      <c r="L455" s="8" t="s">
        <v>82</v>
      </c>
      <c r="M455" s="8">
        <v>3</v>
      </c>
      <c r="N455" s="8">
        <v>1200</v>
      </c>
      <c r="O455" s="8">
        <v>0</v>
      </c>
      <c r="P455" s="8">
        <v>3600</v>
      </c>
      <c r="Q455" s="8">
        <v>1</v>
      </c>
      <c r="R455" s="8" t="s">
        <v>83</v>
      </c>
      <c r="S455" s="8" t="s">
        <v>53</v>
      </c>
      <c r="T455" s="8" t="s">
        <v>260</v>
      </c>
      <c r="U455" s="9" t="s">
        <v>1942</v>
      </c>
      <c r="V455" s="8" t="s">
        <v>73</v>
      </c>
    </row>
    <row r="456" spans="1:22">
      <c r="A456" s="3" t="s">
        <v>1943</v>
      </c>
      <c r="B456" s="4" t="s">
        <v>75</v>
      </c>
      <c r="C456" s="4" t="s">
        <v>96</v>
      </c>
      <c r="D456" s="4" t="s">
        <v>992</v>
      </c>
      <c r="E456" s="4" t="s">
        <v>391</v>
      </c>
      <c r="F456" s="4" t="s">
        <v>221</v>
      </c>
      <c r="G456" s="4" t="s">
        <v>80</v>
      </c>
      <c r="H456" s="4" t="s">
        <v>1944</v>
      </c>
      <c r="I456" s="4" t="s">
        <v>298</v>
      </c>
      <c r="J456" s="4" t="s">
        <v>299</v>
      </c>
      <c r="K456" s="4" t="s">
        <v>36</v>
      </c>
      <c r="L456" s="4" t="s">
        <v>101</v>
      </c>
      <c r="M456" s="4">
        <v>7</v>
      </c>
      <c r="N456" s="4">
        <v>3500</v>
      </c>
      <c r="O456" s="4">
        <v>15</v>
      </c>
      <c r="P456" s="4">
        <v>20825</v>
      </c>
      <c r="Q456" s="4">
        <v>4</v>
      </c>
      <c r="R456" s="4" t="s">
        <v>83</v>
      </c>
      <c r="S456" s="4" t="s">
        <v>65</v>
      </c>
      <c r="T456" s="4" t="s">
        <v>84</v>
      </c>
      <c r="U456" s="6" t="s">
        <v>1945</v>
      </c>
      <c r="V456" s="4" t="s">
        <v>68</v>
      </c>
    </row>
    <row r="457" spans="1:22">
      <c r="A457" s="7" t="s">
        <v>1946</v>
      </c>
      <c r="B457" s="8" t="s">
        <v>57</v>
      </c>
      <c r="C457" s="8" t="s">
        <v>58</v>
      </c>
      <c r="D457" s="8" t="s">
        <v>1936</v>
      </c>
      <c r="E457" s="8" t="s">
        <v>744</v>
      </c>
      <c r="F457" s="8" t="s">
        <v>167</v>
      </c>
      <c r="G457" s="8" t="s">
        <v>32</v>
      </c>
      <c r="H457" s="8" t="s">
        <v>1947</v>
      </c>
      <c r="I457" s="8" t="s">
        <v>118</v>
      </c>
      <c r="J457" s="8" t="s">
        <v>110</v>
      </c>
      <c r="K457" s="8" t="s">
        <v>50</v>
      </c>
      <c r="L457" s="8" t="s">
        <v>64</v>
      </c>
      <c r="M457" s="8">
        <v>9</v>
      </c>
      <c r="N457" s="8">
        <v>55000</v>
      </c>
      <c r="O457" s="8">
        <v>15</v>
      </c>
      <c r="P457" s="8">
        <v>420750</v>
      </c>
      <c r="Q457" s="8">
        <v>3</v>
      </c>
      <c r="R457" s="8" t="s">
        <v>92</v>
      </c>
      <c r="S457" s="8" t="s">
        <v>39</v>
      </c>
      <c r="T457" s="8" t="s">
        <v>66</v>
      </c>
      <c r="U457" s="9" t="s">
        <v>1948</v>
      </c>
      <c r="V457" s="8" t="s">
        <v>73</v>
      </c>
    </row>
    <row r="458" spans="1:22">
      <c r="A458" s="3" t="s">
        <v>1949</v>
      </c>
      <c r="B458" s="4" t="s">
        <v>331</v>
      </c>
      <c r="C458" s="4" t="s">
        <v>44</v>
      </c>
      <c r="D458" s="4" t="s">
        <v>189</v>
      </c>
      <c r="E458" s="4" t="s">
        <v>922</v>
      </c>
      <c r="F458" s="4" t="s">
        <v>398</v>
      </c>
      <c r="G458" s="4" t="s">
        <v>80</v>
      </c>
      <c r="H458" s="4" t="s">
        <v>1950</v>
      </c>
      <c r="I458" s="4" t="s">
        <v>63</v>
      </c>
      <c r="J458" s="4" t="s">
        <v>35</v>
      </c>
      <c r="K458" s="4" t="s">
        <v>50</v>
      </c>
      <c r="L458" s="4" t="s">
        <v>51</v>
      </c>
      <c r="M458" s="4">
        <v>12</v>
      </c>
      <c r="N458" s="4">
        <v>12000</v>
      </c>
      <c r="O458" s="4">
        <v>0</v>
      </c>
      <c r="P458" s="4">
        <v>144000</v>
      </c>
      <c r="Q458" s="4">
        <v>3</v>
      </c>
      <c r="R458" s="4" t="s">
        <v>83</v>
      </c>
      <c r="S458" s="4" t="s">
        <v>155</v>
      </c>
      <c r="T458" s="4" t="s">
        <v>336</v>
      </c>
      <c r="U458" s="6" t="s">
        <v>1951</v>
      </c>
      <c r="V458" s="4" t="s">
        <v>73</v>
      </c>
    </row>
    <row r="459" spans="1:22">
      <c r="A459" s="7" t="s">
        <v>1952</v>
      </c>
      <c r="B459" s="8" t="s">
        <v>104</v>
      </c>
      <c r="C459" s="8" t="s">
        <v>122</v>
      </c>
      <c r="D459" s="8" t="s">
        <v>46</v>
      </c>
      <c r="E459" s="8" t="s">
        <v>601</v>
      </c>
      <c r="F459" s="8" t="s">
        <v>107</v>
      </c>
      <c r="G459" s="8" t="s">
        <v>32</v>
      </c>
      <c r="H459" s="8" t="s">
        <v>1953</v>
      </c>
      <c r="I459" s="8" t="s">
        <v>142</v>
      </c>
      <c r="J459" s="8" t="s">
        <v>110</v>
      </c>
      <c r="K459" s="8" t="s">
        <v>126</v>
      </c>
      <c r="L459" s="8" t="s">
        <v>127</v>
      </c>
      <c r="M459" s="8">
        <v>7</v>
      </c>
      <c r="N459" s="8">
        <v>60</v>
      </c>
      <c r="O459" s="8">
        <v>10</v>
      </c>
      <c r="P459" s="8">
        <v>378</v>
      </c>
      <c r="Q459" s="8">
        <v>4</v>
      </c>
      <c r="R459" s="8" t="s">
        <v>38</v>
      </c>
      <c r="S459" s="8" t="s">
        <v>53</v>
      </c>
      <c r="T459" s="8" t="s">
        <v>148</v>
      </c>
      <c r="U459" s="9" t="s">
        <v>1954</v>
      </c>
      <c r="V459" s="8" t="s">
        <v>73</v>
      </c>
    </row>
    <row r="460" spans="1:22">
      <c r="A460" s="3" t="s">
        <v>1955</v>
      </c>
      <c r="B460" s="4" t="s">
        <v>225</v>
      </c>
      <c r="C460" s="4" t="s">
        <v>28</v>
      </c>
      <c r="D460" s="4" t="s">
        <v>381</v>
      </c>
      <c r="E460" s="4" t="s">
        <v>678</v>
      </c>
      <c r="F460" s="4" t="s">
        <v>229</v>
      </c>
      <c r="G460" s="4" t="s">
        <v>80</v>
      </c>
      <c r="H460" s="4" t="s">
        <v>1956</v>
      </c>
      <c r="I460" s="4" t="s">
        <v>109</v>
      </c>
      <c r="J460" s="4" t="s">
        <v>110</v>
      </c>
      <c r="K460" s="4" t="s">
        <v>36</v>
      </c>
      <c r="L460" s="4" t="s">
        <v>37</v>
      </c>
      <c r="M460" s="4">
        <v>17</v>
      </c>
      <c r="N460" s="4">
        <v>2200</v>
      </c>
      <c r="O460" s="4">
        <v>15</v>
      </c>
      <c r="P460" s="4">
        <v>31790</v>
      </c>
      <c r="Q460" s="4">
        <v>3</v>
      </c>
      <c r="R460" s="4" t="s">
        <v>92</v>
      </c>
      <c r="S460" s="4" t="s">
        <v>155</v>
      </c>
      <c r="T460" s="4" t="s">
        <v>232</v>
      </c>
      <c r="U460" s="6" t="s">
        <v>1957</v>
      </c>
      <c r="V460" s="4" t="s">
        <v>68</v>
      </c>
    </row>
    <row r="461" spans="1:22">
      <c r="A461" s="7" t="s">
        <v>1958</v>
      </c>
      <c r="B461" s="8" t="s">
        <v>331</v>
      </c>
      <c r="C461" s="8" t="s">
        <v>188</v>
      </c>
      <c r="D461" s="8" t="s">
        <v>355</v>
      </c>
      <c r="E461" s="8" t="s">
        <v>1541</v>
      </c>
      <c r="F461" s="8" t="s">
        <v>398</v>
      </c>
      <c r="G461" s="8" t="s">
        <v>80</v>
      </c>
      <c r="H461" s="8" t="s">
        <v>1959</v>
      </c>
      <c r="I461" s="8" t="s">
        <v>63</v>
      </c>
      <c r="J461" s="8" t="s">
        <v>35</v>
      </c>
      <c r="K461" s="8" t="s">
        <v>50</v>
      </c>
      <c r="L461" s="8" t="s">
        <v>193</v>
      </c>
      <c r="M461" s="8">
        <v>17</v>
      </c>
      <c r="N461" s="8">
        <v>700</v>
      </c>
      <c r="O461" s="8">
        <v>10</v>
      </c>
      <c r="P461" s="8">
        <v>10710</v>
      </c>
      <c r="Q461" s="8">
        <v>2</v>
      </c>
      <c r="R461" s="8" t="s">
        <v>38</v>
      </c>
      <c r="S461" s="8" t="s">
        <v>65</v>
      </c>
      <c r="T461" s="8" t="s">
        <v>336</v>
      </c>
      <c r="U461" s="9" t="s">
        <v>1960</v>
      </c>
      <c r="V461" s="8" t="s">
        <v>68</v>
      </c>
    </row>
    <row r="462" spans="1:22">
      <c r="A462" s="3" t="s">
        <v>1961</v>
      </c>
      <c r="B462" s="4" t="s">
        <v>331</v>
      </c>
      <c r="C462" s="4" t="s">
        <v>58</v>
      </c>
      <c r="D462" s="4" t="s">
        <v>1962</v>
      </c>
      <c r="E462" s="4" t="s">
        <v>1192</v>
      </c>
      <c r="F462" s="4" t="s">
        <v>398</v>
      </c>
      <c r="G462" s="4" t="s">
        <v>80</v>
      </c>
      <c r="H462" s="4" t="s">
        <v>1963</v>
      </c>
      <c r="I462" s="4" t="s">
        <v>48</v>
      </c>
      <c r="J462" s="4" t="s">
        <v>49</v>
      </c>
      <c r="K462" s="4" t="s">
        <v>50</v>
      </c>
      <c r="L462" s="4" t="s">
        <v>64</v>
      </c>
      <c r="M462" s="4">
        <v>19</v>
      </c>
      <c r="N462" s="4">
        <v>55000</v>
      </c>
      <c r="O462" s="4">
        <v>20</v>
      </c>
      <c r="P462" s="4">
        <v>836000</v>
      </c>
      <c r="Q462" s="4">
        <v>5</v>
      </c>
      <c r="R462" s="4" t="s">
        <v>52</v>
      </c>
      <c r="S462" s="4" t="s">
        <v>65</v>
      </c>
      <c r="T462" s="4" t="s">
        <v>336</v>
      </c>
      <c r="U462" s="6" t="s">
        <v>1964</v>
      </c>
      <c r="V462" s="4" t="s">
        <v>42</v>
      </c>
    </row>
    <row r="463" spans="1:22">
      <c r="A463" s="7" t="s">
        <v>1965</v>
      </c>
      <c r="B463" s="8" t="s">
        <v>131</v>
      </c>
      <c r="C463" s="8" t="s">
        <v>122</v>
      </c>
      <c r="D463" s="8" t="s">
        <v>1176</v>
      </c>
      <c r="E463" s="8" t="s">
        <v>132</v>
      </c>
      <c r="F463" s="8" t="s">
        <v>204</v>
      </c>
      <c r="G463" s="8" t="s">
        <v>80</v>
      </c>
      <c r="H463" s="8" t="s">
        <v>1966</v>
      </c>
      <c r="I463" s="8" t="s">
        <v>48</v>
      </c>
      <c r="J463" s="8" t="s">
        <v>49</v>
      </c>
      <c r="K463" s="8" t="s">
        <v>126</v>
      </c>
      <c r="L463" s="8" t="s">
        <v>127</v>
      </c>
      <c r="M463" s="8">
        <v>1</v>
      </c>
      <c r="N463" s="8">
        <v>60</v>
      </c>
      <c r="O463" s="8">
        <v>10</v>
      </c>
      <c r="P463" s="8">
        <v>54</v>
      </c>
      <c r="Q463" s="8">
        <v>4</v>
      </c>
      <c r="R463" s="8" t="s">
        <v>52</v>
      </c>
      <c r="S463" s="8"/>
      <c r="T463" s="10" t="s">
        <v>1967</v>
      </c>
      <c r="U463" s="9" t="s">
        <v>1968</v>
      </c>
      <c r="V463" s="8" t="s">
        <v>73</v>
      </c>
    </row>
    <row r="464" spans="1:22">
      <c r="A464" s="3" t="s">
        <v>1969</v>
      </c>
      <c r="B464" s="4" t="s">
        <v>75</v>
      </c>
      <c r="C464" s="4" t="s">
        <v>96</v>
      </c>
      <c r="D464" s="4" t="s">
        <v>1146</v>
      </c>
      <c r="E464" s="4" t="s">
        <v>558</v>
      </c>
      <c r="F464" s="4" t="s">
        <v>221</v>
      </c>
      <c r="G464" s="4" t="s">
        <v>80</v>
      </c>
      <c r="H464" s="4" t="s">
        <v>1970</v>
      </c>
      <c r="I464" s="4" t="s">
        <v>34</v>
      </c>
      <c r="J464" s="4" t="s">
        <v>35</v>
      </c>
      <c r="K464" s="4" t="s">
        <v>36</v>
      </c>
      <c r="L464" s="4" t="s">
        <v>101</v>
      </c>
      <c r="M464" s="4">
        <v>16</v>
      </c>
      <c r="N464" s="4">
        <v>3500</v>
      </c>
      <c r="O464" s="4">
        <v>0</v>
      </c>
      <c r="P464" s="4">
        <v>56000</v>
      </c>
      <c r="Q464" s="4">
        <v>4</v>
      </c>
      <c r="R464" s="4" t="s">
        <v>52</v>
      </c>
      <c r="S464" s="4" t="s">
        <v>39</v>
      </c>
      <c r="T464" s="4" t="s">
        <v>84</v>
      </c>
      <c r="U464" s="6" t="s">
        <v>1971</v>
      </c>
      <c r="V464" s="4" t="s">
        <v>68</v>
      </c>
    </row>
    <row r="465" spans="1:22">
      <c r="A465" s="7" t="s">
        <v>1972</v>
      </c>
      <c r="B465" s="8" t="s">
        <v>131</v>
      </c>
      <c r="C465" s="8" t="s">
        <v>226</v>
      </c>
      <c r="D465" s="8" t="s">
        <v>961</v>
      </c>
      <c r="E465" s="8" t="s">
        <v>770</v>
      </c>
      <c r="F465" s="8" t="s">
        <v>204</v>
      </c>
      <c r="G465" s="8" t="s">
        <v>80</v>
      </c>
      <c r="H465" s="8" t="s">
        <v>1299</v>
      </c>
      <c r="I465" s="8" t="s">
        <v>118</v>
      </c>
      <c r="J465" s="8" t="s">
        <v>110</v>
      </c>
      <c r="K465" s="8" t="s">
        <v>126</v>
      </c>
      <c r="L465" s="8" t="s">
        <v>231</v>
      </c>
      <c r="M465" s="8">
        <v>14</v>
      </c>
      <c r="N465" s="8">
        <v>20</v>
      </c>
      <c r="O465" s="8">
        <v>10</v>
      </c>
      <c r="P465" s="8">
        <v>252</v>
      </c>
      <c r="Q465" s="8">
        <v>1</v>
      </c>
      <c r="R465" s="8" t="s">
        <v>52</v>
      </c>
      <c r="S465" s="8" t="s">
        <v>65</v>
      </c>
      <c r="T465" s="8" t="s">
        <v>136</v>
      </c>
      <c r="U465" s="9" t="s">
        <v>1973</v>
      </c>
      <c r="V465" s="8" t="s">
        <v>68</v>
      </c>
    </row>
    <row r="466" spans="1:22">
      <c r="A466" s="3" t="s">
        <v>1974</v>
      </c>
      <c r="B466" s="4" t="s">
        <v>75</v>
      </c>
      <c r="C466" s="4" t="s">
        <v>28</v>
      </c>
      <c r="D466" s="4" t="s">
        <v>477</v>
      </c>
      <c r="E466" s="4" t="s">
        <v>458</v>
      </c>
      <c r="F466" s="4" t="s">
        <v>221</v>
      </c>
      <c r="G466" s="4" t="s">
        <v>80</v>
      </c>
      <c r="H466" s="4" t="s">
        <v>1975</v>
      </c>
      <c r="I466" s="4" t="s">
        <v>63</v>
      </c>
      <c r="J466" s="4" t="s">
        <v>35</v>
      </c>
      <c r="K466" s="4" t="s">
        <v>36</v>
      </c>
      <c r="L466" s="4" t="s">
        <v>37</v>
      </c>
      <c r="M466" s="4">
        <v>11</v>
      </c>
      <c r="N466" s="4">
        <v>2200</v>
      </c>
      <c r="O466" s="4">
        <v>15</v>
      </c>
      <c r="P466" s="4">
        <v>20570</v>
      </c>
      <c r="Q466" s="4">
        <v>4</v>
      </c>
      <c r="R466" s="4" t="s">
        <v>52</v>
      </c>
      <c r="S466" s="4" t="s">
        <v>53</v>
      </c>
      <c r="T466" s="4" t="s">
        <v>84</v>
      </c>
      <c r="U466" s="6" t="s">
        <v>1976</v>
      </c>
      <c r="V466" s="4" t="s">
        <v>73</v>
      </c>
    </row>
    <row r="467" spans="1:22">
      <c r="A467" s="7" t="s">
        <v>1977</v>
      </c>
      <c r="B467" s="8" t="s">
        <v>87</v>
      </c>
      <c r="C467" s="8" t="s">
        <v>58</v>
      </c>
      <c r="D467" s="8" t="s">
        <v>760</v>
      </c>
      <c r="E467" s="8" t="s">
        <v>1286</v>
      </c>
      <c r="F467" s="8" t="s">
        <v>184</v>
      </c>
      <c r="G467" s="8" t="s">
        <v>80</v>
      </c>
      <c r="H467" s="8" t="s">
        <v>1978</v>
      </c>
      <c r="I467" s="8" t="s">
        <v>216</v>
      </c>
      <c r="J467" s="8" t="s">
        <v>49</v>
      </c>
      <c r="K467" s="8" t="s">
        <v>50</v>
      </c>
      <c r="L467" s="8" t="s">
        <v>64</v>
      </c>
      <c r="M467" s="8">
        <v>2</v>
      </c>
      <c r="N467" s="8">
        <v>55000</v>
      </c>
      <c r="O467" s="8">
        <v>0</v>
      </c>
      <c r="P467" s="8">
        <v>110000</v>
      </c>
      <c r="Q467" s="8">
        <v>4</v>
      </c>
      <c r="R467" s="8" t="s">
        <v>52</v>
      </c>
      <c r="S467" s="8" t="s">
        <v>53</v>
      </c>
      <c r="T467" s="8" t="s">
        <v>93</v>
      </c>
      <c r="U467" s="9" t="s">
        <v>1979</v>
      </c>
      <c r="V467" s="8" t="s">
        <v>73</v>
      </c>
    </row>
    <row r="468" spans="1:22">
      <c r="A468" s="3" t="s">
        <v>1980</v>
      </c>
      <c r="B468" s="4" t="s">
        <v>57</v>
      </c>
      <c r="C468" s="4" t="s">
        <v>28</v>
      </c>
      <c r="D468" s="4" t="s">
        <v>516</v>
      </c>
      <c r="E468" s="4" t="s">
        <v>517</v>
      </c>
      <c r="F468" s="4" t="s">
        <v>167</v>
      </c>
      <c r="G468" s="4" t="s">
        <v>32</v>
      </c>
      <c r="H468" s="4" t="s">
        <v>1981</v>
      </c>
      <c r="I468" s="4" t="s">
        <v>118</v>
      </c>
      <c r="J468" s="4" t="s">
        <v>110</v>
      </c>
      <c r="K468" s="4" t="s">
        <v>36</v>
      </c>
      <c r="L468" s="4" t="s">
        <v>37</v>
      </c>
      <c r="M468" s="4">
        <v>7</v>
      </c>
      <c r="N468" s="4">
        <v>2200</v>
      </c>
      <c r="O468" s="4">
        <v>5</v>
      </c>
      <c r="P468" s="4">
        <v>14630</v>
      </c>
      <c r="Q468" s="4">
        <v>4</v>
      </c>
      <c r="R468" s="4" t="s">
        <v>83</v>
      </c>
      <c r="S468" s="4" t="s">
        <v>119</v>
      </c>
      <c r="T468" s="4" t="s">
        <v>66</v>
      </c>
      <c r="U468" s="6" t="s">
        <v>1982</v>
      </c>
      <c r="V468" s="4" t="s">
        <v>73</v>
      </c>
    </row>
    <row r="469" spans="1:22">
      <c r="A469" s="7" t="s">
        <v>1983</v>
      </c>
      <c r="B469" s="8" t="s">
        <v>27</v>
      </c>
      <c r="C469" s="8" t="s">
        <v>263</v>
      </c>
      <c r="D469" s="8" t="s">
        <v>1511</v>
      </c>
      <c r="E469" s="8" t="s">
        <v>581</v>
      </c>
      <c r="F469" s="8" t="s">
        <v>31</v>
      </c>
      <c r="G469" s="8" t="s">
        <v>32</v>
      </c>
      <c r="H469" s="8" t="s">
        <v>1984</v>
      </c>
      <c r="I469" s="8" t="s">
        <v>142</v>
      </c>
      <c r="J469" s="8" t="s">
        <v>110</v>
      </c>
      <c r="K469" s="8" t="s">
        <v>126</v>
      </c>
      <c r="L469" s="8" t="s">
        <v>267</v>
      </c>
      <c r="M469" s="8">
        <v>11</v>
      </c>
      <c r="N469" s="8">
        <v>45</v>
      </c>
      <c r="O469" s="8">
        <v>15</v>
      </c>
      <c r="P469" s="8">
        <v>420.75</v>
      </c>
      <c r="Q469" s="8">
        <v>4</v>
      </c>
      <c r="R469" s="8" t="s">
        <v>83</v>
      </c>
      <c r="S469" s="8" t="s">
        <v>65</v>
      </c>
      <c r="T469" s="8" t="s">
        <v>54</v>
      </c>
      <c r="U469" s="9" t="s">
        <v>1985</v>
      </c>
      <c r="V469" s="8" t="s">
        <v>68</v>
      </c>
    </row>
    <row r="470" spans="1:22">
      <c r="A470" s="3" t="s">
        <v>1986</v>
      </c>
      <c r="B470" s="4" t="s">
        <v>104</v>
      </c>
      <c r="C470" s="4" t="s">
        <v>122</v>
      </c>
      <c r="D470" s="4" t="s">
        <v>1118</v>
      </c>
      <c r="E470" s="4" t="s">
        <v>214</v>
      </c>
      <c r="F470" s="4" t="s">
        <v>107</v>
      </c>
      <c r="G470" s="4" t="s">
        <v>32</v>
      </c>
      <c r="H470" s="4" t="s">
        <v>1987</v>
      </c>
      <c r="I470" s="4" t="s">
        <v>109</v>
      </c>
      <c r="J470" s="4" t="s">
        <v>110</v>
      </c>
      <c r="K470" s="4" t="s">
        <v>126</v>
      </c>
      <c r="L470" s="4" t="s">
        <v>127</v>
      </c>
      <c r="M470" s="4">
        <v>16</v>
      </c>
      <c r="N470" s="4">
        <v>60</v>
      </c>
      <c r="O470" s="4">
        <v>5</v>
      </c>
      <c r="P470" s="4">
        <v>912</v>
      </c>
      <c r="Q470" s="4">
        <v>2</v>
      </c>
      <c r="R470" s="4" t="s">
        <v>38</v>
      </c>
      <c r="S470" s="4" t="s">
        <v>119</v>
      </c>
      <c r="T470" s="4" t="s">
        <v>148</v>
      </c>
      <c r="U470" s="6" t="s">
        <v>1988</v>
      </c>
      <c r="V470" s="4" t="s">
        <v>73</v>
      </c>
    </row>
    <row r="471" spans="1:22">
      <c r="A471" s="7" t="s">
        <v>1989</v>
      </c>
      <c r="B471" s="8" t="s">
        <v>331</v>
      </c>
      <c r="C471" s="8" t="s">
        <v>58</v>
      </c>
      <c r="D471" s="8" t="s">
        <v>1106</v>
      </c>
      <c r="E471" s="8" t="s">
        <v>868</v>
      </c>
      <c r="F471" s="8" t="s">
        <v>398</v>
      </c>
      <c r="G471" s="8" t="s">
        <v>80</v>
      </c>
      <c r="H471" s="8" t="s">
        <v>1990</v>
      </c>
      <c r="I471" s="8" t="s">
        <v>118</v>
      </c>
      <c r="J471" s="8" t="s">
        <v>110</v>
      </c>
      <c r="K471" s="8" t="s">
        <v>50</v>
      </c>
      <c r="L471" s="8" t="s">
        <v>64</v>
      </c>
      <c r="M471" s="8">
        <v>18</v>
      </c>
      <c r="N471" s="8">
        <v>55000</v>
      </c>
      <c r="O471" s="8">
        <v>0</v>
      </c>
      <c r="P471" s="8">
        <v>990000</v>
      </c>
      <c r="Q471" s="8">
        <v>5</v>
      </c>
      <c r="R471" s="8" t="s">
        <v>52</v>
      </c>
      <c r="S471" s="8" t="s">
        <v>53</v>
      </c>
      <c r="T471" s="8" t="s">
        <v>336</v>
      </c>
      <c r="U471" s="9" t="s">
        <v>1991</v>
      </c>
      <c r="V471" s="8" t="s">
        <v>68</v>
      </c>
    </row>
    <row r="472" spans="1:22">
      <c r="A472" s="3" t="s">
        <v>1992</v>
      </c>
      <c r="B472" s="4" t="s">
        <v>27</v>
      </c>
      <c r="C472" s="4" t="s">
        <v>76</v>
      </c>
      <c r="D472" s="4" t="s">
        <v>1993</v>
      </c>
      <c r="E472" s="4" t="s">
        <v>1884</v>
      </c>
      <c r="F472" s="4" t="s">
        <v>31</v>
      </c>
      <c r="G472" s="4" t="s">
        <v>32</v>
      </c>
      <c r="H472" s="4" t="s">
        <v>1994</v>
      </c>
      <c r="I472" s="4" t="s">
        <v>63</v>
      </c>
      <c r="J472" s="4" t="s">
        <v>35</v>
      </c>
      <c r="K472" s="4" t="s">
        <v>50</v>
      </c>
      <c r="L472" s="4" t="s">
        <v>82</v>
      </c>
      <c r="M472" s="4">
        <v>17</v>
      </c>
      <c r="N472" s="4">
        <v>1200</v>
      </c>
      <c r="O472" s="4">
        <v>5</v>
      </c>
      <c r="P472" s="4">
        <v>19380</v>
      </c>
      <c r="Q472" s="4">
        <v>1</v>
      </c>
      <c r="R472" s="4" t="s">
        <v>52</v>
      </c>
      <c r="S472" s="4" t="s">
        <v>39</v>
      </c>
      <c r="T472" s="4" t="s">
        <v>54</v>
      </c>
      <c r="U472" s="6" t="s">
        <v>1995</v>
      </c>
      <c r="V472" s="4" t="s">
        <v>68</v>
      </c>
    </row>
    <row r="473" spans="1:22">
      <c r="A473" s="7" t="s">
        <v>1996</v>
      </c>
      <c r="B473" s="8" t="s">
        <v>57</v>
      </c>
      <c r="C473" s="8" t="s">
        <v>58</v>
      </c>
      <c r="D473" s="8" t="s">
        <v>45</v>
      </c>
      <c r="E473" s="8" t="s">
        <v>203</v>
      </c>
      <c r="F473" s="8" t="s">
        <v>167</v>
      </c>
      <c r="G473" s="8" t="s">
        <v>32</v>
      </c>
      <c r="H473" s="8" t="s">
        <v>1997</v>
      </c>
      <c r="I473" s="8" t="s">
        <v>118</v>
      </c>
      <c r="J473" s="8" t="s">
        <v>110</v>
      </c>
      <c r="K473" s="8" t="s">
        <v>50</v>
      </c>
      <c r="L473" s="8" t="s">
        <v>64</v>
      </c>
      <c r="M473" s="8">
        <v>11</v>
      </c>
      <c r="N473" s="8">
        <v>55000</v>
      </c>
      <c r="O473" s="8">
        <v>0</v>
      </c>
      <c r="P473" s="8">
        <v>605000</v>
      </c>
      <c r="Q473" s="8">
        <v>2</v>
      </c>
      <c r="R473" s="8" t="s">
        <v>38</v>
      </c>
      <c r="S473" s="8" t="s">
        <v>65</v>
      </c>
      <c r="T473" s="8" t="s">
        <v>66</v>
      </c>
      <c r="U473" s="9" t="s">
        <v>1998</v>
      </c>
      <c r="V473" s="8" t="s">
        <v>68</v>
      </c>
    </row>
    <row r="474" spans="1:22">
      <c r="A474" s="3" t="s">
        <v>1999</v>
      </c>
      <c r="B474" s="4" t="s">
        <v>255</v>
      </c>
      <c r="C474" s="4" t="s">
        <v>188</v>
      </c>
      <c r="D474" s="4" t="s">
        <v>240</v>
      </c>
      <c r="E474" s="4" t="s">
        <v>682</v>
      </c>
      <c r="F474" s="4" t="s">
        <v>258</v>
      </c>
      <c r="G474" s="4" t="s">
        <v>32</v>
      </c>
      <c r="H474" s="4" t="s">
        <v>2000</v>
      </c>
      <c r="I474" s="4" t="s">
        <v>48</v>
      </c>
      <c r="J474" s="4" t="s">
        <v>49</v>
      </c>
      <c r="K474" s="4" t="s">
        <v>50</v>
      </c>
      <c r="L474" s="4" t="s">
        <v>193</v>
      </c>
      <c r="M474" s="4">
        <v>20</v>
      </c>
      <c r="N474" s="4">
        <v>700</v>
      </c>
      <c r="O474" s="4">
        <v>20</v>
      </c>
      <c r="P474" s="4">
        <v>11200</v>
      </c>
      <c r="Q474" s="4">
        <v>5</v>
      </c>
      <c r="R474" s="4" t="s">
        <v>52</v>
      </c>
      <c r="S474" s="4" t="s">
        <v>65</v>
      </c>
      <c r="T474" s="4" t="s">
        <v>260</v>
      </c>
      <c r="U474" s="6" t="s">
        <v>2001</v>
      </c>
      <c r="V474" s="4" t="s">
        <v>42</v>
      </c>
    </row>
    <row r="475" spans="1:22">
      <c r="A475" s="7" t="s">
        <v>2002</v>
      </c>
      <c r="B475" s="8" t="s">
        <v>75</v>
      </c>
      <c r="C475" s="8" t="s">
        <v>226</v>
      </c>
      <c r="D475" s="8" t="s">
        <v>488</v>
      </c>
      <c r="E475" s="8" t="s">
        <v>326</v>
      </c>
      <c r="F475" s="8" t="s">
        <v>221</v>
      </c>
      <c r="G475" s="8" t="s">
        <v>80</v>
      </c>
      <c r="H475" s="8" t="s">
        <v>2003</v>
      </c>
      <c r="I475" s="8" t="s">
        <v>48</v>
      </c>
      <c r="J475" s="8" t="s">
        <v>49</v>
      </c>
      <c r="K475" s="8" t="s">
        <v>126</v>
      </c>
      <c r="L475" s="8" t="s">
        <v>231</v>
      </c>
      <c r="M475" s="8">
        <v>5</v>
      </c>
      <c r="N475" s="8">
        <v>20</v>
      </c>
      <c r="O475" s="8">
        <v>5</v>
      </c>
      <c r="P475" s="8">
        <v>95</v>
      </c>
      <c r="Q475" s="8">
        <v>4</v>
      </c>
      <c r="R475" s="8" t="s">
        <v>38</v>
      </c>
      <c r="S475" s="8" t="s">
        <v>53</v>
      </c>
      <c r="T475" s="8" t="s">
        <v>84</v>
      </c>
      <c r="U475" s="9" t="s">
        <v>2004</v>
      </c>
      <c r="V475" s="8" t="s">
        <v>73</v>
      </c>
    </row>
    <row r="476" spans="1:22">
      <c r="A476" s="3" t="s">
        <v>2005</v>
      </c>
      <c r="B476" s="4" t="s">
        <v>331</v>
      </c>
      <c r="C476" s="4" t="s">
        <v>58</v>
      </c>
      <c r="D476" s="4" t="s">
        <v>769</v>
      </c>
      <c r="E476" s="4" t="s">
        <v>1377</v>
      </c>
      <c r="F476" s="4" t="s">
        <v>398</v>
      </c>
      <c r="G476" s="4" t="s">
        <v>80</v>
      </c>
      <c r="H476" s="4" t="s">
        <v>2006</v>
      </c>
      <c r="I476" s="4" t="s">
        <v>109</v>
      </c>
      <c r="J476" s="4" t="s">
        <v>110</v>
      </c>
      <c r="K476" s="4" t="s">
        <v>50</v>
      </c>
      <c r="L476" s="4" t="s">
        <v>64</v>
      </c>
      <c r="M476" s="4">
        <v>13</v>
      </c>
      <c r="N476" s="4">
        <v>55000</v>
      </c>
      <c r="O476" s="4">
        <v>5</v>
      </c>
      <c r="P476" s="4">
        <v>679250</v>
      </c>
      <c r="Q476" s="4">
        <v>1</v>
      </c>
      <c r="R476" s="4" t="s">
        <v>52</v>
      </c>
      <c r="S476" s="4" t="s">
        <v>53</v>
      </c>
      <c r="T476" s="4" t="s">
        <v>336</v>
      </c>
      <c r="U476" s="6" t="s">
        <v>2007</v>
      </c>
      <c r="V476" s="4" t="s">
        <v>68</v>
      </c>
    </row>
    <row r="477" spans="1:22">
      <c r="A477" s="7" t="s">
        <v>2008</v>
      </c>
      <c r="B477" s="8" t="s">
        <v>131</v>
      </c>
      <c r="C477" s="8" t="s">
        <v>58</v>
      </c>
      <c r="D477" s="8" t="s">
        <v>106</v>
      </c>
      <c r="E477" s="8" t="s">
        <v>1118</v>
      </c>
      <c r="F477" s="8" t="s">
        <v>204</v>
      </c>
      <c r="G477" s="8" t="s">
        <v>80</v>
      </c>
      <c r="H477" s="8" t="s">
        <v>2009</v>
      </c>
      <c r="I477" s="8" t="s">
        <v>298</v>
      </c>
      <c r="J477" s="8" t="s">
        <v>299</v>
      </c>
      <c r="K477" s="8" t="s">
        <v>50</v>
      </c>
      <c r="L477" s="8" t="s">
        <v>64</v>
      </c>
      <c r="M477" s="8">
        <v>12</v>
      </c>
      <c r="N477" s="8">
        <v>55000</v>
      </c>
      <c r="O477" s="8">
        <v>5</v>
      </c>
      <c r="P477" s="8">
        <v>627000</v>
      </c>
      <c r="Q477" s="8">
        <v>1</v>
      </c>
      <c r="R477" s="8" t="s">
        <v>52</v>
      </c>
      <c r="S477" s="8" t="s">
        <v>119</v>
      </c>
      <c r="T477" s="8" t="s">
        <v>136</v>
      </c>
      <c r="U477" s="9" t="s">
        <v>2010</v>
      </c>
      <c r="V477" s="8" t="s">
        <v>73</v>
      </c>
    </row>
    <row r="478" spans="1:22">
      <c r="A478" s="3" t="s">
        <v>2011</v>
      </c>
      <c r="B478" s="4" t="s">
        <v>57</v>
      </c>
      <c r="C478" s="4" t="s">
        <v>263</v>
      </c>
      <c r="D478" s="4" t="s">
        <v>765</v>
      </c>
      <c r="E478" s="4" t="s">
        <v>1709</v>
      </c>
      <c r="F478" s="4" t="s">
        <v>167</v>
      </c>
      <c r="G478" s="4" t="s">
        <v>32</v>
      </c>
      <c r="H478" s="4" t="s">
        <v>2012</v>
      </c>
      <c r="I478" s="4" t="s">
        <v>109</v>
      </c>
      <c r="J478" s="4" t="s">
        <v>110</v>
      </c>
      <c r="K478" s="4" t="s">
        <v>126</v>
      </c>
      <c r="L478" s="4" t="s">
        <v>267</v>
      </c>
      <c r="M478" s="4">
        <v>16</v>
      </c>
      <c r="N478" s="4">
        <v>45</v>
      </c>
      <c r="O478" s="4">
        <v>20</v>
      </c>
      <c r="P478" s="4">
        <v>576</v>
      </c>
      <c r="Q478" s="4">
        <v>2</v>
      </c>
      <c r="R478" s="4" t="s">
        <v>38</v>
      </c>
      <c r="S478" s="4" t="s">
        <v>53</v>
      </c>
      <c r="T478" s="4" t="s">
        <v>66</v>
      </c>
      <c r="U478" s="6" t="s">
        <v>2013</v>
      </c>
      <c r="V478" s="4" t="s">
        <v>68</v>
      </c>
    </row>
    <row r="479" spans="1:22">
      <c r="A479" s="7" t="s">
        <v>2014</v>
      </c>
      <c r="B479" s="8" t="s">
        <v>27</v>
      </c>
      <c r="C479" s="8" t="s">
        <v>76</v>
      </c>
      <c r="D479" s="8" t="s">
        <v>29</v>
      </c>
      <c r="E479" s="8" t="s">
        <v>77</v>
      </c>
      <c r="F479" s="8" t="s">
        <v>31</v>
      </c>
      <c r="G479" s="8" t="s">
        <v>32</v>
      </c>
      <c r="H479" s="8" t="s">
        <v>2015</v>
      </c>
      <c r="I479" s="8" t="s">
        <v>63</v>
      </c>
      <c r="J479" s="8" t="s">
        <v>35</v>
      </c>
      <c r="K479" s="8" t="s">
        <v>50</v>
      </c>
      <c r="L479" s="8" t="s">
        <v>82</v>
      </c>
      <c r="M479" s="8">
        <v>5</v>
      </c>
      <c r="N479" s="8">
        <v>1200</v>
      </c>
      <c r="O479" s="8">
        <v>10</v>
      </c>
      <c r="P479" s="8">
        <v>5400</v>
      </c>
      <c r="Q479" s="8">
        <v>1</v>
      </c>
      <c r="R479" s="8" t="s">
        <v>38</v>
      </c>
      <c r="S479" s="8"/>
      <c r="T479" s="10" t="s">
        <v>2016</v>
      </c>
      <c r="U479" s="9" t="s">
        <v>2017</v>
      </c>
      <c r="V479" s="8" t="s">
        <v>42</v>
      </c>
    </row>
    <row r="480" spans="1:22">
      <c r="A480" s="3" t="s">
        <v>2018</v>
      </c>
      <c r="B480" s="4" t="s">
        <v>172</v>
      </c>
      <c r="C480" s="4" t="s">
        <v>263</v>
      </c>
      <c r="D480" s="4" t="s">
        <v>286</v>
      </c>
      <c r="E480" s="4" t="s">
        <v>706</v>
      </c>
      <c r="F480" s="4" t="s">
        <v>2019</v>
      </c>
      <c r="G480" s="4" t="s">
        <v>32</v>
      </c>
      <c r="H480" s="4" t="s">
        <v>2020</v>
      </c>
      <c r="I480" s="4" t="s">
        <v>298</v>
      </c>
      <c r="J480" s="4" t="s">
        <v>299</v>
      </c>
      <c r="K480" s="4" t="s">
        <v>126</v>
      </c>
      <c r="L480" s="4" t="s">
        <v>267</v>
      </c>
      <c r="M480" s="4">
        <v>2</v>
      </c>
      <c r="N480" s="4">
        <v>45</v>
      </c>
      <c r="O480" s="4">
        <v>10</v>
      </c>
      <c r="P480" s="4">
        <v>81</v>
      </c>
      <c r="Q480" s="4">
        <v>4</v>
      </c>
      <c r="R480" s="4" t="s">
        <v>92</v>
      </c>
      <c r="S480" s="4" t="s">
        <v>53</v>
      </c>
      <c r="T480" s="4" t="s">
        <v>179</v>
      </c>
      <c r="U480" s="6" t="s">
        <v>2021</v>
      </c>
      <c r="V480" s="4" t="s">
        <v>68</v>
      </c>
    </row>
    <row r="481" spans="1:22">
      <c r="A481" s="7" t="s">
        <v>2022</v>
      </c>
      <c r="B481" s="8" t="s">
        <v>131</v>
      </c>
      <c r="C481" s="8" t="s">
        <v>44</v>
      </c>
      <c r="D481" s="8" t="s">
        <v>89</v>
      </c>
      <c r="E481" s="8" t="s">
        <v>591</v>
      </c>
      <c r="F481" s="8" t="s">
        <v>204</v>
      </c>
      <c r="G481" s="8" t="s">
        <v>80</v>
      </c>
      <c r="H481" s="8" t="s">
        <v>2023</v>
      </c>
      <c r="I481" s="8" t="s">
        <v>142</v>
      </c>
      <c r="J481" s="8" t="s">
        <v>110</v>
      </c>
      <c r="K481" s="8" t="s">
        <v>50</v>
      </c>
      <c r="L481" s="8" t="s">
        <v>51</v>
      </c>
      <c r="M481" s="8">
        <v>3</v>
      </c>
      <c r="N481" s="8">
        <v>12000</v>
      </c>
      <c r="O481" s="8">
        <v>0</v>
      </c>
      <c r="P481" s="8">
        <v>36000</v>
      </c>
      <c r="Q481" s="8">
        <v>2</v>
      </c>
      <c r="R481" s="8" t="s">
        <v>92</v>
      </c>
      <c r="S481" s="8" t="s">
        <v>155</v>
      </c>
      <c r="T481" s="8" t="s">
        <v>136</v>
      </c>
      <c r="U481" s="9" t="s">
        <v>2024</v>
      </c>
      <c r="V481" s="8" t="s">
        <v>68</v>
      </c>
    </row>
    <row r="482" spans="1:22">
      <c r="A482" s="3" t="s">
        <v>2025</v>
      </c>
      <c r="B482" s="4" t="s">
        <v>27</v>
      </c>
      <c r="C482" s="4" t="s">
        <v>44</v>
      </c>
      <c r="D482" s="4" t="s">
        <v>2026</v>
      </c>
      <c r="E482" s="4" t="s">
        <v>1867</v>
      </c>
      <c r="F482" s="4" t="s">
        <v>99</v>
      </c>
      <c r="G482" s="4" t="s">
        <v>32</v>
      </c>
      <c r="H482" s="4" t="s">
        <v>2027</v>
      </c>
      <c r="I482" s="4" t="s">
        <v>63</v>
      </c>
      <c r="J482" s="4" t="s">
        <v>35</v>
      </c>
      <c r="K482" s="4" t="s">
        <v>50</v>
      </c>
      <c r="L482" s="4" t="s">
        <v>51</v>
      </c>
      <c r="M482" s="4">
        <v>3</v>
      </c>
      <c r="N482" s="4">
        <v>12000</v>
      </c>
      <c r="O482" s="4">
        <v>20</v>
      </c>
      <c r="P482" s="4">
        <v>28800</v>
      </c>
      <c r="Q482" s="4">
        <v>3</v>
      </c>
      <c r="R482" s="4" t="s">
        <v>92</v>
      </c>
      <c r="S482" s="4" t="s">
        <v>119</v>
      </c>
      <c r="T482" s="4" t="s">
        <v>54</v>
      </c>
      <c r="U482" s="6" t="s">
        <v>2028</v>
      </c>
      <c r="V482" s="4" t="s">
        <v>42</v>
      </c>
    </row>
    <row r="483" spans="1:22">
      <c r="A483" s="7" t="s">
        <v>2029</v>
      </c>
      <c r="B483" s="8" t="s">
        <v>131</v>
      </c>
      <c r="C483" s="8" t="s">
        <v>173</v>
      </c>
      <c r="D483" s="8" t="s">
        <v>896</v>
      </c>
      <c r="E483" s="8" t="s">
        <v>165</v>
      </c>
      <c r="F483" s="8" t="s">
        <v>204</v>
      </c>
      <c r="G483" s="8" t="s">
        <v>80</v>
      </c>
      <c r="H483" s="8" t="s">
        <v>2030</v>
      </c>
      <c r="I483" s="8" t="s">
        <v>298</v>
      </c>
      <c r="J483" s="8" t="s">
        <v>299</v>
      </c>
      <c r="K483" s="8" t="s">
        <v>36</v>
      </c>
      <c r="L483" s="8" t="s">
        <v>178</v>
      </c>
      <c r="M483" s="8">
        <v>9</v>
      </c>
      <c r="N483" s="8">
        <v>8500</v>
      </c>
      <c r="O483" s="8">
        <v>15</v>
      </c>
      <c r="P483" s="8">
        <v>65025</v>
      </c>
      <c r="Q483" s="8">
        <v>5</v>
      </c>
      <c r="R483" s="8" t="s">
        <v>38</v>
      </c>
      <c r="S483" s="8" t="s">
        <v>53</v>
      </c>
      <c r="T483" s="8" t="s">
        <v>136</v>
      </c>
      <c r="U483" s="9" t="s">
        <v>2031</v>
      </c>
      <c r="V483" s="8" t="s">
        <v>68</v>
      </c>
    </row>
    <row r="484" spans="1:22">
      <c r="A484" s="3" t="s">
        <v>2032</v>
      </c>
      <c r="B484" s="4" t="s">
        <v>75</v>
      </c>
      <c r="C484" s="4" t="s">
        <v>188</v>
      </c>
      <c r="D484" s="4" t="s">
        <v>265</v>
      </c>
      <c r="E484" s="4" t="s">
        <v>885</v>
      </c>
      <c r="F484" s="4" t="s">
        <v>2033</v>
      </c>
      <c r="G484" s="4" t="s">
        <v>80</v>
      </c>
      <c r="H484" s="4" t="s">
        <v>2034</v>
      </c>
      <c r="I484" s="4" t="s">
        <v>298</v>
      </c>
      <c r="J484" s="4" t="s">
        <v>299</v>
      </c>
      <c r="K484" s="4" t="s">
        <v>50</v>
      </c>
      <c r="L484" s="4" t="s">
        <v>193</v>
      </c>
      <c r="M484" s="4">
        <v>17</v>
      </c>
      <c r="N484" s="4">
        <v>700</v>
      </c>
      <c r="O484" s="4">
        <v>0</v>
      </c>
      <c r="P484" s="4">
        <v>11900</v>
      </c>
      <c r="Q484" s="4">
        <v>2</v>
      </c>
      <c r="R484" s="4" t="s">
        <v>38</v>
      </c>
      <c r="S484" s="4" t="s">
        <v>65</v>
      </c>
      <c r="T484" s="4" t="s">
        <v>84</v>
      </c>
      <c r="U484" s="6" t="s">
        <v>2035</v>
      </c>
      <c r="V484" s="4" t="s">
        <v>73</v>
      </c>
    </row>
    <row r="485" spans="1:22">
      <c r="A485" s="7" t="s">
        <v>2036</v>
      </c>
      <c r="B485" s="8" t="s">
        <v>27</v>
      </c>
      <c r="C485" s="8" t="s">
        <v>188</v>
      </c>
      <c r="D485" s="8" t="s">
        <v>1253</v>
      </c>
      <c r="E485" s="8" t="s">
        <v>1576</v>
      </c>
      <c r="F485" s="8" t="s">
        <v>31</v>
      </c>
      <c r="G485" s="8" t="s">
        <v>32</v>
      </c>
      <c r="H485" s="8" t="s">
        <v>2037</v>
      </c>
      <c r="I485" s="8" t="s">
        <v>34</v>
      </c>
      <c r="J485" s="8" t="s">
        <v>35</v>
      </c>
      <c r="K485" s="8" t="s">
        <v>50</v>
      </c>
      <c r="L485" s="8" t="s">
        <v>193</v>
      </c>
      <c r="M485" s="8">
        <v>20</v>
      </c>
      <c r="N485" s="8">
        <v>700</v>
      </c>
      <c r="O485" s="8">
        <v>5</v>
      </c>
      <c r="P485" s="8">
        <v>13300</v>
      </c>
      <c r="Q485" s="8">
        <v>2</v>
      </c>
      <c r="R485" s="8" t="s">
        <v>92</v>
      </c>
      <c r="S485" s="8" t="s">
        <v>39</v>
      </c>
      <c r="T485" s="8" t="s">
        <v>54</v>
      </c>
      <c r="U485" s="9" t="s">
        <v>2038</v>
      </c>
      <c r="V485" s="8" t="s">
        <v>42</v>
      </c>
    </row>
    <row r="486" spans="1:22">
      <c r="A486" s="3" t="s">
        <v>2039</v>
      </c>
      <c r="B486" s="4" t="s">
        <v>331</v>
      </c>
      <c r="C486" s="4" t="s">
        <v>76</v>
      </c>
      <c r="D486" s="4" t="s">
        <v>558</v>
      </c>
      <c r="E486" s="4" t="s">
        <v>69</v>
      </c>
      <c r="F486" s="4" t="s">
        <v>2040</v>
      </c>
      <c r="G486" s="4" t="s">
        <v>80</v>
      </c>
      <c r="H486" s="4" t="s">
        <v>2041</v>
      </c>
      <c r="I486" s="4" t="s">
        <v>142</v>
      </c>
      <c r="J486" s="4" t="s">
        <v>110</v>
      </c>
      <c r="K486" s="4" t="s">
        <v>50</v>
      </c>
      <c r="L486" s="4" t="s">
        <v>82</v>
      </c>
      <c r="M486" s="4">
        <v>13</v>
      </c>
      <c r="N486" s="4">
        <v>1200</v>
      </c>
      <c r="O486" s="4">
        <v>20</v>
      </c>
      <c r="P486" s="4">
        <v>12480</v>
      </c>
      <c r="Q486" s="4">
        <v>5</v>
      </c>
      <c r="R486" s="4" t="s">
        <v>83</v>
      </c>
      <c r="S486" s="4" t="s">
        <v>119</v>
      </c>
      <c r="T486" s="4" t="s">
        <v>336</v>
      </c>
      <c r="U486" s="6" t="s">
        <v>2042</v>
      </c>
      <c r="V486" s="4" t="s">
        <v>42</v>
      </c>
    </row>
    <row r="487" spans="1:22">
      <c r="A487" s="7" t="s">
        <v>2043</v>
      </c>
      <c r="B487" s="8" t="s">
        <v>104</v>
      </c>
      <c r="C487" s="8" t="s">
        <v>58</v>
      </c>
      <c r="D487" s="8" t="s">
        <v>2044</v>
      </c>
      <c r="E487" s="8" t="s">
        <v>1936</v>
      </c>
      <c r="F487" s="8" t="s">
        <v>107</v>
      </c>
      <c r="G487" s="8" t="s">
        <v>32</v>
      </c>
      <c r="H487" s="8" t="s">
        <v>1086</v>
      </c>
      <c r="I487" s="8" t="s">
        <v>216</v>
      </c>
      <c r="J487" s="8" t="s">
        <v>49</v>
      </c>
      <c r="K487" s="8" t="s">
        <v>50</v>
      </c>
      <c r="L487" s="8" t="s">
        <v>64</v>
      </c>
      <c r="M487" s="8">
        <v>20</v>
      </c>
      <c r="N487" s="8">
        <v>55000</v>
      </c>
      <c r="O487" s="8">
        <v>10</v>
      </c>
      <c r="P487" s="8">
        <v>990000</v>
      </c>
      <c r="Q487" s="8">
        <v>1</v>
      </c>
      <c r="R487" s="8" t="s">
        <v>92</v>
      </c>
      <c r="S487" s="8" t="s">
        <v>39</v>
      </c>
      <c r="T487" s="8" t="s">
        <v>148</v>
      </c>
      <c r="U487" s="9" t="s">
        <v>2045</v>
      </c>
      <c r="V487" s="8" t="s">
        <v>68</v>
      </c>
    </row>
    <row r="488" spans="1:22">
      <c r="A488" s="3" t="s">
        <v>2046</v>
      </c>
      <c r="B488" s="4" t="s">
        <v>255</v>
      </c>
      <c r="C488" s="4" t="s">
        <v>76</v>
      </c>
      <c r="D488" s="4" t="s">
        <v>535</v>
      </c>
      <c r="E488" s="4" t="s">
        <v>295</v>
      </c>
      <c r="F488" s="4" t="s">
        <v>258</v>
      </c>
      <c r="G488" s="4" t="s">
        <v>32</v>
      </c>
      <c r="H488" s="4" t="s">
        <v>2047</v>
      </c>
      <c r="I488" s="4" t="s">
        <v>298</v>
      </c>
      <c r="J488" s="4" t="s">
        <v>299</v>
      </c>
      <c r="K488" s="4" t="s">
        <v>50</v>
      </c>
      <c r="L488" s="4" t="s">
        <v>82</v>
      </c>
      <c r="M488" s="4">
        <v>8</v>
      </c>
      <c r="N488" s="4">
        <v>1200</v>
      </c>
      <c r="O488" s="4">
        <v>0</v>
      </c>
      <c r="P488" s="4">
        <v>9600</v>
      </c>
      <c r="Q488" s="4">
        <v>2</v>
      </c>
      <c r="R488" s="4" t="s">
        <v>52</v>
      </c>
      <c r="S488" s="4" t="s">
        <v>155</v>
      </c>
      <c r="T488" s="4" t="s">
        <v>260</v>
      </c>
      <c r="U488" s="6" t="s">
        <v>2048</v>
      </c>
      <c r="V488" s="4" t="s">
        <v>42</v>
      </c>
    </row>
    <row r="489" spans="1:22">
      <c r="A489" s="7" t="s">
        <v>2049</v>
      </c>
      <c r="B489" s="8" t="s">
        <v>57</v>
      </c>
      <c r="C489" s="8" t="s">
        <v>226</v>
      </c>
      <c r="D489" s="8" t="s">
        <v>2050</v>
      </c>
      <c r="E489" s="8" t="s">
        <v>1242</v>
      </c>
      <c r="F489" s="8" t="s">
        <v>167</v>
      </c>
      <c r="G489" s="8" t="s">
        <v>32</v>
      </c>
      <c r="H489" s="8" t="s">
        <v>2051</v>
      </c>
      <c r="I489" s="8" t="s">
        <v>298</v>
      </c>
      <c r="J489" s="8" t="s">
        <v>299</v>
      </c>
      <c r="K489" s="8" t="s">
        <v>126</v>
      </c>
      <c r="L489" s="8" t="s">
        <v>231</v>
      </c>
      <c r="M489" s="8">
        <v>18</v>
      </c>
      <c r="N489" s="8">
        <v>20</v>
      </c>
      <c r="O489" s="8">
        <v>10</v>
      </c>
      <c r="P489" s="8">
        <v>324</v>
      </c>
      <c r="Q489" s="8">
        <v>5</v>
      </c>
      <c r="R489" s="8" t="s">
        <v>83</v>
      </c>
      <c r="S489" s="8"/>
      <c r="T489" s="10" t="s">
        <v>2052</v>
      </c>
      <c r="U489" s="9" t="s">
        <v>2053</v>
      </c>
      <c r="V489" s="8" t="s">
        <v>68</v>
      </c>
    </row>
    <row r="490" spans="1:22">
      <c r="A490" s="3" t="s">
        <v>2054</v>
      </c>
      <c r="B490" s="4" t="s">
        <v>172</v>
      </c>
      <c r="C490" s="4" t="s">
        <v>44</v>
      </c>
      <c r="D490" s="4" t="s">
        <v>2055</v>
      </c>
      <c r="E490" s="4" t="s">
        <v>276</v>
      </c>
      <c r="F490" s="4" t="s">
        <v>365</v>
      </c>
      <c r="G490" s="4" t="s">
        <v>32</v>
      </c>
      <c r="H490" s="4" t="s">
        <v>2056</v>
      </c>
      <c r="I490" s="4" t="s">
        <v>118</v>
      </c>
      <c r="J490" s="4" t="s">
        <v>110</v>
      </c>
      <c r="K490" s="4" t="s">
        <v>50</v>
      </c>
      <c r="L490" s="4" t="s">
        <v>51</v>
      </c>
      <c r="M490" s="4">
        <v>11</v>
      </c>
      <c r="N490" s="4">
        <v>12000</v>
      </c>
      <c r="O490" s="4">
        <v>10</v>
      </c>
      <c r="P490" s="4">
        <v>118800</v>
      </c>
      <c r="Q490" s="4">
        <v>1</v>
      </c>
      <c r="R490" s="4" t="s">
        <v>83</v>
      </c>
      <c r="S490" s="4" t="s">
        <v>53</v>
      </c>
      <c r="T490" s="4" t="s">
        <v>179</v>
      </c>
      <c r="U490" s="6" t="s">
        <v>2057</v>
      </c>
      <c r="V490" s="4" t="s">
        <v>73</v>
      </c>
    </row>
    <row r="491" spans="1:22">
      <c r="A491" s="7" t="s">
        <v>2058</v>
      </c>
      <c r="B491" s="8" t="s">
        <v>331</v>
      </c>
      <c r="C491" s="8" t="s">
        <v>173</v>
      </c>
      <c r="D491" s="8" t="s">
        <v>146</v>
      </c>
      <c r="E491" s="8" t="s">
        <v>1382</v>
      </c>
      <c r="F491" s="8" t="s">
        <v>398</v>
      </c>
      <c r="G491" s="8" t="s">
        <v>80</v>
      </c>
      <c r="H491" s="8" t="s">
        <v>2059</v>
      </c>
      <c r="I491" s="8" t="s">
        <v>34</v>
      </c>
      <c r="J491" s="8" t="s">
        <v>35</v>
      </c>
      <c r="K491" s="8" t="s">
        <v>36</v>
      </c>
      <c r="L491" s="8" t="s">
        <v>178</v>
      </c>
      <c r="M491" s="8">
        <v>2</v>
      </c>
      <c r="N491" s="8">
        <v>8500</v>
      </c>
      <c r="O491" s="8">
        <v>5</v>
      </c>
      <c r="P491" s="8">
        <v>16150</v>
      </c>
      <c r="Q491" s="8">
        <v>1</v>
      </c>
      <c r="R491" s="8" t="s">
        <v>83</v>
      </c>
      <c r="S491" s="8" t="s">
        <v>65</v>
      </c>
      <c r="T491" s="8" t="s">
        <v>336</v>
      </c>
      <c r="U491" s="9" t="s">
        <v>2060</v>
      </c>
      <c r="V491" s="8" t="s">
        <v>42</v>
      </c>
    </row>
    <row r="492" spans="1:22">
      <c r="A492" s="3" t="s">
        <v>2061</v>
      </c>
      <c r="B492" s="4" t="s">
        <v>104</v>
      </c>
      <c r="C492" s="4" t="s">
        <v>28</v>
      </c>
      <c r="D492" s="4" t="s">
        <v>332</v>
      </c>
      <c r="E492" s="4" t="s">
        <v>1511</v>
      </c>
      <c r="F492" s="4" t="s">
        <v>2062</v>
      </c>
      <c r="G492" s="4" t="s">
        <v>32</v>
      </c>
      <c r="H492" s="4" t="s">
        <v>2063</v>
      </c>
      <c r="I492" s="4" t="s">
        <v>118</v>
      </c>
      <c r="J492" s="4" t="s">
        <v>110</v>
      </c>
      <c r="K492" s="4" t="s">
        <v>36</v>
      </c>
      <c r="L492" s="4" t="s">
        <v>37</v>
      </c>
      <c r="M492" s="4">
        <v>7</v>
      </c>
      <c r="N492" s="4">
        <v>2200</v>
      </c>
      <c r="O492" s="4">
        <v>0</v>
      </c>
      <c r="P492" s="4">
        <v>15400</v>
      </c>
      <c r="Q492" s="4">
        <v>5</v>
      </c>
      <c r="R492" s="4" t="s">
        <v>52</v>
      </c>
      <c r="S492" s="4" t="s">
        <v>39</v>
      </c>
      <c r="T492" s="4" t="s">
        <v>148</v>
      </c>
      <c r="U492" s="6" t="s">
        <v>2064</v>
      </c>
      <c r="V492" s="4" t="s">
        <v>68</v>
      </c>
    </row>
    <row r="493" spans="1:22">
      <c r="A493" s="7" t="s">
        <v>2065</v>
      </c>
      <c r="B493" s="8" t="s">
        <v>87</v>
      </c>
      <c r="C493" s="8" t="s">
        <v>173</v>
      </c>
      <c r="D493" s="8" t="s">
        <v>1920</v>
      </c>
      <c r="E493" s="8" t="s">
        <v>1102</v>
      </c>
      <c r="F493" s="8" t="s">
        <v>184</v>
      </c>
      <c r="G493" s="8" t="s">
        <v>80</v>
      </c>
      <c r="H493" s="8" t="s">
        <v>2066</v>
      </c>
      <c r="I493" s="8" t="s">
        <v>48</v>
      </c>
      <c r="J493" s="8" t="s">
        <v>49</v>
      </c>
      <c r="K493" s="8" t="s">
        <v>36</v>
      </c>
      <c r="L493" s="8" t="s">
        <v>178</v>
      </c>
      <c r="M493" s="8">
        <v>20</v>
      </c>
      <c r="N493" s="8">
        <v>8500</v>
      </c>
      <c r="O493" s="8">
        <v>0</v>
      </c>
      <c r="P493" s="8">
        <v>170000</v>
      </c>
      <c r="Q493" s="8">
        <v>3</v>
      </c>
      <c r="R493" s="8" t="s">
        <v>52</v>
      </c>
      <c r="S493" s="8" t="s">
        <v>53</v>
      </c>
      <c r="T493" s="8" t="s">
        <v>93</v>
      </c>
      <c r="U493" s="9" t="s">
        <v>2067</v>
      </c>
      <c r="V493" s="8" t="s">
        <v>42</v>
      </c>
    </row>
    <row r="494" spans="1:22">
      <c r="A494" s="3" t="s">
        <v>2068</v>
      </c>
      <c r="B494" s="4" t="s">
        <v>131</v>
      </c>
      <c r="C494" s="4" t="s">
        <v>76</v>
      </c>
      <c r="D494" s="4" t="s">
        <v>1110</v>
      </c>
      <c r="E494" s="4" t="s">
        <v>843</v>
      </c>
      <c r="F494" s="4" t="s">
        <v>2069</v>
      </c>
      <c r="G494" s="4" t="s">
        <v>80</v>
      </c>
      <c r="H494" s="4" t="s">
        <v>2070</v>
      </c>
      <c r="I494" s="4" t="s">
        <v>34</v>
      </c>
      <c r="J494" s="4" t="s">
        <v>35</v>
      </c>
      <c r="K494" s="4" t="s">
        <v>50</v>
      </c>
      <c r="L494" s="4" t="s">
        <v>82</v>
      </c>
      <c r="M494" s="4">
        <v>11</v>
      </c>
      <c r="N494" s="4">
        <v>1200</v>
      </c>
      <c r="O494" s="4">
        <v>5</v>
      </c>
      <c r="P494" s="4">
        <v>12540</v>
      </c>
      <c r="Q494" s="4">
        <v>2</v>
      </c>
      <c r="R494" s="4" t="s">
        <v>38</v>
      </c>
      <c r="S494" s="4" t="s">
        <v>39</v>
      </c>
      <c r="T494" s="4" t="s">
        <v>136</v>
      </c>
      <c r="U494" s="6" t="s">
        <v>2071</v>
      </c>
      <c r="V494" s="4" t="s">
        <v>68</v>
      </c>
    </row>
    <row r="495" spans="1:22">
      <c r="A495" s="7" t="s">
        <v>2072</v>
      </c>
      <c r="B495" s="8" t="s">
        <v>87</v>
      </c>
      <c r="C495" s="8" t="s">
        <v>188</v>
      </c>
      <c r="D495" s="8" t="s">
        <v>843</v>
      </c>
      <c r="E495" s="8" t="s">
        <v>760</v>
      </c>
      <c r="F495" s="8" t="s">
        <v>184</v>
      </c>
      <c r="G495" s="8" t="s">
        <v>80</v>
      </c>
      <c r="H495" s="8" t="s">
        <v>2073</v>
      </c>
      <c r="I495" s="8" t="s">
        <v>142</v>
      </c>
      <c r="J495" s="8" t="s">
        <v>110</v>
      </c>
      <c r="K495" s="8" t="s">
        <v>50</v>
      </c>
      <c r="L495" s="8" t="s">
        <v>193</v>
      </c>
      <c r="M495" s="8">
        <v>14</v>
      </c>
      <c r="N495" s="8">
        <v>700</v>
      </c>
      <c r="O495" s="8">
        <v>0</v>
      </c>
      <c r="P495" s="8">
        <v>9800</v>
      </c>
      <c r="Q495" s="8">
        <v>2</v>
      </c>
      <c r="R495" s="8" t="s">
        <v>83</v>
      </c>
      <c r="S495" s="8" t="s">
        <v>155</v>
      </c>
      <c r="T495" s="8" t="s">
        <v>93</v>
      </c>
      <c r="U495" s="9" t="s">
        <v>2074</v>
      </c>
      <c r="V495" s="8" t="s">
        <v>73</v>
      </c>
    </row>
    <row r="496" spans="1:22">
      <c r="A496" s="3" t="s">
        <v>2075</v>
      </c>
      <c r="B496" s="4" t="s">
        <v>75</v>
      </c>
      <c r="C496" s="4" t="s">
        <v>76</v>
      </c>
      <c r="D496" s="4" t="s">
        <v>797</v>
      </c>
      <c r="E496" s="4" t="s">
        <v>1654</v>
      </c>
      <c r="F496" s="4" t="s">
        <v>221</v>
      </c>
      <c r="G496" s="4" t="s">
        <v>80</v>
      </c>
      <c r="H496" s="4" t="s">
        <v>2076</v>
      </c>
      <c r="I496" s="4" t="s">
        <v>118</v>
      </c>
      <c r="J496" s="4" t="s">
        <v>110</v>
      </c>
      <c r="K496" s="4" t="s">
        <v>50</v>
      </c>
      <c r="L496" s="4" t="s">
        <v>82</v>
      </c>
      <c r="M496" s="4">
        <v>16</v>
      </c>
      <c r="N496" s="4">
        <v>1200</v>
      </c>
      <c r="O496" s="4">
        <v>15</v>
      </c>
      <c r="P496" s="4">
        <v>16320</v>
      </c>
      <c r="Q496" s="4">
        <v>4</v>
      </c>
      <c r="R496" s="4" t="s">
        <v>38</v>
      </c>
      <c r="S496" s="4" t="s">
        <v>155</v>
      </c>
      <c r="T496" s="4" t="s">
        <v>84</v>
      </c>
      <c r="U496" s="6" t="s">
        <v>2077</v>
      </c>
      <c r="V496" s="4" t="s">
        <v>68</v>
      </c>
    </row>
    <row r="497" spans="1:22">
      <c r="A497" s="7" t="s">
        <v>2078</v>
      </c>
      <c r="B497" s="8" t="s">
        <v>172</v>
      </c>
      <c r="C497" s="8" t="s">
        <v>28</v>
      </c>
      <c r="D497" s="8" t="s">
        <v>497</v>
      </c>
      <c r="E497" s="8" t="s">
        <v>1936</v>
      </c>
      <c r="F497" s="8" t="s">
        <v>2079</v>
      </c>
      <c r="G497" s="8" t="s">
        <v>32</v>
      </c>
      <c r="H497" s="8" t="s">
        <v>2080</v>
      </c>
      <c r="I497" s="8" t="s">
        <v>216</v>
      </c>
      <c r="J497" s="8" t="s">
        <v>49</v>
      </c>
      <c r="K497" s="8" t="s">
        <v>36</v>
      </c>
      <c r="L497" s="8" t="s">
        <v>37</v>
      </c>
      <c r="M497" s="8">
        <v>20</v>
      </c>
      <c r="N497" s="8">
        <v>2200</v>
      </c>
      <c r="O497" s="8">
        <v>0</v>
      </c>
      <c r="P497" s="8">
        <v>44000</v>
      </c>
      <c r="Q497" s="8">
        <v>5</v>
      </c>
      <c r="R497" s="8" t="s">
        <v>38</v>
      </c>
      <c r="S497" s="8" t="s">
        <v>39</v>
      </c>
      <c r="T497" s="8" t="s">
        <v>179</v>
      </c>
      <c r="U497" s="9" t="s">
        <v>2081</v>
      </c>
      <c r="V497" s="8" t="s">
        <v>73</v>
      </c>
    </row>
    <row r="498" spans="1:22">
      <c r="A498" s="3" t="s">
        <v>2082</v>
      </c>
      <c r="B498" s="4" t="s">
        <v>87</v>
      </c>
      <c r="C498" s="4" t="s">
        <v>44</v>
      </c>
      <c r="D498" s="4" t="s">
        <v>2055</v>
      </c>
      <c r="E498" s="4" t="s">
        <v>276</v>
      </c>
      <c r="F498" s="4" t="s">
        <v>184</v>
      </c>
      <c r="G498" s="4" t="s">
        <v>80</v>
      </c>
      <c r="H498" s="4" t="s">
        <v>2083</v>
      </c>
      <c r="I498" s="4" t="s">
        <v>216</v>
      </c>
      <c r="J498" s="4" t="s">
        <v>49</v>
      </c>
      <c r="K498" s="4" t="s">
        <v>50</v>
      </c>
      <c r="L498" s="4" t="s">
        <v>51</v>
      </c>
      <c r="M498" s="4">
        <v>12</v>
      </c>
      <c r="N498" s="4">
        <v>12000</v>
      </c>
      <c r="O498" s="4">
        <v>15</v>
      </c>
      <c r="P498" s="4">
        <v>122400</v>
      </c>
      <c r="Q498" s="4">
        <v>5</v>
      </c>
      <c r="R498" s="4" t="s">
        <v>38</v>
      </c>
      <c r="S498" s="4" t="s">
        <v>155</v>
      </c>
      <c r="T498" s="4" t="s">
        <v>93</v>
      </c>
      <c r="U498" s="6" t="s">
        <v>2084</v>
      </c>
      <c r="V498" s="4" t="s">
        <v>42</v>
      </c>
    </row>
    <row r="499" spans="1:22">
      <c r="A499" s="7" t="s">
        <v>2085</v>
      </c>
      <c r="B499" s="8" t="s">
        <v>225</v>
      </c>
      <c r="C499" s="8" t="s">
        <v>76</v>
      </c>
      <c r="D499" s="8" t="s">
        <v>614</v>
      </c>
      <c r="E499" s="8" t="s">
        <v>615</v>
      </c>
      <c r="F499" s="8" t="s">
        <v>229</v>
      </c>
      <c r="G499" s="8" t="s">
        <v>80</v>
      </c>
      <c r="H499" s="8" t="s">
        <v>2086</v>
      </c>
      <c r="I499" s="8" t="s">
        <v>48</v>
      </c>
      <c r="J499" s="8" t="s">
        <v>49</v>
      </c>
      <c r="K499" s="8" t="s">
        <v>50</v>
      </c>
      <c r="L499" s="8" t="s">
        <v>82</v>
      </c>
      <c r="M499" s="8">
        <v>3</v>
      </c>
      <c r="N499" s="8">
        <v>1200</v>
      </c>
      <c r="O499" s="8">
        <v>20</v>
      </c>
      <c r="P499" s="8">
        <v>2880</v>
      </c>
      <c r="Q499" s="8">
        <v>2</v>
      </c>
      <c r="R499" s="8" t="s">
        <v>52</v>
      </c>
      <c r="S499" s="8" t="s">
        <v>119</v>
      </c>
      <c r="T499" s="8" t="s">
        <v>911</v>
      </c>
      <c r="U499" s="9" t="s">
        <v>2087</v>
      </c>
      <c r="V499" s="8" t="s">
        <v>68</v>
      </c>
    </row>
    <row r="500" spans="1:22">
      <c r="A500" s="3" t="s">
        <v>2088</v>
      </c>
      <c r="B500" s="4" t="s">
        <v>104</v>
      </c>
      <c r="C500" s="4" t="s">
        <v>58</v>
      </c>
      <c r="D500" s="4" t="s">
        <v>280</v>
      </c>
      <c r="E500" s="4" t="s">
        <v>2089</v>
      </c>
      <c r="F500" s="4" t="s">
        <v>107</v>
      </c>
      <c r="G500" s="4" t="s">
        <v>32</v>
      </c>
      <c r="H500" s="4" t="s">
        <v>2090</v>
      </c>
      <c r="I500" s="4" t="s">
        <v>109</v>
      </c>
      <c r="J500" s="4" t="s">
        <v>110</v>
      </c>
      <c r="K500" s="4" t="s">
        <v>50</v>
      </c>
      <c r="L500" s="4" t="s">
        <v>2091</v>
      </c>
      <c r="M500" s="4">
        <v>6</v>
      </c>
      <c r="N500" s="4">
        <v>55000</v>
      </c>
      <c r="O500" s="4">
        <v>20</v>
      </c>
      <c r="P500" s="4">
        <v>264000</v>
      </c>
      <c r="Q500" s="4">
        <v>3</v>
      </c>
      <c r="R500" s="4" t="s">
        <v>38</v>
      </c>
      <c r="S500" s="4" t="s">
        <v>155</v>
      </c>
      <c r="T500" s="4" t="s">
        <v>148</v>
      </c>
      <c r="U500" s="6" t="s">
        <v>2092</v>
      </c>
      <c r="V500" s="4" t="s">
        <v>42</v>
      </c>
    </row>
    <row r="501" spans="1:22">
      <c r="A501" s="11" t="s">
        <v>2093</v>
      </c>
      <c r="B501" s="12" t="s">
        <v>104</v>
      </c>
      <c r="C501" s="12" t="s">
        <v>96</v>
      </c>
      <c r="D501" s="12" t="s">
        <v>2094</v>
      </c>
      <c r="E501" s="12" t="s">
        <v>133</v>
      </c>
      <c r="F501" s="12" t="s">
        <v>107</v>
      </c>
      <c r="G501" s="12" t="s">
        <v>32</v>
      </c>
      <c r="H501" s="12" t="s">
        <v>2095</v>
      </c>
      <c r="I501" s="12" t="s">
        <v>63</v>
      </c>
      <c r="J501" s="12" t="s">
        <v>35</v>
      </c>
      <c r="K501" s="12" t="s">
        <v>36</v>
      </c>
      <c r="L501" s="12" t="s">
        <v>101</v>
      </c>
      <c r="M501" s="12">
        <v>20</v>
      </c>
      <c r="N501" s="12">
        <v>3500</v>
      </c>
      <c r="O501" s="12">
        <v>0</v>
      </c>
      <c r="P501" s="12">
        <v>70000</v>
      </c>
      <c r="Q501" s="12">
        <v>1</v>
      </c>
      <c r="R501" s="12" t="s">
        <v>52</v>
      </c>
      <c r="S501" s="12" t="s">
        <v>155</v>
      </c>
      <c r="T501" s="12" t="s">
        <v>148</v>
      </c>
      <c r="U501" s="13" t="s">
        <v>2096</v>
      </c>
      <c r="V501" s="12" t="s">
        <v>68</v>
      </c>
    </row>
  </sheetData>
  <hyperlinks>
    <hyperlink ref="T2" r:id="rId1"/>
    <hyperlink ref="T5" r:id="rId2"/>
    <hyperlink ref="T9" r:id="rId3"/>
    <hyperlink ref="T11" r:id="rId4"/>
    <hyperlink ref="T16" r:id="rId5"/>
    <hyperlink ref="T15" r:id="rId6"/>
    <hyperlink ref="T20" r:id="rId7"/>
    <hyperlink ref="T61" r:id="rId8"/>
    <hyperlink ref="T72" r:id="rId9"/>
    <hyperlink ref="T294" r:id="rId10"/>
    <hyperlink ref="T489" r:id="rId11"/>
    <hyperlink ref="T479" r:id="rId12"/>
    <hyperlink ref="T463" r:id="rId13"/>
    <hyperlink ref="T450" r:id="rId1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selection activeCell="F23" sqref="F23"/>
    </sheetView>
  </sheetViews>
  <sheetFormatPr defaultRowHeight="14.25"/>
  <sheetData>
    <row r="1" spans="1:24">
      <c r="A1" t="s">
        <v>2</v>
      </c>
      <c r="B1" t="s">
        <v>11</v>
      </c>
      <c r="C1" t="s">
        <v>10</v>
      </c>
      <c r="D1" t="s">
        <v>2100</v>
      </c>
      <c r="E1" t="s">
        <v>2132</v>
      </c>
      <c r="F1" t="s">
        <v>2133</v>
      </c>
    </row>
    <row r="2" spans="1:24">
      <c r="A2" t="s">
        <v>58</v>
      </c>
      <c r="B2" t="s">
        <v>64</v>
      </c>
      <c r="C2" t="s">
        <v>50</v>
      </c>
      <c r="D2" t="s">
        <v>2134</v>
      </c>
      <c r="E2">
        <v>41250</v>
      </c>
      <c r="F2">
        <v>12</v>
      </c>
      <c r="X2" t="e" cm="1">
        <f t="array" aca="1" ref="X2" ca="1">_xlfn.XLOOKUP(C2,C:C,L:L  &amp;K:K  &amp; Product_master!D:D &amp; Product_master!E:E &amp; Product_master!F:F )</f>
        <v>#NAME?</v>
      </c>
    </row>
    <row r="3" spans="1:24">
      <c r="A3" t="s">
        <v>188</v>
      </c>
      <c r="B3" t="s">
        <v>193</v>
      </c>
      <c r="C3" t="s">
        <v>50</v>
      </c>
      <c r="D3" t="s">
        <v>2134</v>
      </c>
      <c r="E3">
        <v>525</v>
      </c>
      <c r="F3">
        <v>24</v>
      </c>
    </row>
    <row r="4" spans="1:24">
      <c r="A4" t="s">
        <v>76</v>
      </c>
      <c r="B4" t="s">
        <v>82</v>
      </c>
      <c r="C4" t="s">
        <v>50</v>
      </c>
      <c r="D4" t="s">
        <v>2134</v>
      </c>
      <c r="E4">
        <v>900</v>
      </c>
      <c r="F4">
        <v>6</v>
      </c>
    </row>
    <row r="5" spans="1:24">
      <c r="A5" t="s">
        <v>44</v>
      </c>
      <c r="B5" t="s">
        <v>51</v>
      </c>
      <c r="C5" t="s">
        <v>50</v>
      </c>
      <c r="D5" t="s">
        <v>2135</v>
      </c>
      <c r="E5">
        <v>9000</v>
      </c>
      <c r="F5">
        <v>24</v>
      </c>
    </row>
    <row r="6" spans="1:24">
      <c r="A6" t="s">
        <v>96</v>
      </c>
      <c r="B6" t="s">
        <v>101</v>
      </c>
      <c r="C6" t="s">
        <v>36</v>
      </c>
      <c r="D6" t="s">
        <v>2135</v>
      </c>
      <c r="E6">
        <v>2625</v>
      </c>
      <c r="F6">
        <v>6</v>
      </c>
    </row>
    <row r="7" spans="1:24">
      <c r="A7" t="s">
        <v>28</v>
      </c>
      <c r="B7" t="s">
        <v>37</v>
      </c>
      <c r="C7" t="s">
        <v>36</v>
      </c>
      <c r="D7" t="s">
        <v>2135</v>
      </c>
      <c r="E7">
        <v>1650</v>
      </c>
      <c r="F7">
        <v>24</v>
      </c>
    </row>
    <row r="8" spans="1:24">
      <c r="A8" t="s">
        <v>173</v>
      </c>
      <c r="B8" t="s">
        <v>178</v>
      </c>
      <c r="C8" t="s">
        <v>36</v>
      </c>
      <c r="D8" t="s">
        <v>2134</v>
      </c>
      <c r="E8">
        <v>6375</v>
      </c>
      <c r="F8">
        <v>24</v>
      </c>
    </row>
    <row r="9" spans="1:24">
      <c r="A9" t="s">
        <v>122</v>
      </c>
      <c r="B9" t="s">
        <v>127</v>
      </c>
      <c r="C9" t="s">
        <v>126</v>
      </c>
      <c r="D9" t="s">
        <v>2136</v>
      </c>
      <c r="E9">
        <v>45</v>
      </c>
      <c r="F9">
        <v>12</v>
      </c>
    </row>
    <row r="10" spans="1:24">
      <c r="A10" t="s">
        <v>226</v>
      </c>
      <c r="B10" t="s">
        <v>231</v>
      </c>
      <c r="C10" t="s">
        <v>126</v>
      </c>
      <c r="D10" t="s">
        <v>2137</v>
      </c>
      <c r="E10">
        <v>15</v>
      </c>
      <c r="F10">
        <v>12</v>
      </c>
    </row>
    <row r="11" spans="1:24">
      <c r="A11" t="s">
        <v>263</v>
      </c>
      <c r="B11" t="s">
        <v>267</v>
      </c>
      <c r="C11" t="s">
        <v>126</v>
      </c>
      <c r="D11" t="s">
        <v>2134</v>
      </c>
      <c r="E11">
        <v>33.75</v>
      </c>
      <c r="F11">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topLeftCell="A2" workbookViewId="0">
      <selection activeCell="E21" sqref="E21"/>
    </sheetView>
  </sheetViews>
  <sheetFormatPr defaultRowHeight="14.25"/>
  <sheetData>
    <row r="1" spans="1:4">
      <c r="A1" t="s">
        <v>1</v>
      </c>
      <c r="B1" t="s">
        <v>5</v>
      </c>
      <c r="C1" t="s">
        <v>2138</v>
      </c>
      <c r="D1" t="s">
        <v>2139</v>
      </c>
    </row>
    <row r="2" spans="1:4">
      <c r="A2" t="s">
        <v>331</v>
      </c>
      <c r="B2" t="s">
        <v>398</v>
      </c>
      <c r="C2" t="s">
        <v>2140</v>
      </c>
      <c r="D2" t="s">
        <v>2141</v>
      </c>
    </row>
    <row r="3" spans="1:4">
      <c r="A3" t="s">
        <v>104</v>
      </c>
      <c r="B3" t="s">
        <v>107</v>
      </c>
      <c r="C3" t="s">
        <v>2142</v>
      </c>
      <c r="D3" t="s">
        <v>2143</v>
      </c>
    </row>
    <row r="4" spans="1:4">
      <c r="A4" t="s">
        <v>131</v>
      </c>
      <c r="B4" t="s">
        <v>204</v>
      </c>
      <c r="C4" t="s">
        <v>2144</v>
      </c>
      <c r="D4" t="s">
        <v>2145</v>
      </c>
    </row>
    <row r="5" spans="1:4">
      <c r="A5" t="s">
        <v>172</v>
      </c>
      <c r="B5" t="s">
        <v>365</v>
      </c>
      <c r="C5" t="s">
        <v>2144</v>
      </c>
      <c r="D5" t="s">
        <v>2143</v>
      </c>
    </row>
    <row r="6" spans="1:4">
      <c r="A6" t="s">
        <v>225</v>
      </c>
      <c r="B6" t="s">
        <v>229</v>
      </c>
      <c r="C6" t="s">
        <v>2144</v>
      </c>
      <c r="D6" t="s">
        <v>2145</v>
      </c>
    </row>
    <row r="7" spans="1:4">
      <c r="A7" t="s">
        <v>255</v>
      </c>
      <c r="B7" t="s">
        <v>258</v>
      </c>
      <c r="C7" t="s">
        <v>2144</v>
      </c>
      <c r="D7" t="s">
        <v>2143</v>
      </c>
    </row>
    <row r="8" spans="1:4">
      <c r="A8" t="s">
        <v>87</v>
      </c>
      <c r="B8" t="s">
        <v>184</v>
      </c>
      <c r="C8" t="s">
        <v>2140</v>
      </c>
      <c r="D8" t="s">
        <v>2141</v>
      </c>
    </row>
    <row r="9" spans="1:4">
      <c r="A9" t="s">
        <v>27</v>
      </c>
      <c r="B9" t="s">
        <v>31</v>
      </c>
      <c r="C9" t="s">
        <v>2140</v>
      </c>
      <c r="D9" t="s">
        <v>2143</v>
      </c>
    </row>
    <row r="10" spans="1:4">
      <c r="A10" t="s">
        <v>75</v>
      </c>
      <c r="B10" t="s">
        <v>221</v>
      </c>
      <c r="C10" t="s">
        <v>2142</v>
      </c>
      <c r="D10" t="s">
        <v>2146</v>
      </c>
    </row>
    <row r="11" spans="1:4">
      <c r="A11" t="s">
        <v>57</v>
      </c>
      <c r="B11" t="s">
        <v>167</v>
      </c>
      <c r="C11" t="s">
        <v>2140</v>
      </c>
      <c r="D11"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Q1&amp;Q2</vt:lpstr>
      <vt:lpstr>Q3</vt:lpstr>
      <vt:lpstr>Q4)Product_lookup_report</vt:lpstr>
      <vt:lpstr>Q5)Sales_summary_report</vt:lpstr>
      <vt:lpstr>Q6)Sales Statistics Report</vt:lpstr>
      <vt:lpstr>Q7) Product Performace Report</vt:lpstr>
      <vt:lpstr>Q8)Financial Analysis Report</vt:lpstr>
      <vt:lpstr>Q9)Cleaned_Data</vt:lpstr>
      <vt:lpstr>Q10)Sales Dashboard</vt:lpstr>
      <vt:lpstr>Sales_data</vt:lpstr>
      <vt:lpstr>Product_master</vt:lpstr>
      <vt:lpstr>Customer_master</vt:lpstr>
    </vt:vector>
  </TitlesOfParts>
  <Manager/>
  <Company>Shubham Chaudhary</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copilot_demo</dc:creator>
  <cp:keywords/>
  <dc:description/>
  <cp:lastModifiedBy>Admin</cp:lastModifiedBy>
  <cp:revision/>
  <dcterms:created xsi:type="dcterms:W3CDTF">2026-07-16T07:45:07Z</dcterms:created>
  <dcterms:modified xsi:type="dcterms:W3CDTF">2026-07-31T15:12:45Z</dcterms:modified>
  <cp:category/>
  <cp:contentStatus/>
</cp:coreProperties>
</file>